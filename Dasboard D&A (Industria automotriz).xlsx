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rika\Desktop\Curso de Data &amp; Analytic\Dashboard+guiado+Excel\"/>
    </mc:Choice>
  </mc:AlternateContent>
  <xr:revisionPtr revIDLastSave="0" documentId="13_ncr:1_{7F295078-C211-402F-8849-2B70906976A9}" xr6:coauthVersionLast="47" xr6:coauthVersionMax="47" xr10:uidLastSave="{00000000-0000-0000-0000-000000000000}"/>
  <bookViews>
    <workbookView xWindow="-120" yWindow="-120" windowWidth="20730" windowHeight="11040" tabRatio="828" activeTab="3" xr2:uid="{00000000-000D-0000-FFFF-FFFF00000000}"/>
  </bookViews>
  <sheets>
    <sheet name="Ventas_Automotriz" sheetId="1" r:id="rId1"/>
    <sheet name="Transformación y limpieza" sheetId="3" r:id="rId2"/>
    <sheet name="Análisis de datos" sheetId="4" r:id="rId3"/>
    <sheet name="DB Automotriz" sheetId="5" r:id="rId4"/>
  </sheets>
  <definedNames>
    <definedName name="_xlchart.v5.0" hidden="1">'Análisis de datos'!$F$21</definedName>
    <definedName name="_xlchart.v5.1" hidden="1">'Análisis de datos'!$F$22:$F$26</definedName>
    <definedName name="_xlchart.v5.2" hidden="1">'Análisis de datos'!$G$21</definedName>
    <definedName name="_xlchart.v5.3" hidden="1">'Análisis de datos'!$G$22:$G$26</definedName>
    <definedName name="SegmentaciónDeDatos_Canal_Venta">#N/A</definedName>
    <definedName name="SegmentaciónDeDatos_Marca">#N/A</definedName>
    <definedName name="SegmentaciónDeDatos_Mes">#N/A</definedName>
    <definedName name="SegmentaciónDeDatos_Vendedor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4" l="1"/>
  <c r="O38" i="4"/>
  <c r="O37" i="4"/>
  <c r="O36" i="4"/>
  <c r="O35" i="4"/>
  <c r="L39" i="4"/>
  <c r="L38" i="4"/>
  <c r="L37" i="4"/>
  <c r="L36" i="4"/>
  <c r="L35" i="4"/>
  <c r="I34" i="4"/>
  <c r="I33" i="4"/>
  <c r="I32" i="4"/>
  <c r="F27" i="4"/>
  <c r="F26" i="4"/>
  <c r="F25" i="4"/>
  <c r="F24" i="4"/>
  <c r="F23" i="4"/>
  <c r="F22" i="4"/>
  <c r="F10" i="4"/>
  <c r="D5" i="4"/>
  <c r="B5" i="4"/>
  <c r="P35" i="4"/>
  <c r="M38" i="4"/>
  <c r="P38" i="4"/>
  <c r="J34" i="4"/>
  <c r="M36" i="4"/>
  <c r="M39" i="4"/>
  <c r="M35" i="4"/>
  <c r="P37" i="4"/>
  <c r="J33" i="4"/>
  <c r="P36" i="4"/>
  <c r="J32" i="4"/>
  <c r="M37" i="4"/>
  <c r="P39" i="4"/>
  <c r="G23" i="4"/>
  <c r="G27" i="4"/>
  <c r="G26" i="4"/>
  <c r="G22" i="4"/>
  <c r="G25" i="4"/>
  <c r="G24" i="4"/>
  <c r="G10" i="4"/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C5" i="3"/>
  <c r="C2" i="3"/>
  <c r="C3" i="3"/>
  <c r="C4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1CD849-1200-49A6-BF13-E93A6ABF0C29}" keepAlive="1" name="Consulta - tabla-65334" description="Conexión a la consulta 'tabla-65334' en el libro." type="5" refreshedVersion="0" background="1">
    <dbPr connection="Provider=Microsoft.Mashup.OleDb.1;Data Source=$Workbook$;Location=tabla-65334;Extended Properties=&quot;&quot;" command="SELECT * FROM [tabla-65334]"/>
  </connection>
</connections>
</file>

<file path=xl/sharedStrings.xml><?xml version="1.0" encoding="utf-8"?>
<sst xmlns="http://schemas.openxmlformats.org/spreadsheetml/2006/main" count="28152" uniqueCount="423">
  <si>
    <t>Fecha</t>
  </si>
  <si>
    <t>País</t>
  </si>
  <si>
    <t>Marca</t>
  </si>
  <si>
    <t>Modelo</t>
  </si>
  <si>
    <t>Tipo_Vehículo</t>
  </si>
  <si>
    <t>Canal_Venta</t>
  </si>
  <si>
    <t>Unidades_Vendidas</t>
  </si>
  <si>
    <t>Precio_Unitario</t>
  </si>
  <si>
    <t>Ingreso_Total</t>
  </si>
  <si>
    <t>Vendedor</t>
  </si>
  <si>
    <t>2024-07-09</t>
  </si>
  <si>
    <t>Alemania</t>
  </si>
  <si>
    <t>Renault</t>
  </si>
  <si>
    <t>Hybrid One</t>
  </si>
  <si>
    <t>Sedán</t>
  </si>
  <si>
    <t>Flotas</t>
  </si>
  <si>
    <t>Dealer C</t>
  </si>
  <si>
    <t>2024-09-02</t>
  </si>
  <si>
    <t>Portugal</t>
  </si>
  <si>
    <t>Eléctrico</t>
  </si>
  <si>
    <t>Dealer A</t>
  </si>
  <si>
    <t>2024-09-30</t>
  </si>
  <si>
    <t>Italia</t>
  </si>
  <si>
    <t>Toyota</t>
  </si>
  <si>
    <t>Compact Z</t>
  </si>
  <si>
    <t>Hatchback</t>
  </si>
  <si>
    <t>Concesionario</t>
  </si>
  <si>
    <t>Dealer D</t>
  </si>
  <si>
    <t>2024-08-08</t>
  </si>
  <si>
    <t>Ford</t>
  </si>
  <si>
    <t>SUV</t>
  </si>
  <si>
    <t>2024-04-10</t>
  </si>
  <si>
    <t>2024-05-31</t>
  </si>
  <si>
    <t>Francia</t>
  </si>
  <si>
    <t>BMW</t>
  </si>
  <si>
    <t>Híbrido</t>
  </si>
  <si>
    <t>Dealer B</t>
  </si>
  <si>
    <t>2024-11-08</t>
  </si>
  <si>
    <t>Volkswagen</t>
  </si>
  <si>
    <t>SUV Pro</t>
  </si>
  <si>
    <t>Online</t>
  </si>
  <si>
    <t>2024-03-06</t>
  </si>
  <si>
    <t>España</t>
  </si>
  <si>
    <t>2024-03-12</t>
  </si>
  <si>
    <t>Sedan X</t>
  </si>
  <si>
    <t>2024-12-15</t>
  </si>
  <si>
    <t>2024-03-27</t>
  </si>
  <si>
    <t>2024-09-04</t>
  </si>
  <si>
    <t>Electric Plus</t>
  </si>
  <si>
    <t>2024-05-13</t>
  </si>
  <si>
    <t>2024-08-09</t>
  </si>
  <si>
    <t>2024-10-16</t>
  </si>
  <si>
    <t>2024-12-26</t>
  </si>
  <si>
    <t>2024-05-16</t>
  </si>
  <si>
    <t>2024-03-09</t>
  </si>
  <si>
    <t>2024-12-22</t>
  </si>
  <si>
    <t>2024-09-28</t>
  </si>
  <si>
    <t>2024-06-10</t>
  </si>
  <si>
    <t>2024-10-07</t>
  </si>
  <si>
    <t>2024-10-05</t>
  </si>
  <si>
    <t>2024-06-24</t>
  </si>
  <si>
    <t>2024-04-28</t>
  </si>
  <si>
    <t>2024-05-18</t>
  </si>
  <si>
    <t>2024-10-21</t>
  </si>
  <si>
    <t>2024-10-01</t>
  </si>
  <si>
    <t>2024-04-12</t>
  </si>
  <si>
    <t>2024-05-06</t>
  </si>
  <si>
    <t>2024-08-29</t>
  </si>
  <si>
    <t>2024-12-13</t>
  </si>
  <si>
    <t>2024-04-01</t>
  </si>
  <si>
    <t>2024-07-23</t>
  </si>
  <si>
    <t>2024-07-30</t>
  </si>
  <si>
    <t>2024-09-07</t>
  </si>
  <si>
    <t>2024-02-08</t>
  </si>
  <si>
    <t>2024-01-26</t>
  </si>
  <si>
    <t>2024-12-23</t>
  </si>
  <si>
    <t>2024-04-11</t>
  </si>
  <si>
    <t>2024-06-06</t>
  </si>
  <si>
    <t>2024-10-08</t>
  </si>
  <si>
    <t>2024-12-30</t>
  </si>
  <si>
    <t>2024-05-29</t>
  </si>
  <si>
    <t>2024-12-07</t>
  </si>
  <si>
    <t>2024-06-21</t>
  </si>
  <si>
    <t>2024-11-11</t>
  </si>
  <si>
    <t>2024-02-07</t>
  </si>
  <si>
    <t>2024-07-20</t>
  </si>
  <si>
    <t>2024-07-17</t>
  </si>
  <si>
    <t>2024-11-19</t>
  </si>
  <si>
    <t>2024-01-31</t>
  </si>
  <si>
    <t>2024-08-05</t>
  </si>
  <si>
    <t>2024-01-17</t>
  </si>
  <si>
    <t>2024-09-05</t>
  </si>
  <si>
    <t>2024-07-05</t>
  </si>
  <si>
    <t>2024-03-30</t>
  </si>
  <si>
    <t>2024-05-22</t>
  </si>
  <si>
    <t>2024-04-04</t>
  </si>
  <si>
    <t>2024-08-04</t>
  </si>
  <si>
    <t>2024-07-15</t>
  </si>
  <si>
    <t>2024-05-08</t>
  </si>
  <si>
    <t>2024-04-30</t>
  </si>
  <si>
    <t>2024-06-27</t>
  </si>
  <si>
    <t>2024-12-11</t>
  </si>
  <si>
    <t>2024-11-22</t>
  </si>
  <si>
    <t>2024-02-27</t>
  </si>
  <si>
    <t>2024-10-27</t>
  </si>
  <si>
    <t>2024-01-30</t>
  </si>
  <si>
    <t>2024-12-01</t>
  </si>
  <si>
    <t>2024-12-18</t>
  </si>
  <si>
    <t>2024-03-08</t>
  </si>
  <si>
    <t>2024-05-01</t>
  </si>
  <si>
    <t>2024-01-02</t>
  </si>
  <si>
    <t>2024-04-18</t>
  </si>
  <si>
    <t>2024-09-06</t>
  </si>
  <si>
    <t>2024-03-15</t>
  </si>
  <si>
    <t>2024-06-09</t>
  </si>
  <si>
    <t>2024-08-19</t>
  </si>
  <si>
    <t>2024-05-28</t>
  </si>
  <si>
    <t>2024-01-07</t>
  </si>
  <si>
    <t>2024-01-04</t>
  </si>
  <si>
    <t>2024-07-03</t>
  </si>
  <si>
    <t>2024-03-25</t>
  </si>
  <si>
    <t>2024-08-26</t>
  </si>
  <si>
    <t>2024-01-12</t>
  </si>
  <si>
    <t>2024-04-15</t>
  </si>
  <si>
    <t>2024-06-08</t>
  </si>
  <si>
    <t>2024-09-10</t>
  </si>
  <si>
    <t>2024-11-18</t>
  </si>
  <si>
    <t>2024-09-14</t>
  </si>
  <si>
    <t>2024-02-21</t>
  </si>
  <si>
    <t>2024-05-17</t>
  </si>
  <si>
    <t>2024-08-01</t>
  </si>
  <si>
    <t>2024-10-14</t>
  </si>
  <si>
    <t>2024-01-11</t>
  </si>
  <si>
    <t>2024-06-07</t>
  </si>
  <si>
    <t>2024-10-10</t>
  </si>
  <si>
    <t>2024-06-19</t>
  </si>
  <si>
    <t>2024-11-10</t>
  </si>
  <si>
    <t>2024-05-11</t>
  </si>
  <si>
    <t>2024-11-17</t>
  </si>
  <si>
    <t>2024-05-23</t>
  </si>
  <si>
    <t>2024-10-24</t>
  </si>
  <si>
    <t>2024-09-09</t>
  </si>
  <si>
    <t>2024-07-25</t>
  </si>
  <si>
    <t>2024-01-21</t>
  </si>
  <si>
    <t>2024-04-06</t>
  </si>
  <si>
    <t>2024-12-05</t>
  </si>
  <si>
    <t>2024-10-19</t>
  </si>
  <si>
    <t>2024-11-28</t>
  </si>
  <si>
    <t>2024-07-22</t>
  </si>
  <si>
    <t>2024-07-01</t>
  </si>
  <si>
    <t>2024-08-10</t>
  </si>
  <si>
    <t>2024-05-12</t>
  </si>
  <si>
    <t>2024-02-12</t>
  </si>
  <si>
    <t>2024-01-08</t>
  </si>
  <si>
    <t>2024-11-09</t>
  </si>
  <si>
    <t>2024-12-03</t>
  </si>
  <si>
    <t>2024-03-14</t>
  </si>
  <si>
    <t>2024-09-20</t>
  </si>
  <si>
    <t>2024-01-05</t>
  </si>
  <si>
    <t>2024-02-01</t>
  </si>
  <si>
    <t>2024-02-15</t>
  </si>
  <si>
    <t>2024-12-24</t>
  </si>
  <si>
    <t>2024-05-24</t>
  </si>
  <si>
    <t>2024-10-23</t>
  </si>
  <si>
    <t>2024-06-02</t>
  </si>
  <si>
    <t>2024-11-30</t>
  </si>
  <si>
    <t>2024-01-15</t>
  </si>
  <si>
    <t>2024-08-18</t>
  </si>
  <si>
    <t>2024-01-09</t>
  </si>
  <si>
    <t>2024-02-09</t>
  </si>
  <si>
    <t>2024-08-02</t>
  </si>
  <si>
    <t>2024-11-27</t>
  </si>
  <si>
    <t>2024-03-03</t>
  </si>
  <si>
    <t>2024-04-24</t>
  </si>
  <si>
    <t>2024-02-19</t>
  </si>
  <si>
    <t>2024-02-25</t>
  </si>
  <si>
    <t>2024-09-22</t>
  </si>
  <si>
    <t>2024-04-09</t>
  </si>
  <si>
    <t>2024-07-11</t>
  </si>
  <si>
    <t>2024-02-29</t>
  </si>
  <si>
    <t>2024-03-01</t>
  </si>
  <si>
    <t>2024-08-16</t>
  </si>
  <si>
    <t>2024-12-17</t>
  </si>
  <si>
    <t>2024-11-16</t>
  </si>
  <si>
    <t>2024-09-01</t>
  </si>
  <si>
    <t>2024-11-24</t>
  </si>
  <si>
    <t>2024-03-07</t>
  </si>
  <si>
    <t>2024-05-02</t>
  </si>
  <si>
    <t>2024-01-10</t>
  </si>
  <si>
    <t>2024-04-20</t>
  </si>
  <si>
    <t>2024-08-31</t>
  </si>
  <si>
    <t>2024-03-23</t>
  </si>
  <si>
    <t>2024-09-03</t>
  </si>
  <si>
    <t>2024-06-05</t>
  </si>
  <si>
    <t>2024-11-21</t>
  </si>
  <si>
    <t>2024-01-16</t>
  </si>
  <si>
    <t>2024-06-03</t>
  </si>
  <si>
    <t>2024-06-12</t>
  </si>
  <si>
    <t>2024-03-22</t>
  </si>
  <si>
    <t>2024-06-20</t>
  </si>
  <si>
    <t>2024-10-12</t>
  </si>
  <si>
    <t>2024-10-13</t>
  </si>
  <si>
    <t>2024-10-18</t>
  </si>
  <si>
    <t>2024-06-25</t>
  </si>
  <si>
    <t>2024-01-01</t>
  </si>
  <si>
    <t>2024-03-16</t>
  </si>
  <si>
    <t>2024-02-23</t>
  </si>
  <si>
    <t>2024-04-27</t>
  </si>
  <si>
    <t>2024-06-17</t>
  </si>
  <si>
    <t>2024-09-24</t>
  </si>
  <si>
    <t>2024-08-24</t>
  </si>
  <si>
    <t>2024-03-17</t>
  </si>
  <si>
    <t>2024-08-07</t>
  </si>
  <si>
    <t>2024-09-18</t>
  </si>
  <si>
    <t>2024-11-04</t>
  </si>
  <si>
    <t>2024-05-05</t>
  </si>
  <si>
    <t>2024-05-14</t>
  </si>
  <si>
    <t>2024-12-21</t>
  </si>
  <si>
    <t>2024-03-04</t>
  </si>
  <si>
    <t>2024-07-27</t>
  </si>
  <si>
    <t>2024-01-29</t>
  </si>
  <si>
    <t>2024-11-15</t>
  </si>
  <si>
    <t>2024-02-03</t>
  </si>
  <si>
    <t>2024-09-27</t>
  </si>
  <si>
    <t>2024-08-12</t>
  </si>
  <si>
    <t>2024-03-13</t>
  </si>
  <si>
    <t>2024-05-20</t>
  </si>
  <si>
    <t>2024-01-18</t>
  </si>
  <si>
    <t>2024-08-06</t>
  </si>
  <si>
    <t>2024-08-30</t>
  </si>
  <si>
    <t>2024-03-11</t>
  </si>
  <si>
    <t>2024-05-04</t>
  </si>
  <si>
    <t>2024-10-26</t>
  </si>
  <si>
    <t>2024-04-02</t>
  </si>
  <si>
    <t>2024-02-26</t>
  </si>
  <si>
    <t>2024-12-19</t>
  </si>
  <si>
    <t>2024-03-28</t>
  </si>
  <si>
    <t>2024-11-03</t>
  </si>
  <si>
    <t>2024-11-20</t>
  </si>
  <si>
    <t>2024-03-02</t>
  </si>
  <si>
    <t>2024-12-02</t>
  </si>
  <si>
    <t>2024-02-11</t>
  </si>
  <si>
    <t>2024-07-06</t>
  </si>
  <si>
    <t>2024-03-18</t>
  </si>
  <si>
    <t>2024-05-19</t>
  </si>
  <si>
    <t>2024-07-14</t>
  </si>
  <si>
    <t>2024-11-26</t>
  </si>
  <si>
    <t>2024-02-14</t>
  </si>
  <si>
    <t>2024-11-07</t>
  </si>
  <si>
    <t>2024-05-25</t>
  </si>
  <si>
    <t>2024-10-15</t>
  </si>
  <si>
    <t>2024-02-18</t>
  </si>
  <si>
    <t>2024-05-10</t>
  </si>
  <si>
    <t>2024-03-21</t>
  </si>
  <si>
    <t>2024-01-13</t>
  </si>
  <si>
    <t>2024-01-14</t>
  </si>
  <si>
    <t>2024-11-12</t>
  </si>
  <si>
    <t>2024-03-29</t>
  </si>
  <si>
    <t>2024-03-19</t>
  </si>
  <si>
    <t>2024-11-25</t>
  </si>
  <si>
    <t>2024-11-29</t>
  </si>
  <si>
    <t>2024-12-29</t>
  </si>
  <si>
    <t>2024-01-19</t>
  </si>
  <si>
    <t>2024-11-06</t>
  </si>
  <si>
    <t>2024-12-09</t>
  </si>
  <si>
    <t>2024-08-20</t>
  </si>
  <si>
    <t>2024-10-09</t>
  </si>
  <si>
    <t>2024-02-20</t>
  </si>
  <si>
    <t>2024-10-25</t>
  </si>
  <si>
    <t>2024-03-05</t>
  </si>
  <si>
    <t>2024-10-04</t>
  </si>
  <si>
    <t>2024-06-04</t>
  </si>
  <si>
    <t>2024-04-08</t>
  </si>
  <si>
    <t>2024-07-08</t>
  </si>
  <si>
    <t>2024-01-06</t>
  </si>
  <si>
    <t>2024-07-31</t>
  </si>
  <si>
    <t>2024-03-24</t>
  </si>
  <si>
    <t>2024-08-28</t>
  </si>
  <si>
    <t>2024-07-24</t>
  </si>
  <si>
    <t>2024-03-20</t>
  </si>
  <si>
    <t>2024-09-17</t>
  </si>
  <si>
    <t>2024-01-27</t>
  </si>
  <si>
    <t>2024-06-16</t>
  </si>
  <si>
    <t>2024-01-23</t>
  </si>
  <si>
    <t>2024-11-05</t>
  </si>
  <si>
    <t>2024-10-30</t>
  </si>
  <si>
    <t>2024-08-25</t>
  </si>
  <si>
    <t>2024-02-28</t>
  </si>
  <si>
    <t>2024-06-14</t>
  </si>
  <si>
    <t>2024-12-25</t>
  </si>
  <si>
    <t>2024-07-10</t>
  </si>
  <si>
    <t>2024-02-05</t>
  </si>
  <si>
    <t>2024-06-22</t>
  </si>
  <si>
    <t>2024-05-30</t>
  </si>
  <si>
    <t>2024-02-04</t>
  </si>
  <si>
    <t>2024-04-07</t>
  </si>
  <si>
    <t>2024-04-17</t>
  </si>
  <si>
    <t>2024-04-05</t>
  </si>
  <si>
    <t>2024-10-11</t>
  </si>
  <si>
    <t>2024-02-16</t>
  </si>
  <si>
    <t>2024-02-06</t>
  </si>
  <si>
    <t>2024-10-28</t>
  </si>
  <si>
    <t>2024-12-06</t>
  </si>
  <si>
    <t>2024-10-02</t>
  </si>
  <si>
    <t>2024-08-13</t>
  </si>
  <si>
    <t>2024-09-13</t>
  </si>
  <si>
    <t>2024-06-23</t>
  </si>
  <si>
    <t>2024-09-19</t>
  </si>
  <si>
    <t>2024-08-27</t>
  </si>
  <si>
    <t>2024-05-26</t>
  </si>
  <si>
    <t>2024-07-04</t>
  </si>
  <si>
    <t>2024-04-03</t>
  </si>
  <si>
    <t>2024-06-01</t>
  </si>
  <si>
    <t>2024-08-22</t>
  </si>
  <si>
    <t>2024-10-22</t>
  </si>
  <si>
    <t>2024-12-08</t>
  </si>
  <si>
    <t>2024-02-17</t>
  </si>
  <si>
    <t>2024-02-02</t>
  </si>
  <si>
    <t>2024-11-01</t>
  </si>
  <si>
    <t>2024-08-21</t>
  </si>
  <si>
    <t>2024-04-19</t>
  </si>
  <si>
    <t>2024-11-02</t>
  </si>
  <si>
    <t>2024-09-25</t>
  </si>
  <si>
    <t>2024-07-21</t>
  </si>
  <si>
    <t>2024-03-26</t>
  </si>
  <si>
    <t>2024-12-12</t>
  </si>
  <si>
    <t>2024-07-13</t>
  </si>
  <si>
    <t>2024-01-28</t>
  </si>
  <si>
    <t>2024-12-20</t>
  </si>
  <si>
    <t>2024-08-03</t>
  </si>
  <si>
    <t>2024-08-14</t>
  </si>
  <si>
    <t>2024-01-20</t>
  </si>
  <si>
    <t>2024-07-02</t>
  </si>
  <si>
    <t>2024-07-07</t>
  </si>
  <si>
    <t>2024-12-28</t>
  </si>
  <si>
    <t>2024-05-15</t>
  </si>
  <si>
    <t>2024-07-18</t>
  </si>
  <si>
    <t>2024-02-13</t>
  </si>
  <si>
    <t>2024-09-08</t>
  </si>
  <si>
    <t>2024-05-07</t>
  </si>
  <si>
    <t>2024-05-21</t>
  </si>
  <si>
    <t>2024-04-22</t>
  </si>
  <si>
    <t>2024-07-26</t>
  </si>
  <si>
    <t>2024-12-16</t>
  </si>
  <si>
    <t>2024-12-04</t>
  </si>
  <si>
    <t>2024-09-15</t>
  </si>
  <si>
    <t>2024-09-29</t>
  </si>
  <si>
    <t>2024-07-19</t>
  </si>
  <si>
    <t>2024-07-29</t>
  </si>
  <si>
    <t>2024-07-28</t>
  </si>
  <si>
    <t>2024-06-30</t>
  </si>
  <si>
    <t>2024-04-29</t>
  </si>
  <si>
    <t>2024-01-03</t>
  </si>
  <si>
    <t>2024-06-11</t>
  </si>
  <si>
    <t>2024-04-21</t>
  </si>
  <si>
    <t>2024-09-11</t>
  </si>
  <si>
    <t>2024-09-12</t>
  </si>
  <si>
    <t>2024-08-15</t>
  </si>
  <si>
    <t>2024-10-29</t>
  </si>
  <si>
    <t>2024-03-31</t>
  </si>
  <si>
    <t>2024-04-16</t>
  </si>
  <si>
    <t>2024-06-18</t>
  </si>
  <si>
    <t>2024-09-26</t>
  </si>
  <si>
    <t>2024-06-26</t>
  </si>
  <si>
    <t>2024-02-10</t>
  </si>
  <si>
    <t>2024-08-23</t>
  </si>
  <si>
    <t>2024-02-24</t>
  </si>
  <si>
    <t>2024-04-13</t>
  </si>
  <si>
    <t>2024-06-29</t>
  </si>
  <si>
    <t>2024-01-25</t>
  </si>
  <si>
    <t>2024-07-12</t>
  </si>
  <si>
    <t>2024-04-25</t>
  </si>
  <si>
    <t>2024-12-27</t>
  </si>
  <si>
    <t>2024-02-22</t>
  </si>
  <si>
    <t>2024-10-20</t>
  </si>
  <si>
    <t>2024-09-23</t>
  </si>
  <si>
    <t>2024-01-24</t>
  </si>
  <si>
    <t>2024-10-06</t>
  </si>
  <si>
    <t>2024-08-11</t>
  </si>
  <si>
    <t>2024-11-14</t>
  </si>
  <si>
    <t>2024-10-17</t>
  </si>
  <si>
    <t>2024-09-21</t>
  </si>
  <si>
    <t>2024-06-13</t>
  </si>
  <si>
    <t>2024-12-14</t>
  </si>
  <si>
    <t>2024-08-17</t>
  </si>
  <si>
    <t>2024-10-03</t>
  </si>
  <si>
    <t>2024-05-27</t>
  </si>
  <si>
    <t>2024-10-31</t>
  </si>
  <si>
    <t>2024-06-15</t>
  </si>
  <si>
    <t>2024-04-26</t>
  </si>
  <si>
    <t>2024-09-16</t>
  </si>
  <si>
    <t>2024-05-09</t>
  </si>
  <si>
    <t>2024-12-10</t>
  </si>
  <si>
    <t>2024-04-14</t>
  </si>
  <si>
    <t>2024-04-23</t>
  </si>
  <si>
    <t>2024-01-22</t>
  </si>
  <si>
    <t>2024-05-03</t>
  </si>
  <si>
    <t>2024-07-16</t>
  </si>
  <si>
    <t>2024-11-23</t>
  </si>
  <si>
    <t>2024-11-13</t>
  </si>
  <si>
    <t>Mes</t>
  </si>
  <si>
    <t>Día</t>
  </si>
  <si>
    <t>Año</t>
  </si>
  <si>
    <t>Suma de Unidades_Vendidas</t>
  </si>
  <si>
    <t>Suma de Ingreso_Total</t>
  </si>
  <si>
    <t>Etiquetas de fila</t>
  </si>
  <si>
    <t>Total 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</si>
  <si>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</si>
  <si>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</si>
  <si>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</si>
  <si>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</si>
  <si>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</si>
  <si>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</si>
  <si>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</si>
  <si>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</si>
  <si>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</si>
  <si>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</si>
  <si>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</si>
  <si>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</si>
  <si>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Unidades_Vendidas</t>
  </si>
  <si>
    <t>Total de Ingresos</t>
  </si>
  <si>
    <t>Venta total</t>
  </si>
  <si>
    <t>Unidades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</si>
</sst>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€-C0A]"/>
    <numFmt numFmtId="165" formatCode="#,##0.00\ [$€-C0A]"/>
    <numFmt numFmtId="166" formatCode="#,##0.000\ [$€-C0A]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0" fontId="3" fillId="3" borderId="0" xfId="0" applyFont="1" applyFill="1"/>
    <xf numFmtId="165" fontId="3" fillId="3" borderId="0" xfId="0" applyNumberFormat="1" applyFont="1" applyFill="1"/>
    <xf numFmtId="9" fontId="0" fillId="0" borderId="0" xfId="1" applyFont="1"/>
    <xf numFmtId="0" fontId="4" fillId="0" borderId="0" xfId="0" applyFont="1"/>
    <xf numFmtId="164" fontId="4" fillId="0" borderId="0" xfId="0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167"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164" formatCode="#,##0\ [$€-C0A]"/>
    </dxf>
    <dxf>
      <numFmt numFmtId="3" formatCode="#,##0"/>
    </dxf>
    <dxf>
      <numFmt numFmtId="164" formatCode="#,##0\ [$€-C0A]"/>
    </dxf>
    <dxf>
      <numFmt numFmtId="164" formatCode="#,##0\ [$€-C0A]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D&amp;A (Industria automotriz).xlsx]Análisis de datos!Relación Ventas unidades vendidas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03080064953255"/>
          <c:y val="3.1463535301725215E-2"/>
          <c:w val="0.74109774175538567"/>
          <c:h val="0.6235641396241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de datos'!$C$13</c:f>
              <c:strCache>
                <c:ptCount val="1"/>
                <c:pt idx="0">
                  <c:v>Total Unidades_Vendidas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de datos'!$B$14:$B$26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'Análisis de datos'!$C$14:$C$26</c:f>
              <c:numCache>
                <c:formatCode>General</c:formatCode>
                <c:ptCount val="12"/>
                <c:pt idx="0">
                  <c:v>2007</c:v>
                </c:pt>
                <c:pt idx="1">
                  <c:v>1520</c:v>
                </c:pt>
                <c:pt idx="2">
                  <c:v>2095</c:v>
                </c:pt>
                <c:pt idx="3">
                  <c:v>1611</c:v>
                </c:pt>
                <c:pt idx="4">
                  <c:v>2188</c:v>
                </c:pt>
                <c:pt idx="5">
                  <c:v>1808</c:v>
                </c:pt>
                <c:pt idx="6">
                  <c:v>1757</c:v>
                </c:pt>
                <c:pt idx="7">
                  <c:v>1765</c:v>
                </c:pt>
                <c:pt idx="8">
                  <c:v>1584</c:v>
                </c:pt>
                <c:pt idx="9">
                  <c:v>1787</c:v>
                </c:pt>
                <c:pt idx="10">
                  <c:v>1746</c:v>
                </c:pt>
                <c:pt idx="11">
                  <c:v>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B-4879-9B95-C61F4C586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824543"/>
        <c:axId val="1837831743"/>
      </c:barChart>
      <c:lineChart>
        <c:grouping val="standard"/>
        <c:varyColors val="0"/>
        <c:ser>
          <c:idx val="1"/>
          <c:order val="1"/>
          <c:tx>
            <c:strRef>
              <c:f>'Análisis de datos'!$D$13</c:f>
              <c:strCache>
                <c:ptCount val="1"/>
                <c:pt idx="0">
                  <c:v>Total de Ingresos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'Análisis de datos'!$B$14:$B$26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'Análisis de datos'!$D$14:$D$26</c:f>
              <c:numCache>
                <c:formatCode>General</c:formatCode>
                <c:ptCount val="12"/>
                <c:pt idx="0">
                  <c:v>75389893</c:v>
                </c:pt>
                <c:pt idx="1">
                  <c:v>56154661</c:v>
                </c:pt>
                <c:pt idx="2">
                  <c:v>79044465</c:v>
                </c:pt>
                <c:pt idx="3">
                  <c:v>57189088</c:v>
                </c:pt>
                <c:pt idx="4">
                  <c:v>80101609</c:v>
                </c:pt>
                <c:pt idx="5">
                  <c:v>69699613</c:v>
                </c:pt>
                <c:pt idx="6">
                  <c:v>65539626</c:v>
                </c:pt>
                <c:pt idx="7">
                  <c:v>64974087</c:v>
                </c:pt>
                <c:pt idx="8">
                  <c:v>59266142</c:v>
                </c:pt>
                <c:pt idx="9">
                  <c:v>65576445</c:v>
                </c:pt>
                <c:pt idx="10">
                  <c:v>63489191</c:v>
                </c:pt>
                <c:pt idx="11">
                  <c:v>60085420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EB-4879-9B95-C61F4C586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844703"/>
        <c:axId val="1837839423"/>
      </c:lineChart>
      <c:catAx>
        <c:axId val="183782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831743"/>
        <c:crosses val="autoZero"/>
        <c:auto val="1"/>
        <c:lblAlgn val="ctr"/>
        <c:lblOffset val="100"/>
        <c:noMultiLvlLbl val="0"/>
      </c:catAx>
      <c:valAx>
        <c:axId val="183783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824543"/>
        <c:crosses val="autoZero"/>
        <c:crossBetween val="between"/>
      </c:valAx>
      <c:valAx>
        <c:axId val="18378394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7844703"/>
        <c:crosses val="max"/>
        <c:crossBetween val="between"/>
      </c:valAx>
      <c:catAx>
        <c:axId val="1837844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7839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4667551143412562E-2"/>
          <c:y val="0.86262421448654003"/>
          <c:w val="0.78991371657587461"/>
          <c:h val="0.13247970131852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D&amp;A (Industria automotriz).xlsx]Análisis de datos!Unidades vendidas por marca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'Análisis de datos'!$J$2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de datos'!$I$3:$I$8</c:f>
              <c:strCache>
                <c:ptCount val="5"/>
                <c:pt idx="0">
                  <c:v>BMW</c:v>
                </c:pt>
                <c:pt idx="1">
                  <c:v>Toyota</c:v>
                </c:pt>
                <c:pt idx="2">
                  <c:v>Renault</c:v>
                </c:pt>
                <c:pt idx="3">
                  <c:v>Ford</c:v>
                </c:pt>
                <c:pt idx="4">
                  <c:v>Volkswagen</c:v>
                </c:pt>
              </c:strCache>
            </c:strRef>
          </c:cat>
          <c:val>
            <c:numRef>
              <c:f>'Análisis de datos'!$J$3:$J$8</c:f>
              <c:numCache>
                <c:formatCode>#,##0</c:formatCode>
                <c:ptCount val="5"/>
                <c:pt idx="0">
                  <c:v>4368</c:v>
                </c:pt>
                <c:pt idx="1">
                  <c:v>4350</c:v>
                </c:pt>
                <c:pt idx="2">
                  <c:v>4292</c:v>
                </c:pt>
                <c:pt idx="3">
                  <c:v>4274</c:v>
                </c:pt>
                <c:pt idx="4">
                  <c:v>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E-4BC5-A6F1-004095E4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460063"/>
        <c:axId val="1976461503"/>
      </c:barChart>
      <c:catAx>
        <c:axId val="197646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6461503"/>
        <c:crosses val="autoZero"/>
        <c:auto val="1"/>
        <c:lblAlgn val="ctr"/>
        <c:lblOffset val="100"/>
        <c:noMultiLvlLbl val="0"/>
      </c:catAx>
      <c:valAx>
        <c:axId val="1976461503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97646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D&amp;A (Industria automotriz).xlsx]Análisis de datos!Ventas por marca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'Análisis de datos'!$J$13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'Análisis de datos'!$I$14:$I$19</c:f>
              <c:strCache>
                <c:ptCount val="5"/>
                <c:pt idx="0">
                  <c:v>Renault</c:v>
                </c:pt>
                <c:pt idx="1">
                  <c:v>Toyota</c:v>
                </c:pt>
                <c:pt idx="2">
                  <c:v>BMW</c:v>
                </c:pt>
                <c:pt idx="3">
                  <c:v>Ford</c:v>
                </c:pt>
                <c:pt idx="4">
                  <c:v>Volkswagen</c:v>
                </c:pt>
              </c:strCache>
            </c:strRef>
          </c:cat>
          <c:val>
            <c:numRef>
              <c:f>'Análisis de datos'!$J$14:$J$19</c:f>
              <c:numCache>
                <c:formatCode>#,##0\ [$€-C0A]</c:formatCode>
                <c:ptCount val="5"/>
                <c:pt idx="0">
                  <c:v>161384271</c:v>
                </c:pt>
                <c:pt idx="1">
                  <c:v>160082220</c:v>
                </c:pt>
                <c:pt idx="2">
                  <c:v>159030981</c:v>
                </c:pt>
                <c:pt idx="3">
                  <c:v>158802007</c:v>
                </c:pt>
                <c:pt idx="4">
                  <c:v>157210761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9-400F-9BAE-F6C9F53C4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1056991"/>
        <c:axId val="1941057471"/>
      </c:barChart>
      <c:catAx>
        <c:axId val="194105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1057471"/>
        <c:crosses val="autoZero"/>
        <c:auto val="1"/>
        <c:lblAlgn val="ctr"/>
        <c:lblOffset val="100"/>
        <c:noMultiLvlLbl val="0"/>
      </c:catAx>
      <c:valAx>
        <c:axId val="1941057471"/>
        <c:scaling>
          <c:orientation val="minMax"/>
        </c:scaling>
        <c:delete val="1"/>
        <c:axPos val="b"/>
        <c:numFmt formatCode="#,##0\ [$€-C0A]" sourceLinked="1"/>
        <c:majorTickMark val="none"/>
        <c:minorTickMark val="none"/>
        <c:tickLblPos val="nextTo"/>
        <c:crossAx val="19410569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582742710286575"/>
          <c:y val="5.4901920097388222E-2"/>
          <c:w val="0.59950300462279194"/>
          <c:h val="0.94509807990261174"/>
        </c:manualLayout>
      </c:layout>
      <c:pieChart>
        <c:varyColors val="1"/>
        <c:ser>
          <c:idx val="0"/>
          <c:order val="0"/>
          <c:tx>
            <c:strRef>
              <c:f>'Análisis de datos'!$J$31</c:f>
              <c:strCache>
                <c:ptCount val="1"/>
                <c:pt idx="0">
                  <c:v>Suma de Ingreso_Total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6F-46D5-A7A4-BC4A5173F5B2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6F-46D5-A7A4-BC4A5173F5B2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6F-46D5-A7A4-BC4A5173F5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de datos'!$I$32:$I$34</c:f>
              <c:strCache>
                <c:ptCount val="3"/>
                <c:pt idx="0">
                  <c:v>Concesionario</c:v>
                </c:pt>
                <c:pt idx="1">
                  <c:v>Flotas</c:v>
                </c:pt>
                <c:pt idx="2">
                  <c:v>Online</c:v>
                </c:pt>
              </c:strCache>
            </c:strRef>
          </c:cat>
          <c:val>
            <c:numRef>
              <c:f>'Análisis de datos'!$J$32:$J$34</c:f>
              <c:numCache>
                <c:formatCode>0%</c:formatCode>
                <c:ptCount val="3"/>
                <c:pt idx="0">
                  <c:v>0.31638562863925013</c:v>
                </c:pt>
                <c:pt idx="1">
                  <c:v>0.32613193271689767</c:v>
                </c:pt>
                <c:pt idx="2">
                  <c:v>0.35748243864385221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6F-46D5-A7A4-BC4A5173F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438595403971905E-3"/>
          <c:y val="0.21078360170429394"/>
          <c:w val="0.37761173483854227"/>
          <c:h val="0.64647140604249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21167704635149"/>
          <c:y val="0.12225007520304823"/>
          <c:w val="0.63084037787074221"/>
          <c:h val="0.8777495409832079"/>
        </c:manualLayout>
      </c:layout>
      <c:pieChart>
        <c:varyColors val="1"/>
        <c:ser>
          <c:idx val="0"/>
          <c:order val="0"/>
          <c:tx>
            <c:strRef>
              <c:f>'Análisis de datos'!$M$34</c:f>
              <c:strCache>
                <c:ptCount val="1"/>
                <c:pt idx="0">
                  <c:v>Suma de Ingreso_Total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16-4810-BD9D-D14E1E0ADE34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16-4810-BD9D-D14E1E0ADE34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16-4810-BD9D-D14E1E0ADE34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16-4810-BD9D-D14E1E0ADE34}"/>
              </c:ext>
            </c:extLst>
          </c:dPt>
          <c:dPt>
            <c:idx val="4"/>
            <c:bubble3D val="0"/>
            <c:spPr>
              <a:solidFill>
                <a:schemeClr val="tx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616-4810-BD9D-D14E1E0ADE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de datos'!$L$35:$L$39</c:f>
              <c:strCache>
                <c:ptCount val="5"/>
                <c:pt idx="0">
                  <c:v>Eléctrico</c:v>
                </c:pt>
                <c:pt idx="1">
                  <c:v>Hatchback</c:v>
                </c:pt>
                <c:pt idx="2">
                  <c:v>Híbrido</c:v>
                </c:pt>
                <c:pt idx="3">
                  <c:v>Sedán</c:v>
                </c:pt>
                <c:pt idx="4">
                  <c:v>SUV</c:v>
                </c:pt>
              </c:strCache>
            </c:strRef>
          </c:cat>
          <c:val>
            <c:numRef>
              <c:f>'Análisis de datos'!$M$35:$M$39</c:f>
              <c:numCache>
                <c:formatCode>0%</c:formatCode>
                <c:ptCount val="5"/>
                <c:pt idx="0">
                  <c:v>0.1887135838956697</c:v>
                </c:pt>
                <c:pt idx="1">
                  <c:v>0.2024215871976737</c:v>
                </c:pt>
                <c:pt idx="2">
                  <c:v>0.19622041896159426</c:v>
                </c:pt>
                <c:pt idx="3">
                  <c:v>0.20565976527809612</c:v>
                </c:pt>
                <c:pt idx="4">
                  <c:v>0.20698464466696623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16-4810-BD9D-D14E1E0AD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18821772942588591"/>
          <c:w val="0.28942000935636852"/>
          <c:h val="0.69023483405194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954949173132242"/>
          <c:y val="0.13177386296156768"/>
          <c:w val="0.56583738527880545"/>
          <c:h val="0.86695548900793673"/>
        </c:manualLayout>
      </c:layout>
      <c:pieChart>
        <c:varyColors val="1"/>
        <c:ser>
          <c:idx val="0"/>
          <c:order val="0"/>
          <c:tx>
            <c:strRef>
              <c:f>'Análisis de datos'!$P$34</c:f>
              <c:strCache>
                <c:ptCount val="1"/>
                <c:pt idx="0">
                  <c:v>Suma de Ingreso_Total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13-4C4F-9316-AAC18C710A25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13-4C4F-9316-AAC18C710A25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13-4C4F-9316-AAC18C710A25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13-4C4F-9316-AAC18C710A25}"/>
              </c:ext>
            </c:extLst>
          </c:dPt>
          <c:dPt>
            <c:idx val="4"/>
            <c:bubble3D val="0"/>
            <c:spPr>
              <a:solidFill>
                <a:schemeClr val="tx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713-4C4F-9316-AAC18C710A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de datos'!$O$35:$O$39</c:f>
              <c:strCache>
                <c:ptCount val="5"/>
                <c:pt idx="0">
                  <c:v>Compact Z</c:v>
                </c:pt>
                <c:pt idx="1">
                  <c:v>Electric Plus</c:v>
                </c:pt>
                <c:pt idx="2">
                  <c:v>Hybrid One</c:v>
                </c:pt>
                <c:pt idx="3">
                  <c:v>Sedan X</c:v>
                </c:pt>
                <c:pt idx="4">
                  <c:v>SUV Pro</c:v>
                </c:pt>
              </c:strCache>
            </c:strRef>
          </c:cat>
          <c:val>
            <c:numRef>
              <c:f>'Análisis de datos'!$P$35:$P$39</c:f>
              <c:numCache>
                <c:formatCode>0%</c:formatCode>
                <c:ptCount val="5"/>
                <c:pt idx="0">
                  <c:v>0.1887135838956697</c:v>
                </c:pt>
                <c:pt idx="1">
                  <c:v>0.2024215871976737</c:v>
                </c:pt>
                <c:pt idx="2">
                  <c:v>0.19622041896159426</c:v>
                </c:pt>
                <c:pt idx="3">
                  <c:v>0.20565976527809612</c:v>
                </c:pt>
                <c:pt idx="4">
                  <c:v>0.20698464466696623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13-4C4F-9316-AAC18C710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18975915153914427"/>
          <c:w val="0.38024612768759364"/>
          <c:h val="0.627784730514069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C3887DB4-6901-4852-A8A5-85061EAB4D13}">
          <cx:dataId val="0"/>
          <cx:layoutPr>
            <cx:geography cultureLanguage="es-ES" cultureRegion="ES" attribution="Con tecnología de Bing">
              <cx:geoCache provider="{E9337A44-BEBE-4D9F-B70C-5C5E7DAFC167}">
                <cx:binary>xHrZktw4suWvlNXzUIWFWNjWdc0GJGPJfdX2QktlpkCCIMGdIP7qfsP82HhWVdeVUjVSt02btR4k
UzAQAHw5fvw4//7o//Zonx+Gn3xj2/Fvj/7Xn8tp6v72yy/jY/ncPIxvmupxcKP7PL15dM0v7vPn
6vH5l6fhYa1a/QtBOP7lsXwYpmf/83/9HX5NP7sz9/gwVa69np+H7eZ5nO00fufZXz766dHN7fSy
XMMv/frz/7ZwmLZ6+Pmn53aqpu1u655//fmrL/380y+vf+qbbX+ycLJpfoK1DL9BCU6k4Cj57Y/4
+SfrWv3HY4zeUIkkElKi3/7gf2x98dDA8n/mQL8d5+HpaXgex5/++PfLlV8d/8sH1ejS3++fupez
Zvlvl/vla/v+199ffQDXffXJFy54bZsfPXrtgeP0YP+d9o/pG0YYY0jGfxr4S/uTN5i/PPjD/OiV
/X98nL+2/j/WvbL9Pz5+bfnj3X/e8vnYPfyf//43hn4MsZ0gjDj+PfIT+VXoR+AZFlPOMf7dM69t
/08c6K+N/+fCV9b/8/PX5s9v//Pm3w0P7eO/NfL5G05iiRLyNeSQNzGTVHAp/nBL8jXk/BMH+Wuz
/7nwldn//Py12Xc3/3mzX7lhmvWD/YcN/v8RnyZvuCQ4Eexru0fiTQIPwOz0D8PD89/LzO9Y/88c
5a8t/z8rX5n+fx68tv3VvwVx/t914M+amD1MD/lvxfSLUvD9p79dEir8q6Xfq8m/2/H49OvPSfxb
UP1ew15+4Ssbv66n/1jx/DBOv/6M2RtEBRRqSSVhXFL+80/r88sT9kZyxknCBUUoxgzBLi2ETgmP
YBHHlAtE4wQTjCCfRje/PIrFGwJhIAVllGFYz/5kL1fObtq1fxrij///1M7Nlavaafz1ZwiP7vdv
vZxSAJISLnEMm3DBJKNwhO7x4QYIEnwZ/68giqajU6jSYiu00Grk7arVFBfIZFXs2XDOE+YfsW/H
4xc2+oudAahf7wxWIRJBIeWcxuTrncU61ibSZZWOY9MUSpQIfer5VIhc026bs2TlyXSc5VQ/j83c
OPX97TH6Zn9KeMwoBSzjCaIvz7+4+RSP3dhx49JECIdUMDamqeSj27vRJ/fThu1zTLaWZFEdcFpN
HXb7aUTx/vsHAfe/sgPlMYpJEvOXykVe2aFbuzUs0WjSuini5U4Wm8xYXZjofKIE7LA45q++vyX7
dktBsOQEwf0hIl9c88XVF+Rs32+RSY0J7BTRunwf03k9mUsfVT+w87cBRgUhLE5IjDBl4lWAjX71
04xMnU7BrpXqRs/qo52WpFFTFfn94CvUXYgwok//+iVjziHCGU8SSl+M8MUlx5aLjXS4TqO2GPgF
96YwJ9RHdlCRHut//ZqQx5A/WMSwHXtl0m6eqNxq2qS15+x0Mb7O9YJRZrV5agacHOsXU3//hi+m
+zp3aSISgnkswa6xeBXBPqCZW9o3aYcY+sSwA+cZwIsfbPNtogLLZZQkUkKexN9Ey1Y1s68Hm9bW
stOxGZ9MPE/zLvhW0QXXu2gLgzJ2bdsfQMS3cRojAdjJBIdjcwE8+ksXtnQkknTepisDeFBRXY6q
aOfwFNqyGX7gQUy+MSc4DrYBAgnYK18Dgohw3faEuHQxsXkrlobrtMFo3mNczWPuOx7X2WTLslZm
ptGm1mmaZLoJH+W9axlSTdmu/Q+O9a0NBCKAkgQYLRQQ/Cp/aom0m4rNpXPZ0+0UFc2WtlNSr+dV
VSY/wKK/2oxiQEQEFUHErzcLG4pLry1gYrey06lH1Z5pWpZqjNfuw78avS/FDcdIAjLElEGF+9K5
HNDOQCC5dK3mZE/NCtHbdJ3u0u/v8234CgwozxOMwauIvTLgVGAPtVG7dFjb5dxskd2HdWWZDf3s
FGeJfkSRb+6aIlrMD/b+FtsFhvCNZQKlFYrNKwya2lFPvoM7loJAdZursCkSeKVTTgypz+eOQOn5
/n2/RQUhSBwTAXgkv02aHkvN24I3aUmCv4qCtW8BeWX2/V2+gXWOYmCdULUAG6AjeHn+BbrOwgQT
4MaqHXB0JWNTnBe9jE/qai5SH8vuFkPyXn5/U0xfpygAkBCSA9klL7u+2PuLXd0QLRFd/JxKm5TJ
aUG1PNjGd6oeyyAPkQ2b3i+1tGveuhkCarNcP1Vt0x5GtITkaJCo6aGeDQ4/cPVvufEVGoOjeSI4
lZTE3/IZ6upk2pZoSwPr3F4SZJa94UyXCpNFKtEKczr5trwqGp2kmwntcTSLhjQO9XMlkn5JmWe9
yyWdqx/l9TdJINCLGEQJecE4Hr8y3OKrIA1tQjphI98N09J8DInEPOebra6DaSN0XtkIAhN4ItBA
HAZP8i0QoVogiO+YWNsDmcUiskQv5ESIYl3zeJiFzkY7+C3rQgeQXDPCfT6YeenVnKyxUeBG7rOt
a+snN0AwpQupl7DbvJzW3do2pEu7KAYCGHfbOCqkPTpfuZfPS4NbfxgLbszOu96uu45I+B7ZSCJy
gmp7ordkrnb6JbcGZLRRXenhEMk83fgBV1eIFu2ONFVdKrR6+yiw3VK0ro1NpW9KncZgk0JV0eKv
XB2iWZWeylOi475VS7cA+5pCI+sPhht/USHqp/z7Ef3aL4DqwOOTF6UOJxj+/jqgva192SyuTaML
u+yaNqU2jzPH5x+Awku1+Dp34pjC7xMBdD+hmMn4FQ4aPw9TMpRSkbji5UNEomRQ2G9uTAmqFqfC
MJZqaXGVB2S6KTMTvSqqQasCFcuoxmmgZ9xrdsFb3bWZ5kl5Fcaws3V5Rj2JVEw4r9W6mjiFmlbc
hLoJfUYh8cq8bMKUhraxe7I2RImiCMNunaqPgSxRpJpQdOm4Vjx33WrzynfoYR23g/O9eY+GWg9K
FvV6W8VLqxVQLakkWHNMy44satxwMBnv++sXSKx2vSviQ1GI7qoPRC5nVVWbtJOOD3szocKrSZaA
/Xou6AnggcjKNh68KoRoQ2qrekV5sUpxvXYDO69tmZI6Qnw3lxEasiKJ+m4f1R3fl+Xmd7Fgg1N4
xuEd1dWxizsaHsDpOI1HzkjWl96O+4jSOFYjVJ5hF9lmuUNYJKoI85iOXS3UPG3mGi8dLdUEp9hy
3POIH5IgoxPUBJcZZsfrAm3dTR+L+paQsnmOx3lsVFL2o1DYshGnujN+X8z6ck66nu4HK4dOoXFM
Pg8dHhykWsTeF0vrt9ThILWqqBfpREc6q0H4+QpVRX+N2WKPoANVZ21fsJNoojs+JHI3UE9Pwfjo
ot3iIe3iyOwrOY80jTCbhly3fTwdEGbPZbF9jEy5QSs5r8n7ASLqpoxYp9w897Vy1eqUXTH9MKEe
H9ZEBtXa4i1rV3I1IDyqJZAnbHSbm0rKVckQ4TV127LtksEmSOlYkPOt4ea0aRi76RK8DirMmk9q
MbRWsNnw2W/CydRFQIr3i5xxfWGL7lGU/LYyo1TzQNZtv/gmUBUHG6ySFL/t1rrV+0ITsutMh66J
ibUyiPks0h1VugqPw7oAH2NGp+NSBdXVdL4RtptyWyf9vkiaUGfQS7l97IxMOQTilAFqjSytZ7Cg
iSKej1E0nYDGPzV5W9RFkVbVIO6wNnclKSZ9Ak2LPdYDomXWtNW4J0nHTB6mzb4b/RTAkjWzgBha
QxmJYpt66+arJkRob/2KshnH4VzP3J9Am80huasPCy1b5cxwW1A7qcmuqp/prkTh7WDYWwNdqgKr
MjVE7XHzhc9XqONqBeBSpFy7jEdNvbP9jFkeloQ9EZOEPm3chG020tZfdm5cChVKvSlf0yrVbA15
ZX2vQu2HfIl1fL14HF2SobxydurSgmiaLqy8bxnDR5Ho266f+ut566uncuHNsXX2zEzjXVIxnfGG
QJiyh86Hh1oM1qixrZePwHaekhiKm4+WT4Pv4/dmCwLiOY6PPpA6XZbmxif6Mtpce4r6OHpninDJ
vFjTWlcfcHga2upe6uSpXLFPg9xONqTPAaS0EvOSi2nc9wH3WcL7Nvdj/EHrZEktI5c4Gqt0Yt3O
tOGeismnDfKnmvvzVhcWqqm71xGme7bVn+eNZZ0kHxLWfUJldZ+wlSnOHU+buZfpqP0DSsRsVN1t
j8DvbjwNdxLVaBeNoH8QHNWKdV2burbplRn1WQcxZstCLQO+6Qst0xIK75lrqBpwNymyeJ4Ozuis
5PjSxht4KCw+LY0+A/ppVWEdyDwdJ9nqtuiimeJVzc1qFY4lhR0QO/G8RBmRK1VN42JVtlHaa+ou
WpwYJfpiVRPtBPRC9BC1daRaau70yvdAdQIQBNbnHvJkrixSttO3hEIOydZd1htKk2ltgAlXz7Is
4yOwNyazoSfxqAxmTzUQj06ZJvJPk2XTezbh9qSAPDuLXejSuK13uKvg6D5KDlG3XNYjjtIlIv42
joYpxU17j7blNIhhyIfkpcnQ1ZwS1ivfhSOwifMwLrVKepDrAu4yuyZxbklzuuDxfVsXJ+Ngi33l
21ZF8ZxPMYhFIPUlKWOeZnqoyrxb5Hhhhb0XMAts0hgjcEwj7voQoqwd53sz4V3E9LUF/qVApfDK
svW6NvJR821JAWP1WdSzKe+i8nEkusoWAojYtmJTYtBN2kYjyxJS63PTdY+kHE76spYnyUSd8rb9
LKO5VLB39RnawzKNbYFyubnyaSpCezpY1uxknNjbmE32PhQ9OIWUCbCbKOSoazsAaFxmta53oUZ7
YM37biWbgph4Jk0SIOqg85/HrTqvmlYeh267KXF8wOty27Td2TR3N+3ozXvv++tKVyyNSrGlpJOP
eLM6d6Wlx7AMBMSlzeS8KmqF+yEvrB9UOVUXAdD5ZuiXG8RcqZLV7znf0tj5c9r3JcR7fO9qaC5k
opXs9ZWpy5M+YmfBL9ek7AHo5uWCxPVFLbq7IizAOEEvOdTr8tmFySnXbWelxoAbbXu2kJmpVZdO
xRH6zMek28AphJ5WtHVAVdfT2o1cuYaQlNj1TI563zeuVcAyxLEY/TVtIfp3GAyp7IvDm+mD0MuY
CR/vIwCcXkVtWV8gvTaKIq5I0rb3ydQ8QmdTqngY10jVxM3ZACocxGKIZ6XFdtGP28k0JCGnc/IB
AJylXRU+FktVjQprKOKUG+ApkT7DFUHnsbedIpalTob5em0gKEG6aNRW202VVeFUuxSLGsIUZaXb
irQtzG5JqrxH9b6UZUrjDb4zVTc1SaCSsxWlQ9c8rFEi0jq0T6iKJgVqQLKT86Rk3JaqictBjQu9
bIFHp+ta3PG2P+PWgChDuFNN0j3oFZ8uOvGXdVHPB6ZjnBk69lm0Re+WjlfnttlEOnfFhXNNkWMQ
GGxTH5G9K4Q+FOuWbUuXxz0+rVB5LkqTIzlANW7bOV2LCKm+7l02FTRfbP9ULeUjF9VRv9i25OGO
oaFVW4jFcWVDnY7NACsa0KoGYnFWl51UfeD7rqz20WrNjg3kSmKIMnTbs7jY+X7ccxq9LaBrW82c
YhJfAdPYoSQsKq67DBSNJ2KXk7FypwFF+wGRUkVznaiRRTtdb7tFyCtQle9RUzyZNt6xieWgHOXx
XOXOiduVNZdhZFaFpv4ghpD1dL13sgLohgo7OpzHSxzvJjLUOyrtFeindufnxeWkoWvaU8tBA6sK
YJzgjoThzLVmvDBmBcLOR9WWgO+0WA+JhyioWrov2bIpvQ63fT/mQxR1Owl6mmLLC+GJ3Fs0Sa6E
R2c2QjdEi4u4AbmJ++gUu8nkFtXTCd+ohZCKS+WsPo3iqt07FsBAU9Q2KuLJxwrUnryot+GlFLDM
J9vVtpnTINuzmvvlYmndo9hYlIrVmDMngZEDm34nm/5KyLW9nAMvD4xUkDUSSncT1ECi6kC3Irqv
oCu50zL5xOcO5CJxXFB/I3l0x4oonUYQCD2PP1dCLtCGUmjdhPiIEjOoineNWkWP1UzDeSVJmxIo
AkCxlw+gdT/MkxSqGESX81be8RUTVWKyc60Nex+8OZENvau1vC3LSICs0V/D/OZaaO8uEGFDGlz4
GK/RyTB1JC35XGaWihtvF+ANY1Hkje6uorqy6Vh4C9qsOAJJ22+GjbvEDwyGHsxmIJpfVsUi0tHx
fgfjlmvXm0/1MHO1ReWl6yzwrclbr+TYf46xvW5GDOAPOpJCvHs7ItKk/dY9Obpe4y6Jj53c6H2E
p0aRdWKpLfSWznj0J8saLifBpiwietkxbZpa9VsjlCz7B9PMZ8R25xUUsJM+REVGoevJoF5VSIEW
WJ9D3IVTXy0fptbytG02wDmgIwEg9EwklSuyBvP2UJTuMZpqfzJNyZSKsrrsp+KyHauTdZln1TUm
2XdugqqziSiP4rVO8dCtCsuSpK7GRiEShtxQXmRmqLFKTPO2D+NBSA9wBsiiUC/yrYnaM8tMUKB7
ZGFu710TPQfWyyukx/IcyX47caInu6YCN3uHo9zyVZ/Tpd+hujiWK9nDYCj6sLSwMbfRPmkEZJBc
i31roysj250ct7d6md66pBrTddNHIYY9oFmGpqRSo6dnbhqv3UysIl1/RkORJ2yb0nprGRQvIDl1
U97MibhzxscpC8NVj9j7rU0uk5ke5gbh4yDBTJGUPrPzmhs93schusdVj0576a5XqW967G6aeatU
HaoPaOn3tIW8Cyw+W6zzqRvJycCSkxB8Lvvu3KMB2hLoYKBU78rJA0Y5sYvnYb96n4OOcbRhwlBY
xvZCMkdwymW7nZGBLXm/JMeqKa5x3Op0Eb4GxaQ4Jl2zo836trGNzLTFucfQ1PpaQqeMP0+df8nd
DqsSCZ4LK7pEWQyDNTUUBEHP6hYqoUcltct6s658F63DMKc1W5N7aBin2wQVpU17FNVNFvmuBFQx
puisohiFC2aBQN/waoAyvU2JHQ+sXsrzfozqa69d/3l0C4BfNIxAGXta0QtiBwdqVjXF0UnhQfNJ
tWPkCZQc9jZaGn+IULleTJTraY+98G+7wnSXXSVRkSJcRXZXsZlcFV1UQLHGS8GPjlqbT4zUMoOU
kn2GxnXOuxnfuaWc8dnMJnHHu6m8IqAqZ7PeLgMp7hK5XWNQ+D957+Oslw+Ad11qtk90CJerGKiq
emJOuN4s1PrSGLuDd1umDx4MBBE2UpUUjkPHWy7XjDTzToCeFY3QLJjyvIj0nY+xCi2c23t7U0Dz
bMN8RXRyDUJwm27DOqdNwi59aUH62Jw5Jz6qi1QXY/GJlaa+LE2XOyPq1DiUFsHIbOvjT/0gRd6Q
Yj1aGBIDtrs1hkWBpSiC2E3ZAFVmWPVJoEbnLffu0rXD6TIv72p4c0CNPZrvBkE+tLJ7K0QFIpxt
QQrvSvHJeBZBz1FgBQOycFolEzB9Ub4ra9aD+jig5dAAlig7srd2k/a26fR70kDCQmw4pmq4Uxw5
mgk7UQWsrw+qcO0kQTjA0HjqvqRZuQxr1uj2IMblGNH+pprp5RRclZWeFKcwXv/kauP2utr8bdlF
zXI2+7l9gL5Mf+rbQV7Zru53vpL2RncElN3Kp9U2RQxmCesNCJTZpuVJufJw5Rd4Ly4a9LZ3Mwc8
Mxg6KVOaM9RqdgsJ/jAO/qoCNn/ZJoNxSiauzk3ro3tohEFxLWCwc7tNQzhCWRzUAIX1rmugx7Mh
mCsh5u1EhORdQG10IrG40tS8i8EPpy5uXV6KJLyNeAOBAKRtzMdRonvroKOfy7rM13Jq7pMAAgKv
GnaLtYYrcFwGBeO+o5/6JPOMr1ddSMpHCe8dPrKFLW9ny6iyU/y2x0iellVjL42OgIczb86tLBag
EjBFV5VByvTeq2Qjp3JY5tR3jCm5jjkqMQzxR/9oxHgOboEJ2jo8wJjZZgPrrtferQ9dCeoTZMyu
8UkPWltcnsJ4pM2HvmuOSzvNR+lsc6iWoju4ji331G+FSYeEvyd4InkPJDoFKoV3cdJgeJWAzHmd
NHUOLyvlFUhDKu43cqAtl+niN76kM8zY0RZu+VKVqSO0PgloXHaQgLWqWLIowYDIDHJ8v27rZ0Pb
3SZpkVvgiqmdCcmrktLMum00+23pubvVA2qirCF8OJ+6AIoVpQu6j1kBdYF0Vad0Yj6ASLKBoMKR
T+FlAHxKKo/2iSSgn0XbnJbTfLVRYNKWcXtc6qLNJoYSq/rBL7sFdeNh65jIfLPiAeDdRke3cXMx
NLw7qXQcrcqVm9s5TnW6Sa1vBarZeWvms6ghTcYpsx/sVJUf2tEwr/C4bjByE+iBlPWwS0A4fpbw
8h0MCahf1Kyr4SFJTBmfmbGIc5ij21KZYcSP3YvSDP1SbzJXzEBUIHd0nHpSGgjIjSVSbcAFgS76
reN014V5AQFJislZgLQ4EtcOVW2bqDmGgDxswwBKRQSqNeT3yuZUTyZ5CGjZODQnoUyAcUvdFSe4
rAZ3XIqpbEGlBm33BE+4ip+naV0ge6d5KBRvQjt8NPCb63uaDFALcD1R/SkhbeXPUJh4dVybedQ5
grHC27GZfptKwLtt+TxCeilDZIdSKBIwi9yA9U/AtRHe931B2RFqBXfQAnFd3aIm5p90o/lVDw2/
PojfxglDX4/mCPR0i4FQtONhRlUnr+0CJO8kThZBd8U01uvBTc30znELQdXWHD7wi6dmUpuH9wtA
CBGROSmJ34a03GZKy3QkPvYn67DZ5oL2sb+y22yGHZ0RPZTLwpN0YGUB/RXojqBnD82GPjV9g9Km
QdI9TyQa48tt4XGTG9bEDEZlDOms12vkd4N3c38AWb5ZUl9yFOUwvGwSBZUrAqVn6ZL6hFbFJHMD
qmo2RCSDdnuPQ3S9xR4UWdl/aoTYU7Luk7W78Wu9vncG5OcEP0arAaFwvBzqbrcMIwdduAO4SXB/
WEBivg4gt2ZyLPEpePtDCay2XOZnOaGQ12INH0ZbZbEENXIbpQMSBNoddFygN+TbCp3P5FeebQYE
l5cmvtzFrhPQan4cynXQKeIRjI30iHfQxReNWmioUz08VYk8LNH6EeuJXzi+IFUnfqcX3V/CkvgW
JPP6jiYze4twZw4z85/kFEPpLoM49MC2c2ihylnZnogTB2dVphYSXAwyZT4OtAW9rl6SxO5jNDl+
vVorRWaSBdDAD3zbj/EiS9V2m4cU4X1Dz2aB2k86XnWf1qZa4pN+XBsKWsPLuHWHV2LWgxkraOhj
Vg8ya8sJ+gInKLQn0DfOM6g7Ntk7J7f4rOrN5vK+kyxJy6Gr2pyuPRenbRWNVrmWtM0OAkaOO7os
Hp2KZozYZTEvgh+IqyKRxxG8YlC0gdXneNGIn64dou4I7q3CAS+EhKzwE5xbiB5eG4O3VWAKC29z
6HXn+onU18CYvb6b7GbpWe0RQAFfIvh7AxSSCiGXTBntRqSBwBRnQ5wU0863yVjuShZ3CNBFaqnc
UDt61uCw0duargM+TSY22gOqbFgPsmF116vfYWKRZm4+Lpz31VU8UtOc1z2MdTK0zmNnFO30GFTC
GxSdJ7wj1QF+uQABYyjtKZ4kAzVz6C91PECHRUS9nTDX/F9KzqxJUhzb1r9Ix0BM0st9AHyOeciM
iBcsh0gQIEBIQohff5ZX1e3uqr6n6x6zMqucIsLd0bD3Wt/auBLjTt9jDW9mPy+RIbsIoIL7YvnA
d9G8TiLnpNFHSdAG9j3kjYcumOYjODJ39Xy+KKNDlleT5uXs4F7WqDvvtnoQJ3hxv3i2fcWViiYL
BfhFzZG/x+FtLiJOL8PC+qNseHoArnAlPxy0nCgxB0nHbddszVhoMsdFqDhqoyF2p0aTJp+v5rtf
4WsVSWqjn5a1ZA/PvHqrBqrDq6zWvEktGrfXDuQOuvx5bo+QoFFbLrPxN8M8NSjqBNZCoiN16bMI
QlDTp/xOrn49UsE0mi7eJmhDhmpXjZ1vS6xlVO5SD/rlaqvsLcclvc4dxzKP2PBDkc7v7Jzc1FXX
fV/r0D+SkNPHRQsnDo51c5GRrT5tQfBs6QDmJwnEHnhGCiGnzwQ0L10VXnG9J7WlZ4EjQp1XNGQH
avvPviZt2fFKPdOZoquBIBfjnfjNof2bPzge2nMD++SjE4Mrg57r0gzxUPRZ0od5MBJ8pl5MqGY9
5K1tDuLjpiNxHsJqfcjQqT5kWHcFp9HXeNioKODU0u89VAQYZ5mhJRwO/9rBaP3SdNH42IXZW+Qg
7LhQsp1cl+qxquy07jrmH+RcBTgZxr7I6DDdsnnOINYbdt9x6ypIeXhOge87uJO6W04zN/2BpR3/
7pBaOUyLG29CN+i7qApsnkGhRPed0Dxtrqedar6EQRVdssl+nzva74AVnjJRrTd+VWmJG8PccZNF
Z+BFExymefqWiU5UZaio33XzcNVI22gZ93ATo12fqEqUSRbF3y1palsQPqhwpzuJFda51H9TWde6
vK0IRdvfigcO4+6tib15cz3DNREFjwTf6TYKt/TeRnCGUGAM2zmAc8xLD8vszqEU2WsyLD/jROnH
YWv0A5ntuQ0z6EZh6rIjBAWoVskcQSgK2yRuim7covdGbSw3nqldNPrhTsd1cJwzcAA5A+m4FaFt
u4Nsg36XAtSpcfBszUdTpWxPmjGocgNfGxbsNOFcZRYg17RCJ26oAXNGL1sDzTDkKYVMIqkr3JQE
UPddHWKrMFbSiGXPUTCgHQC9eYAhyWHqNRU9ND1Fz56RPihqN2z7LQ7UbU2W+Xvm2+iu7ZZPGwxc
oVfaTuhp6iIbKyPKSJLgNMhxPakUhWjS8eQSCmhZ1RYkh1g5QXKzVfHjSjP3PumJ8rJalL+lPEie
htqh8pinfrdtA7uDgMPybqyOS7Id0b+JvQ5sl0/B+gQmhLz4dDCPM1wxlK9i3GP9A4/gQbtXvYi+
6jC5dm5VEp3qBCsxX9cxe6oECAA2tv2Jzws/Tq2tjrbNoNAJXrYsGM/YsqduaLZ30HRQtWtoj0Gb
zo8krnTZoOxHR6vb7tlGLnxzCa3vkk4suJtpAx0npfd05V+69KqvhlK2B5uEogxGsAXA8ZqCo8BH
b6fpsRNbdKiazj5sk+1RZvQV1n/DPyNX6Z+yGz77dnDFrKz9trQ0u1NjrHQ+WRCombb4OfD0YHav
RQBLvGCONihs2v7sM71nfbjkMLf3sSLHtRqWU5LWG9TS5EypU0WUiango3/XtG13AElepex+JAaY
yUhkHvopzpMhuBkTrmKUC+AFK0pQE6m0awEGSbMn8lrfENKXgx+mArrKetOhG9f5tjZPkMKHyxr0
Twsq54VJkZajRjtBLOzICNjteVwDLNbEo2WuJfHNRc9K7Pmy1BdwHgYPAmcidxwXsISG1S/b8xa4
sexwiO4WLOKidxooVcB3tY1fsqD9LsGL7RMW1iUMwR1qr/DVhN0RUnt7ltx/TDrUO4bP5pOMuI9E
5ERcpJF/3djkwnwSDsig1JuXuVhZcyab5F8rWUkIlpkX+IqwxVm5SN2WrEJjYB1uslwlA7n0BG31
uDjysurJnKl1/lLjes7nxnZHDjUNIvyq77ViEJSyfi5gEzcX1mVD0QDUvGP9BA0dsrNHjuUATRFN
CNquYmARyD++BEWr5PQiAgJcCYfqbuhlsh9xC+7jjbY7T2RWTtBebuswhRYcSEiCItRFqDN+McOM
WzCpk6egyvzN5q16TSo0sRJK5RtJycl7ch69DWi5tON4AxW7CMz8IWwiH6xN+CVtpTjTMAmPaib6
tWJxeJlVwG7GWqmfEI+DiyCqvoThsORVJCx45Ta4B+FFqh3OM7gOsMlg+tRDkZhWHicPiJCza804
bgIbNOp2vh/4nlKSGPgWiXmw6UDumIBtUaPxf5nIxB4qEKe7PoQWRutt3YrF9+NTQKdvLNLDje5x
He61X8ZjNo3pTsS+LczqzXdu4PL3gKpzNHc4niW9pCtar1sPmfupdg2c4U3WKiwWSL1nskBqvJaM
cIDGZVepsCurIFsP0EzCc+Z6kjcV3sEwA8BqHZTNfddrfU7XlU/57D07j50RV5N7/PA4adYjdjV/
nseur4t2kmvZZFp7OJlkPPo1xBkgerPzwNWOMvNmBzYBu00k8/y1mlFiQvtgfC6XYOl0DuUuuKwz
ic81NBVaRFZlr3FNg18N8/xoZtRki2/i4HVKUv3o4pi8DsLS23nI5vNmtq+tYvJ2RYv1GLXJfJZV
Oj4R6WWTT7WMTmmm7AwZnW6ycDDHymhY0NkHq7+FtN/vEjSGQb5Axh9PfTrglE+XOoR+Xc9LXBJT
z0WamsAWYzINP3w0NHbH6Va9Nsp0v6Ku4vBUCO4CxuA0GBNg2Wi+tFjyYgx4Po2ifaGTT+IcVBxl
pRhVgho41BejdXfAgYaarU82MGDoGx2Q3yzca7Nl0BM2gJwpFObO2/GBNOgWXqTD6Zd6kHFFRSJ2
ryDotQBowjn8EoOpQPHUpvWZDUNVoCNPoyMdIDQEkxQmX5sRlke8LsmYN8sU+iKMbf0ZmHaBL5oB
05qa7kyjIfweaafOhm84H5JohYsRbTcThwdY98twOzpSfaXb9r1ZBwZHHt53l+Acc0LcdF223kVr
0O2zibgJ1uC1S47HnzFzJxNMVa54eztm9l1gkUNNXAUtxNgsAJMStlNr3KGxmSYpC1BXw30CYqre
AULDqYdq+xhWROWCCihLNmpVUdNqPIS1VCJPvRzxnlKSAUFicb6k2Q/IeGI/q+Ggk8TtGjvo275d
5mLuuwD2FSIKQLLTPAhBt7RzwveNn+WJomkoopX94FkNyAEw5UGq0HxtSVif+FjVuuyNmo+QoxQ2
EEAINLsk92qtH/B5gyMCj3fp1nYFe+rGZb8hiLPvGg/xeMNDIo2Zyg0uBrnwYJMvy4jes0ylYyH+
crjd4nB7YHyKoMr7mmxnnKvwaDO4x6igIHrBH41hBuUSi4/tVmHak64H1Oj4u2CncUjDQJYqgGIG
RAUNSX1c0iiayyRwy64GWLKH/EdsMbj4ycFm3CNnAH8oiwFhrcnHEiUJweV/XX00yY7osMzbNgh3
DKOpR+HABpcPmkxvkU1gqE5jnL3NCQErmM1e3poqaS8uWPE6UPRV8LzQL9c2WEqy6McmgqSpew8N
1A7jdhIQYP8Wuvw35BKUTooccBYx9L7sL/j3iEBXvMzjHzj9xma/Fk6maZtDmAfUE6NEwJl17TpN
Vp28Y+YbzPoMRrDRMwIyHF3w0VVVjxW7DgBccRquDxyOJKqxdh26fDORpeXUm4Z8SuNhznR2lO53
fviPpB1Qq3/Gxn4AiJhF3fyRe//Hb//Pyyjx328p7X/+4TU2/8/f3f7fvP1//FeHz/GaTdR//UfX
V/OP7/XPPPg1bvePcPj1N/8W/Psfon2/x/f/h7/8/8v90RBc+z+i+dcf/qfg3+7P6eZrou63r/g9
+Bf/VwQMF+g/AxSEBN81OPN78I+E7L+QC+Dsmr/6Ld+HZMsfyT9kyzO0UWGQ8SwEWhfjr/5I/tHs
v0DdBxAikxRXcxKm/5vkHzLTf6aPkQ2IAAWjB85CSjNETK64/b/g9HAntej65Rdqa7Y8Nlm8AMLl
zgTlarh2OVx4wBGp99suJDh9K5FsBxTI8WfFaV+/V0Nlo0M6ywiXE9t897XOwMmVGsrS1d2FzBYu
UWS/WR5zEDgqhDUCeQPEWzJl81osfWLTfSg2Oj/DaON5G/cR7pmsBjK3othddnaNE33YluseWDcV
LDlNVdAXwyaRceA9yZJdm8qlFHJjCpXlpB4Iyn+wcJT4sAxUOy+wJdvVIONXWThw8PRem9Sroail
qOYDZJ/hVzToJjI5jAd1J+C9vjPapSGIfQ8FrJlXXaRuuLYMpkfHvsAsbHKLQIfdCZ3RvpxGEtAd
vslNNdcx3fU4g58cLr0qj9bJvxMkPepy1Yslz5uqx27fJgtPzx7epAc42ooXEabTrk574Q7NUPso
H9mMz3Em6KNKbVa1fuCrkWqAgrC4l4aPKXnkCgGT/VxBJykCNLNPLW6J5HYRtfT7yGjXlQg+wLRR
ulLv5nrJQNrWQ5U3fpl/KgnB+LkZhkjmQZJM2xH9LxDB1q3uPRlE3+9RBoV1Ma11sz3YKFTdnkHG
cXmi4CPlmwi5KGITNufELcbiNM2yuzqIVPSUbWoRZdUKvAvT0ukdCnODKJyr6KMLYTwXIw6i82Qg
ngN7WZp177mHmqXqZVV3poHMlldOx74EnKnkLkpAfqBISscRnIjczhlVAmRi0LM3q5GxLJclrq5I
hYWXOGRVlvfx1MW7pIJSckLub3Xgg4FPvjsh21/j1PQ1lNC4Dn+OCQy6zDRbW4C2ISu0piH+FiqG
h4Rgr6v2lTaSFYZ54WGw2VaVM/ZUAxsBKQ9Uh537TsfW0nykAdhW3W/BVoqumkyRQPah9xuCgOm5
XkN8s1iMwNZxoCOJu1OCzNLmCm8Mn+6ypdUF5LsOChXjOt4PnK8PkAmCsFSZW8hzHxsWnxgJsdlM
yDYULlLim1qEVpsynNf1YUVCwsewDK5b0ZgZTlfetgu+xZQA2PtYxwp3S4PsXtvCNopWuOVgChv5
M+4iyKq4fOyKFgn4yjgiWZE0nH9B9ZbCwxbpih+88XV6Z7oz9L7v5FLtf1+uG4Wg/2ZDi58rCdDo
4vdFN7tGgiabUHWXVG+g8ZrORdgdad+ZAjz2tyyul6SM0fxg0S918kZnMPsniJotzWufReDUWv2I
zyQSuWh8/E5M1d0kfWbu09ChJuthVn1fiYtNPlTjz7brgyONaHtp0ELuFk0TeJEIPKDKNn1ZM3rt
mYdftV3nchtoWu+vjPNd1l8r0bgLRLNvx9n6HI5ThIY8QP02tFXwdV1AFCZ9R3cQ5v37OrHs7lo/
vfIFGmYOKnv8QEnDL70XIio8oEBX2M7Swg6VLFET9F+CauInlbjxNrHeuxx2U/sQOTNZpINYdKxh
ugJb8Vnz2q/wkBtU73hSAiGdOFiMeWTUWeSk8R3SfK4z9C5TogFf2sEKEB0JwQc99iARdEXFVnS8
FjT3iVIlKjn/1CFO1ZTUL8lDiirrJmQTnkFE7Iu9+rC60gk0kLUt2MyQlpgMQnN1MosnjxJ9xWfI
wDcMVt3UDlY2S1DL8968dplp7zz1v4LWge8KxxH4EkCtFowJGvzTIsfqK/qxZ7vN9cmgN7rBu+9L
APr2HYJ5nws0RKeOAwuaejsepg5LdzFTBMpStMN5i7Ghgf4Zl5OVhcU4oUgtgNJj57bhotxu65oe
p1nf/LKjl884sWWdTxVPh7ydtDoEvO7wB5ls7h1XvNs5pWbgUBp2Vx+ngNob3An0KhS0NxuP66Zg
jbY/WNMLtLbQfEiJvFb1bQT6dARnTD+snIGvwthU34UgqH8rZDWeFfyWQyBqRdBfUd6V6EYhAfG4
pbuxTuEB9D3oRy3ZASeJvZGuy4oB8uUZ4Td17Ids+1j8YApo3VbuVTOlSCAE7fgdVyP4tk4ZcWzH
1hzlOM0lGrmwR7hliKGMx+DKEI5ryZgvFk8sX023/CTjGn+mzfKrCrb5FlFPaDwoRV49rJd3sObZ
B2Grg9mmp+9mcOCD26tgMwcVkwBVl7AUWBf4UR3PLm07tfwS9It6imNflSxkqyihTkyfPjD6F2u1
esAJrxTQNZrcISNpfoShyZ4t7D1YISGBD1Vt2Y0d4m0q5572RVRR9gjaIvsmZ68eEV4QTzgw5U6L
evvahddgKmtCnDZTdcv6bvuhgy38ajcgzFRr84isNC8mUEL5EPixhDleg1irxIDzI+OzvpO02V42
0OXoNjuGgwHF9rQcO/Qb/H1ERVbDZkB6Zdd2IUrsUMxszhHn87fNWKXvXbdhs1NEIPItQmIFBFtI
54LXtv+FUBtiPq2b9Bc2I+IKyQ5pRGQ7NggztNrQ9ApD94gvA5KgJsZl3DosonxIhyjbO9Gu6x63
Qfe1S82S7k23LZc4GZC7m0ACHLTRgHdVtiRIASh4jo9+ZPpojEw+ZVuP5w0S7ZonUQQ/vQ9TcIxN
mMFg3iBEyx0AdAvgeMUzYK8LDz1aIwyPCNq8z0Ycc3WbsDeq8KKLNUjapJQJyMpjReO6L4leQJag
COrKMcbmKiFQTRwW3UA+aWabYA9SDQ5C3XuEIxJCVbnw1ezdWtUbsJ9FcFx3E87ukGRgLAJLJVwd
ze3NlIxWlF01a1tqRVPy5DJIbtAB0fzuGO5Nncs07MOPUcThh40ytEGWg66TPo6nQyJQCuEOCODh
Dm5RzW7elsk+gBddxQ3MmxB6d+WpOdeJ5SuehIm6G95y/SZ8PD3iRgZKECOVBMUNVUebE2jfOIfn
afppvUn6QzAiDXvoViSW99ka4froeRgdkVuW9aFdDLIzDc+mYtkYsAcEjFOS6yhA1RpXbRo+9iqG
xSSgyz4kLkN+o2vC6WCjjl8ktGi2oyjwdGkHFxw9JktxHCYivfgKZkMh0MYfo6pun6hFcLGMpzj5
heLoLpVtqPAZUpWdw0ivgF/SDfoPn7hesSQFkXtSreiD4XNepGZTfAhsZbuixwyE+DLKFeufBOya
gwCSJxDw4Oo9m+qKQdJx6q7DHZoAmxkf46qRbRnYgDfwUQMUHeuCRGQJESiQ+UBij/kZncdm79H3
gH1F5BaRLIkRbENtnmFh41re9NzdzqFNP+sQ+joAV19UCaotxERSctf1cvrgYY1oYtv0+PpK2RTq
YTyBpxdmaeGo+8EijYg2lsIOESl4dw3kH5GJ0S65WwRAw0Q6pENksCl1oJBPotxuCQGL1YLa22xC
wjMaH5MWE7K2X6CVIZpV84G9OTnXpUjiK8bcCPZFRQG0sU3j7ClMyqdTuzTRGekGBtlfAjSClDjg
ZTbRSL+wqR1u+LDi8/eRSboCWZ7sJl0SjmhcYOPXyHTje9xPy6EzvP2IRYRiPgTA+ZOaUD0yBQ8V
77ip4pOFS34aKDQwwPHB0BWJtcFHpWswgu63JqDpw5Xe+K770tYRq5Bw2dS2XzY3sqMBYYhMG4kb
BGKqCjEjF1a/YLqJSyCC9YT7n53CiJkbroexLRSBaV3KJtqi0kJiG67VH8KVG422r004b19s6G28
C1O7PWfLnOldw2V06eHZ/KRRNRroEyt7cAwrDEm+OCyC62GRhHDqijFe9HGm9fyM8vtqp0AcY96J
41RdG8JmhLCBD767xbSY8aQbMu+mLGtOIAV/JinIwADg3QmbzsGrYDWEwjmQeMgGAUlkHTCAgk3N
YyyS9nOOZfzLLgl5klzA8F0b/lxjss0OgdSopBmRpEiGaxYHSYHsIcX2/awQILpKtUH0ZmBJTsUI
MyIqITT16qBmn70jORktgPMDn5Nr/8VcmOL3IwDj+4Vy5EOb0eyvFkSc836c835dSFdEQ7QcFxoP
Z+AO6wGXpcs9ekrWZ5kpEF6HEQQW7CFA5XFo+fxVIHr9GhLIdnQG04nAMT1uV3kecwPuY6LoWzK5
aculcg3gfL1FOxQn8yH1dHigJAI3iNXe1QdgQva0AmeDlBgurytQ3ENWo4BXQbQfZbLca0ORG6p0
xG+2Pvs5IpW35V3VBNiifJMXNoj2aGBYpUVVW8D6XFB2FuNKT7h9PhtX1z9Topajb8Jox3CoDiUf
SXoTtCBaS+TkxViYpOWgySBOPeGU7G8ls3IHIwCGZ4/waIy7nl/jvIj776FYpm+j4MiK6boFFBKi
tMVEDKCrmHCioJc+SAGEpYnccuu2/jMx+KoFNOZpTqP+EreEHkHpFgIXWrxTIZGfrJ2inci0uue9
TjdUeOOc7FsQTsmh6QZzF48aPnNVdYdsCoHxk7rud5oj1EZs1iBCCOgFeUijpjrvOXgGuFOoryuN
THAL+/McmAoxJD182+ppPaO8MMcOzNpND5AHaVIW31Op+y+LbBYE4dgscDfjov/q2tUjmFGBNwyp
gSHBuHD7qIezSbE+T9UEbu24Do5/j6HiI2IVIAA3Rcj0TEBVzCV0fUVyB0ac7wxtl189sLO7LERV
g3OSg+IA8NMdHEn998zF/b2epsmekzRZHnRGsIkwHgLHPdna+WewNjMK5s4A6pEmwnwA9IQI94fD
ocuy9XvVDSwEnwsmNCeQEpHXJmhQsIw31OQz3PbcrcI+x0wSkOIRhhk1QVIVoG1GhxsxQAQGtkW8
0zZe9qqi77FCxGdoR1HIITT7RLk23a+EfARrkB2AaQ1AaNv10oBvPq3oP/LOEEDKFuq1m1uz5KwL
q5PyDXqD0Az+OGdR+Lqa7GqBkDTpdqnBa14xKPDrxAZ4PmblK+Qo3j0gvqE+knpIe3TnenxB1vVl
Bux2369pNp+gomPjZF1s25d5WCRiGtwGprBp6x4QQCfVvU8WoKRwvr8MQT/vWBq4g9d1t+3X2sUp
upXAl2pt+yfUg1duK4JGjzEl8/cuGeZvFlYCFDO1/Fid6eYS4RRgJxhMssgeBGQL5wB8sIvP66Km
nZYLucMFqL5bJEAfYD6qYq4WyOLp5ugtRes/IpIwVycAZu40okl6lMuyz7KebWUGrPz7JszkC1y9
/BQ28tIhw52Hc9Ucw1jioLBbc8xGaCiIxhno8alln7MLvC7AcrGkNJm3qAFSpCoPgLi2x2xb7JtK
PAL6lmrz4Gckn8bGfOA6ls/ITSCG0Mn+QfrmZPFuD5ZYbHTQK/YzdqlLzltrtuBcZ0y7nZIr+djm
RL0xae6mlsrdCPGzWOGuv4l6CJ7AJsGK2ToKAS0Q77zT0xH8D/TCjDwj7L/mLaQyf0TNzD1kDIJq
G33ymBOXypvFbh2YtW44RHOVfhApkAXDWJvbFk/JIDjQliatljVvQDKdoPWY0mnqT7aJyZMGln5C
zZNgK0RPYWbtGaJfXSARNO+Rpopvqxi41Cgy0uzoZgaVcx1lUOZZ6FECJFbcBTMP3yuLys7pca52
tiPjhY/LCm1uGj6yBoSf6v0vWLFur2gvvtA+siiswNwYnrTnlTfzbVdv6R3NkOIkqP7hIf4Ehxm8
JFpjB2Es03DfAzeL3aq/GOT1xA1hg/mi44Sc1cDMO0NEQKA16Eb60KKOWD+GhNUQYTMb9MjU2daW
6IdSyF1O1CECJBI52j2kvkE9iE1CTM163DxlEyj9kskUFWA0o33J/VUJqmIRqEMTLRAuVVSjSuVm
DEiOsSLBK/IEtlRLgzxH3SzxhQwB/gEa+/TBx06+4Madl306CNRSoxvr5JozgzywoBmRZTgBBb8Y
M1ZNOTYoqvKGdU7skjVcpxtUJrwtlZlxzKxxhqYLz5RBfGpkt/yNpfP/UswTzPFBQYmJTFn6l7E3
QEcqRyP+yTBcDOEwG4Bd3uKmK/xYG6RWbTWWtJr9XdbBl/oXb+EPD+ZfR/VdByL9c8DMVa2HK00j
TCTCdNkMw1n+rNazdNGIAW3f2KiHW8Eje6h92JYbRNdShMoekU+xT6TqYlm0lgT7//zjw3/7+WkG
zeDaesQsy7LgL26BY3auGyUG6F4LpqwMNXHbMSNDGiHQKQEo1h0US+484PRsIast13TZLKQCf+2x
bYXJay2oQItP6FoSxz1ahJ1FOGveiQTuQzHiEJvKMcjkVHLpGvb0v30LLMOli1F0GNLD4jT+y+Nr
sqQhawoxfAvCptnJYMiggXIh/I8KPPTyMgHGCHB5cayilWAiYYsZVXo/ZxBod262kJjQtgB794lY
u1Nlie8vdqzBeiUNRQIAoKjCMJkN0/dA/wCvuvmbt/Dn8U5YBSidMFIErhJP8L/4L0+BIMkPPT5G
rCCsOowgmRtI+WQYKCbrLBAYd6YLwx7VXodn1AwMHy7iWtePHmT9lxjEnjxsM1mXMvztKRBF0v5v
5gv+ZRbSby+ShUDNULhhm+B1/nmpRhHui6xSfZ5OM8YgVRFJxwsiAnhdqD0eTePEJ+8M7Ka22/Ah
/7Yq+MixTqiqabrDhAIBxSqbG4yS8MnG/2Yf/zb97183EwsxuipKsJ0o5m7S4C+Dd6Y22YDDYhQJ
jXusgajzPfvoazUtO+Kxw79JhU+tdKSJu1vA6WD9cG427V3t07G5gISsk2PfTxUMLdqIfg8vTNel
S3S8gU+Eqzy1V1sIkkCTFM54+iVJqhSJ3blPJ8hhbRfvFQrotZTI0V8lHcUOhI0Sg8qwkH6hdWqf
oiCC6CoUzJNixSiYb1PjmHt0uklf+Io4Rx4ZM41/t8au2+DPH86VHKMMiBemM3H2l1FBMC6aqVId
crK258vT74eqphqzZcIJGuQd7gVEWFMBP6bMxtmnp3rVW3/HkT5G0FV5E0L9WDuUh70asJcQlMQ2
qtQa+osUKgIsbpxJ2e1/3h30egb++ZXHGTZAjDkZHL+6Tsv9V0dzg7ciEfcFn4BX0twRwdCdWSM2
MGco+8bdkIxxdKtng55wFoL6y8bTujsnwYBfx+g7kdlTWhz4AIu2GEJg6EfcA117CVLP4j1IZFAJ
cHapLlVn4T4xWeNL6cpGgSJvCLgr2Wxb9m1KZbedIBy1b/AoAv/yn9/sn89jDLVKKQTVNL4u4wDH
0l+eEkaVeKRTqjaXyE9fm4C66MTan2QgpzOikpA0ghGzFEyMjJQnHBzbf34B9M9nEV7BfxN3Zs1x
I0uW/kW4BgQQWF5z4yaSIilqe4FJpSJ2ILBEYPn18wVT3V1ijUnWLzN2zapukcwEEIjF/fg5xxlk
LIykCz0F77PX+vI/6sdbvsgV8TmQeI7g7xRmXkAcvMXAIueqFMMcBVdJCtm8cLoJ84t8sDurl4m/
ZA6daV8rWQQHAb6c4rgA3HpC5a6/tiXnOAl0ml45Zk77o0yS4ELqqlaHnny92LVyQ3S0Q5/oHGUA
1nrxh4d7O7xU2H0cszxPhn6E5Zz4dSrJPMzcNJxwuTE9JlBInvdQzLl7QI7klkRY4xzmwaBO0WN+
U24LIhpFQ5Ue3TjGoGBOWnhvnRsm9zBs/YNZy/JJLMu0Uhbz5FOikceHumXZwK5tS9yxRDscXHf2
bmFNRntQbZB/pNxldVAYICBGYtUdsVkYHiHRqj8ZJXrWTvN/Fg+OsKTTLhtihMsPDmFvzchqp4tq
2dU/Jt+WBn0KN6RBHSYwewMrod3HoGfmxBzrblG4L3hDdkDHpBVkZlPv58sfzNHe8BPsDcUCBwNf
wFAIBfbiv76CJgjQ9HvWRGrmOL/qtHKeyjJpI6y7vLQ/LH64PpveoLXE3SQtjrOEgf0uSdqiADCb
kAPN1Noh2mYyeWnzuJyOZeOGd5Ff+d5Jq6p5GQpJtVWqvrnVpu3rJ3eOF1JEW6Nlo1FfhBrlB6kp
OexWFyNbZOr81DFSUW9wDcKbNTOFOWROXNWnMXWYIt2EitU1IxmoHLvKR2/REO+ujTdiYEAlPkNm
6xfFBeSmkRltWgDHmrwi5yvnYN037CLT56TFJGNXvxZRRRP42WUbodHCadI7xTAXyIVlqtMjah+b
61Rptxz9ssYho40afAAg4lm2gCOqdyvsrecxWQG1ZUf6tqvKIYJR3CS3tatCb98Kr0bMMjVE4LKu
USEqRhc+maepmL2urf9ndKL/n0whPFFajMH/y2Xdcn48V1qWzm94Qnro1Lf/y0fORKEw/I8fUZQK
OG5dj3IMW9FPopAI/gNCgXk4IatHzhGyC/0kCkUeHCIUkQkcIVpRsBD+myjkB//B1BrmER9APhoI
8b8iCr2Ga/+zMUjMRCl62dg/wE05CN5aqNZZ2lFI9iK4Bl00eHfL4OLTel/rfujWg2ehaQ9mYVc6
kzVIikmrMQTdwExa3zNTutORqBL/KsoGwglU4ODN+9GCqI/uGjcb+Sraqo8dZeDyxc22Yvsou2oA
yvr5+a7sIvPojUMb3q0GqjZlgKKYqm9FYTwKDk048PuCkgHfUoPTwuxrXH6Byw5fDPGXE3p1tr76
FqUY+3QwX31vudkQpMfLcWmR492lAC1c8vwfpLdlhgtftdnbKPFDX2+0KlYiA43BH1/NZ+1j6A4m
/8s5soHzo/jruXK4UOPpbb30qV+YFwRILOTcXfXaXXnTxsYKZ7TgMUS52orJJNZm0RbxhdFApSEU
5rF9fSg3ljWX2XTIqAxmTBZzwcNR8MDvua6+Udbryhc9Um6827BD4KZdXqV5TLUkUqsXvBsRpfVQ
gT0CTq3Kl7LJ7KABtvNno8gZdMFmiQmFK3WKsjbAv4wPlaXExO5wfjZkkBBmHKX5JxoInmDTUzie
yt7nlN8FeEObxyQ1vIESDLz6JvOxLV+CpKyYI2vW8Le4WtV8ocKyapt3m0rt2M5Ogz3IThSNEu4u
8imvYwaI9Ig7gA638LteqDn+sfkcTPHRTUsG/DxLdBBldi6cH7JMs0mjYoipS4urNnOd+j5zJ0LO
Nazc5ENHOKvwGyq4O859AlKK/S3/P/dKO4/hBzASoWdfCPYSDjUxwTnLDYxuQjrLMZ1gfxZVrGXM
LCccG+Zd7giXOz1/n9c3Zmz2msJbTuXZj7rw7ucftLNvn11GSV3Gp8px3NGHt/k6S4M8RNR4hw61
40/Ob7RcXFUtOzX7muxnWFpeXP46waemzHlov/G5XXS5VQO7QPVb9bGvqz67RQCzpuYE3GuX3vnF
DJnWpX9d+j2nPG5wKDS7G+qJJe+hE5BgYdK+rj7ko3hh4VmIXt37iBGqq380cFTDO1UpJsrcY21V
7c6Pdv5u100dBsI3Ww8+dR4+x9OtwvuyDob8BzgvqzNCoMC3RM6AtGx0sArDJUcaSIjeaRuB06Y9
T55xJ4owslenSeUl1ZF/bLzvz5vWP0GUt6lpIInnBIuGvgdEOjJ5k/gBV6VzmVOWyNUMT4mR4qA/
s5gWKyum0s/NLM/MZAM/q1xBxK7RNMNX3DlBxZblDckg7nUPzOP9/FECIg1k/vtbfZOFvd7pqzM2
HE22+PBN9NO1qkqb3vH253vsVQ8G4RU+ceSuzxty5b7GVRQIVttR+/3F3yRS7PFk8fBPXYgm+Ga/
7QvRLptCPNYQF8CqC6+3mRTWw/2LovTOa0W2PK8yJTX+/VUtLvDPg4arxkHEcRa5IBwY4v4a8MFR
SxGaWRMSZiZWXj/fSNz3K8O/jOvKD39/yVfY7JdryjAGDSLwxb0Ze+k316yqMK4hi4172F5++IRD
EHYssPmRfL8kIo3SGyyVJwzgjQmi9pNv0JyuCCUAbJt3hUdzsveZmmJ2Uq8g5hrGkjkSZb291YH6
S+buid0UQu8/3Lh4O1jSQkABZVqou/9uOUDpuwJSxh0gMRWurhWqufRG5xl3HCsEwPeRBsgYILmW
hKpxlya+C4ErqwR+GrNqP8iw3WD9KQxf5B+wSiKMN28ydH0vwIKcuEGg4H0zeQ3+oHNYYveCBbBl
EzZVhuR7F0HnRceXVS33F5QuQwV9raiD3QwL0HkqZEOg7zkZCUgTYrT1vHHWmUfYbZx4Sa7c8c7R
IQ+q1LKOd3202XmS+B2rdMCzsT5WYyvn6aIgO+U30dqyvn8/8r+mvXZluHR6oPcCq5MM2DaH+SfI
APXMy/LStHvYOnCex8wriweX/T390yv+NSOzV/JcGOQ4cWMCEiVvu0rUzoScsMbeSxvg38e69kpU
VZUoHGQT1PBF/z2LJ0YJA6Nkfl7VHPKLOID1+ympqrx4oAg1LF9///z/2hvw0ncjfB+AH0Eh3q6Y
Ygy0ix0xVC0cOb1nlfTO9JInhBpXqjCZuo22zA//5P3+az7OWNjtCLhF4MdI37u326HstjmLBmiE
RDpxfYdq2N0usS0lEllmcuQnRWWKKk0A7ePSB0Ac32du27mI+1cqxMc6Ije0dsLB+rJh6ZMD34Q4
NB/MIuwxWPhl4TylsJ3ru0oWMeYVxJv5Hx7j308RCNtzRTBwgCaxXTf/gExg03D9Dce6fFX19mGA
UTsMhxnngO0yMQHSmX1sYM7cwXmd5RcTzdkGMXgCaPhDdv0m3ZcBfX8YysCPfBAcburNNHajekWR
udX7oamFDHcFKIp5nJcQhnro2344u6RI2RrKueXkwYIkx3Cnc5lPjmjAdRC3Vvnhfze37E2Fvp3w
ZPz/3tSyboVrGvU4+sWoVzF1MmLj4PHSvJyTHWwMZvYgfLxX/7TW3LeHD9WVAOBQSEk/pPBf46Gr
qAc7xKjEpcyTyXscOzG9o6oSVp2Dc3OHunGnjMEu6dKZmzlJwK1gA18PEMbG9ligPahQfMmBIBQj
OUOxKynKCZ1UU0kqBfvKEXp779XwA6N9qIzvfcBlrdf1rgKndB+wNpz9D4VDaZ7Smrd264VKsMT6
UokNA7ZDQ5oYX0gX2eXljFBQPEcyheSwJ2t3E4SGYmm+a3x+w/u1FxkUEkw/VuoDvqyiAte/vgF5
26XehsBy77l4jXVX+YKiEccdXBrdd2mfjoigV8r3/VG7SzbFh7RznJxdpXDipLnu0Ns7w0U8YbmF
M9mMHcdtHJZ5eoowR8bdFZV3WnwYcB7N/xaqS2RyaNxcB8mxnLoqusGpP8RWED1qb26I0qr+hcNA
e/ISt+q2OmzLMoi/wioPk+8RBvnbbRWjTkfXmmUK7+1gdTBf5TiLLSVuKAFjy6itYK90np6++gHS
h88qnVr/3klmk2iQXz+c8SaAo57i64qZQvqjrZoVtzBS10leiHab8pqCyMhLwxq3Gd0LNSVNV1zg
XgrWTumrKeCBUX2O4cqIGKZZPdmzdodQ2Ik+oULLnSs0n4hFU127Gy7SDoP/PZkhBX3RpupLeUGu
lYKmUYRy5bDrce3jS0Okt26HQ+oWLh/6DIkgzphtGKBW5rBUK6auYhaFPNVikml5EY/QLJq9y44w
/OFg830b/f4zGCKcIKRIoIFQ37TaoF+3JwYI8+6lJwumtCU/q9fODEtehtXtWCRueFHGkGcxDkdX
mZ5KOnRwmtfSDfsJ8FPFnMubWGCvVlmjqEWWKrncMIDAkX2d3Mp/cIWwSgd3coYox78Zd4nlMAyt
v12KuY27Z6os9fxXUyQN5r1+jF/LEZHzgo1SNvrrepWCeo93CXHM8lzFSzjGB6NIr+m51AQu9SXo
TPnJwaViwdozIXbDyWrzyVpnsUWeunbXBUQwROPewsnqoD4+SjGZ5dFfeWEDRt4a06aLhjINeXfn
1oAKO5nUFN+XALehcifscuz27TJ53nt2hS7Cjb3QCrnFmiMaudFhuuqXbevKGdoIttHm9qwjGdds
8fFbKzL6lIi6i9YUh5+cwEeXsLIe85Xi3xWUGG3zkL4Mx4tWVg78hqZdMjiIfeClCTR8DxLhtVx4
XSx+t8Bfam9Y4ulHSM0hvnk91Bo/OGDOxj6tMj0X70xiUvTUfhp6xEWNjGwMYbBrZAQ7PVCR3aeL
My1fGwMv+K7e/G65GTV5md4T6rW89XKCv/M4oQcAXihyMGAo23WO2iMsSdcvinwgAlb4cCxfk1dh
CM4t6DT2airxrDp0khYpahdk6RLXl4rqYXj9U3oCPRD7bbambMGGd4NwmWMgmVMPSNLMMNpRP1o9
S9hM5JIC4Kv/DlNYFO7Jz5aKs6pgb8QLEAl87gTwqdWs6g/si0P0jAkkK2+XGKGi8rJeypXjDiZh
Ij8jAO3Ll81p7QnIhgwrolxjzPB2+AWZ5WuEMqAv/gaEoU+KUC36nCxX3IK/0Q7qdsRygulWEN+b
4f4cn2ZbxyE1ldXoPLENj77cLUVBYXvJtyDAcQrPBGyQcoLGJlwJaLPChAUMOyzLeGqVRFP1qaf8
QA0A9QQzFy/WKLwGfWCKOMGwjXepSZDdwMsWuJkrPHHUlSknXpupKKRf4b/g998pj3ELW9KvjF8f
hcSq1RgvI26azGq8o7C0/35O5sSyFQUGLTay7gdF9C0K9ojLpWmd+kfudovzlLkbKVEGhMOab+aV
iNsIqCMNan68lV6qafTCC3hLbbXuoyXCUuIgVeGyYiKI4vIzZawI/KR95RyTj9lYdnqdodvAZvoh
9CYVX68Fe8NxS7eq9BGx1Mq/9nPNzjK/LpGmzkz1KfbHjm0kdEcbJHj+xNbk1JR88YIWRDEd2ur2
Q45l4XSzRC7mcTtOtn5FAPIqnaLRpk2jz6kR9DFun15NPBFnFPkTynOiHMxGeSDNSVauCAoEk7GR
kG+f6P3B9Qgi7T3AQI94UjJEn1vxt4BBpa0TE8XhdQeXK6hv/z0dUVG9+G4xoN7qypEPOsLb2Dbb
wOcr/Y2fvtC7gJfbdTnXLVppS89G8LhFXDFP1q5GdqXXGngin4Vk+tUrd0ux0Sua/ep3Q3l71pgN
unjNl9Kt/06d1LCdtMHo0F0o6hEf/GisLuzBo7VF3e+N8Mr16jzJIHFjYnWxlZUIL8TsBt1dEMJO
hjBuGgFHONQjhpoEOtVt93o6VJxE+qvvAgY/kGOyNFJfsaPNy1abL4Xo/eqplnLyS5zOBuM8tivu
DXitzYUQEzU1mbHwySgoPDiitUtzDMG43gEydt5j7+Oz+bGAatunHLbFkB8K4+DxS+qJehU0di29
JwRRfXXhr/MSXVQqACHbYcHZVKexg6L8IFIG85II0ga1mOwzyNtAGeVSU3hBLJCl63wXafzkPwU4
jGMHssIEuSrycqLA22JbqLc9ko+RccSYu8SiGFraMnzOhjphG/2Ji6C/Lh7K0QOaMRHEiie6tr56
vsLr6rNjQzsNXx2KcYVjpcaZJeo7qNWehzVPUsDoMAs/n6lTuNUN+lsFhaF5n4d9mA07DNtZ8rh+
EYWrtLCZPbmDrj5BSOCCMvft0Ol5E9UtDhNsG+kGTvhJjbXS8W0ZlbS9QvQER+nU63T16Grg9KTd
O9gFdl1O2LUjO6g6jet7TtChqqOXO1X0Xg6sN5SP7No57j6+HYbGiXIGU6G1a3czVJDo6veZwNtw
nDAkdi1Xh/9FtKR7gyDIiAgintCZJokDYPsTQc59ANszgv77y71NagF/CDZj6IwUHOGFvIGBwKcV
YqigIG5bWH24BqBrwVjZHs6ut1mIIiwKVuHvL/sW5Iuw8qVEw1VtdQf86deAKxvKDYsrh8NpziHW
oi6d7ZuVo8drMovkhAwynHpx7YDnBlrz+8vbeO7XeC8CJWB/osIKXvAaD/4zHS2XxEl8CvPnasy5
ZgCSlIJ9//5Kb8c3Cqjlkr9HPnhVkLzNNouF2ldEQI4TderxHE3u2HUPamKft2+E6b5MoVLij4Dv
KzHtHw8JcQ4MipwyIaxNfCrbv45xNxssoxb1ItC1jnhqdO4myff7URG45YuvV+ekh3bcsMNNnA1i
qLNNKx1ZZFyFkEFr9C3TeDu23tZ98eF0xZ/gkY4y30etMaK+GX3IcRN+cvWUrBdxkCrfYGwjqdgE
yypMsjc9dJV+P7PfLg+hG/PPiryPmMqxtmXjcVuGkmYJGPSMgTmkyDBvaYeCXeUpaZFPzWSIsl+c
nd96XZCcsiLyNiTuwJpb9hwtWyTomVQVvSxgTSByK5D5BFJ3pE25mUA5Mjycp+S2FREsgsMQ0PdJ
YeJTArfu4AxqMrwkHct4PhWKzY8uEPSAQ45F5+kqhUTS0dlPHt2wJka8z8Ocwdw3Ud6s3yJI+N5T
zO/h8p6X5kCJJc/3zgakFX11KvC0T5te8iI4otxg572JDQ0GsmsQ3xL/Gso8+TTsKHhp81JO1Dnk
LpOpF9guC0uLvARjWwk9ndrpGD5Noph5pDVjb6OlTSWUOG6ZBzh0WNFwJnREjZN+jnYbSBaVbAhM
4eYdHVk0ibNH1iRhZixYflUFTmdrztXqGSXuemIypsmDdrOo6/eko/0qbzYGkik6BXHBH4a9F/fl
SWWynqrLUg8bnbBEJTnj0aMNIc4EJYbBzlEsGS6IifCx2DrQGcsa2UcdAFm8w169yspTavKgLQ+Y
z9QwCmcMfSHEFKPrksxmgQ7WerfC8KyEFRlVE83Myjz/sLR+0n12aLWV8iyQsmeCGvSAuXvMwyFt
2h3ig6nNT5weBtUxR4SEceYoBYnltCp40v0Rnzo7+XJNI8cOhbVY2fkxIS6qcJ+sHGCQB0h24CXL
GVGC3PmBQxvNnZ8hOX1EZFtKinppEbKSURmO0Xgt+9LlsGxiXuiAjX+TeN/ZsublM0BH2VNsy+IR
DREJWrvdG+JKuT5EgVim5bJbMQBLD0M6CpdY1YOl5YaXsRiy5CtogMF3GOkIB9klM3OsPayj5hVR
Spe3q7NerGASfn+Z67EshxvR+RNtAf0GSSKqZwfwoHzkgJv4XDVbW9IjKM86H4qyj1aYGIR04bWm
xjdhizQ6tu8r7aui9q7P19mrvhOe09T3cH7JKxvqdDVkdCewYk7ykK+Mcj79mKkUFx1kEI5JHHST
gHmz1xuiNMpcAw0YsQId2Z9sM1WHZggXEb26oOuXiVN/T3VLnTrM6aBVXNDWLYVmTcPgxWmOATdB
gdFkK9WAq4Gkkm8KUbP236UenVl9mXErVf4jPn0R315leGiQHMYLBkY0bNlQ8ZUnOD/dsuFiGPTG
vYMzGsOx7iP0xIDysJoIRGnsaD+/EdyyLqIOm/qc3LqjReGBjIcJPqeUXWd8sbeGKxSYLnNjIwEY
e1pl0yGP9hd8E9Y+SJ+uPW+zX3i+V3Sktk4a6nCmH2orWz1/nnBU7r/Xi2sX6cYr4q/TxcT8S8oq
Yyg2Wv0Q5vq6M89u52TJe68htK8uJSXd7aPB52f7WLS5XaBbravlgbYkJr2d3Axq+JFcVyNPWCLP
WLBKJLZQmYcO9QUw1dzlsgNp0fJwHv8OuVgmLpM6IR7cFTgEwveNt3DDQeT87S7MLnuvAT+leWzT
ONMV+09g/+P1lZQOZkA8xTbH7icHQdHl1GI7nVuze7+6hYC8yBnHPbdBt1VQ+OXGfar5/fehxapO
0vLDdM12wAiJ/HinCGyZek7Z2g470dbyh+fI8RwPNedtC0EHMLhjXF4SXLZimA4ZUkHeFcR/+0YG
BTpHS8cUQsNHMoqKX53HtjA+z29qYevtYNb2VVTsXYhYz2V+IH68w250bOyveqQNfHYNUGNgOHL+
+wkfqOVhHDaONcA4KAAIDuzD0GqPaU05x2EqETb2PEuVmtV+tAFOcjn3ap9JPpw31zGJ0+kqyXv7
ReeNuS9ruxgmNdhP+Xlqx+P88JWGtofQ6XwtaNFU9CVd8ZgeCwFldXt+whXeJq8T+ic3Ro9TO9bn
VYQiR/LdzVTb6zmDPVSm8+LEhkbax319JmhuC4dDEURRdRs7zsApz9FnT6mwThqGDxYZVsN1n/ZB
jPxVzM7featRO76DIYoU7Qj1TnCp8/GYI9S3FXxM+ie2+kxjBXOJaXs45bchbTf6Z69sPIzgCCVM
sx6YxjlSIrdacNTpVUCp7CTXsQcXIpgaMWfoEjFqceu0mrP/SrrjVH/yK0T39MR4nRWNKQFW4Jbb
HHcJeyL4tHZJ1nSU4ud3Gltla4FT6HD4XrhNT6gD7zKdnwECktzBVxsWwBeB4wJhsappI/GCzDse
fuAR1GY/8OZnoXrwwStswLoJDd1+nJjEX10XpcynLMka5s0ZBlOVRyrD7kzaPc19MlUfIIlY/Cze
4A8tuyw0Lv1NOhAyrsZeESv3sXIyCNdIkcHI8KcuNemO6HtbeJeosnjFpp7spoF7JgnRUm+2QP8T
nMTHMGZkylEBa6JmbijoohEvCLnb3udn59p+skg+Kl5F1l2mhmX4Rg+71sHe7ZX7SS3cXgiLHVsT
gPPJrSi8IiwuM0GPUNtAxA5p2t7ViIGu+izXIkyfqlBofsTxT51urgZt5z4xOc+gKpODmMAYiW3G
5acOz4zZj+F9VGKFW0BTOr/u4Fja7XJONKvcCSDpfKYT6EDrECxIUF0QwyCcxkJDR/5l2PpV+5DG
IDN4c+QtjIV+MyvI3xn2ISOxtKJURuAXe7rBoIMHbZpdLlozZ0HXSDX5c8APe3c9nijFC3Vm173P
YhqrFbh2YLFLXEQrJ94sXukudQ/X2Sy8aPrW0BwxLwSXD0TI68YYGrO9vT+KUJXf6oAuAPjnYpBP
KytRWK7FefB1hDDh87Jmfv4Xair6g9xu2OE2NyE0Nb46O1vWbNVo8ak03zKDu0GTwKxExTrH/sHP
oA/hbJDSJiKmHTPu4wUGMz2wm6a/AvtgHJfsArEzJcGPys1aRXys143AcZCli/x/HIirnteVGhWO
1PB5/PiYrBG+xudEqUOolJ4QWtYZOrW1U7SqS7INo4h9x8JlIrwqoJZxZoKc0YFOOlxzBJasvhKt
a+zi+3DM2KoJdBnvVvPmo2tBlz0m6tAEazHfNH1X5917IhqJraDAz7UFMerp0nZdlBsM0MdUYt7J
Zk734qS4mBodJnTknX0FyN42upBXuAOYtbe9X/FrqrHR813fnExBYSI6wsSqQ2w01brCI/nW0avS
/suQ5Wc1NKAgxTb1WLAXQxnY+32SqLawJil5MY+nnv+ek78oFlU+beAmE6su/qvuZLRFILLhhlP9
S2CiyS6aMsaptsISo49aCi0nPXp12Ay3dE9Tdf5982ll6H+3rKoQAhaCxsYmiMEy4IOL1HXx2BOw
PKlDjBPGfe96wTKC92IGEQFOEMqUxIi7DgdikWGXMXv5jAUn8wznCHUohTFbdrdN2o3mHwHG82V0
lakmToxHrS1WyvvWjlMQYvwU0S+esH4Xc+DmESu0UBUKjHYcIu9vjzA5Ta4gMnmeuffAj7hLWemI
f5lNlgMTZqDbqLnCWruhUXGRt17JnpmbcIIV3E9Nri4Liv7hjUcXzAVXsC2a0unoNRggts2+wkDc
8/eLqYLAXBVb7Bf1VWyT52DfEGZGzr0bh9s4XVNnovM5lcc851/zAPN+Qocp+ToUoYZC9H4SpCoC
Cncifbe8z3DDDzJ6JBVqS8O/3U1EqCJmiHNkv0UP1hlcYTXo9OTkWZCslyN2TCuqarlk6SdlZBV6
2EB5TvIpQ1dQ+hcQ/7KJWzEhyeAtdbzIwKUJeaBb7eoVVU0nSD6/VGG+uPM+ieqEsoakKy0NnnZ4
DTQN5zpOHyAssJvDoL6dE9N55T0haMsnkKR2ASEMjbhj/3oDEmdQW/SklX8xQcPy5kPfgsbRNyHK
aVedxTRmwckyDUFhMezkYMHmSC4+r6QPPaztHvuKdtT6YirBN9fL0nejHEq/7pMsvkbrqem10MGu
28p3pVOapbhB7A36cko0R0t8UroiisX9JTaOfgdVSsucDj44eOS0/9qcjU/k84o7Pm3txtpdYe6X
pkCfHhl78xWuZYpwAXrbUNGhJjYWHdykXchydQCQwdNTmsE1jsFR7xSMuUtcmsrNxrndHI5rcwgA
YplIJeTH5FOwwerO9jS28On/0cdypXa5qF4TgfROMaOSlUnFe8SmViDsMVj7ODQttO2+3fuGIAZg
F7dXA3H92FZlzrY0Ks9t6PrnRpmOLlben6S7JuYwWtNjL6P1cRL/Nbuu3OBYBGm41T3et0DDWUNy
jWMWDdJiCTQzHHVRUmy8LI3j4VFQrwKf4AUUtRK7yoTQVNOhEfFXqeNqCm7mHrit+TjkXrI8qkJT
ueKOw8EbUa3T+lDP97MPMwJjLayIpm382Fj+3JeerXcpv/X4DaMIgFg85/Kh14mYAoorUcUChQth
tyIUr7a60rlLxw/HpOsdfJUU7aPFkxJ+Y4ojjsZ17BxQnTdOc9UwVSJ9A6A/qbrduxnVQfcaL9gF
N/Cgzj18Eg0OzTRY9uM+McllsxoPIXOMdwPGZGGQeGV7gSAoqftjHuMQX14HmvbqNFLv2Zna02hm
msEdUcq5eEfPtTVLPlCwb6foJEc9jus+jGlNLOHfqUAPJ2WQw9DwibL46h3JzRo/OXhhhOj2oFXU
ritM5H7i4yloT5A/ZgOuddlpFBv1xbuZfdDHTBefjlRchVnbcC9T6tqc0xRS8buJrjTNuxRdA4l9
JOkU4RwquhtpnJ9zTdx3gC03+dEODguR3z7xgBq+KlFhm8IOM9sprJDrMmmLGive5kh/NYl8ahzJ
kminFEz8YRnNCz/z5jwlmndJNMp9mw/2Z2Mn7J8LzAT5V5Lhw/scIHfHeX3oUEexPeVp495UHG0T
RrOl1DMZ7MZhXp8ymt3yqR42LN87avb2r7a2xd2YnE2VNyZxxXExe8KSXdjmrFkb7/JM0Vlg79MO
gN/RexXfn6smVi3DE0yh/d3mdBTWekpx/AWUaLdxLgnVw/Br2kz0iD4l/mwvvZyHscVdZ+ku3WDm
oc+PriUBRnOEFzKN2CLUvPJ+V8rMmzGHy2mukB9CyLoOHSZw1wzxtQQ8o+pAObumdZvObXb0X/mn
xAv5CXELZXR6lNeeHSpNDRNf7Ty2D5i83tt/P22f84c/hxtNtX3vbBEWmSj6BfXbLpvwVW8xMAhK
dp9ezZLfleRV/FcrNOWqBKiCL4bJTb42sAE4T9Tro/puAfDiG2oPS9S/O58K7Uavq7SybY1SqB/0
BzZoQhnfGGIKdgLjFvoUfnyvSnhz8Cf49M810OJNGg2nJXfxIOKHWxxpMs9euB/q1c8yuhmsoU2u
JjHoIdnDQO68Bh3VZF9ufZ5WfUcUV+yyaFwoIEWmtrf3843gRCP4rzXMmRql6u0QQPe1gHSziM0Z
Me4ie/H3nVwKx4DbFViQQuqZ+5S+YRoh/icDDycHxJOCd4Lvjyyq5rY4Q5hlpbrUvcoiolK8e0MJ
ufWdt4SDT3OxLVjBc5Nw6sIvC50xXCKksM+ACvB9NzxVNUfCcTGPT5GXPJQTh8xC69Y+n7tT7/XE
IDRlbcx9AIkMh7q6pbcUxon4fMtlFyj6vIi9k5EH3OL1yD91zJI077pZzBwmP/GMqEPev89G1WXv
06UYBCX9nF5ot+6sKyo7ONytOMNM2TxM7Z5u97O5tsJD7Pona8uF41I7z8uJSqbxvwqPnb7dgXiH
kW1t7m/b04inBY5Ibgk5Bv57t8npIy2MM31FP3jybvoP9eTTTe7ZXNxZpqH5C4fBOnqHlGqcQdRc
PaABW/HRk+HBHeGyX62Fb2GIfh4tZhT3WvGwovPsSmd6AXIAK9Bo7XiGaGoan4IesPnU/IxBKUO5
a5p6Cf4CP6SfyX25sU/MoIypJ5fD5oQrQlBfxdOn3u/yEApEr9p+ud9K4uPt5NgWbI9BqcOmP05j
ONPmQ5CsTRD7zmjUlFPi9z6P2IoiA6E7CzlqtZuFuxHSiGrJ8IDfysBiq6jFLahEQJ9MV7TftDhZ
G0dWgpG/DtQQkC7ihNPRULA4ET7WeUwDq36Rf9N2zXeeEcaJDrUCwSy61o0+Et14a+g5EeIzFAxm
menP02TVcIxGNxw/zwWlN6IShxj8kyryDG9Fb1qk75ywPdHTQ4RPCi14Q+EBuF7RJtbD4GHFqOMB
w3PqRXtczqzl+s+HpVDQ5/qw0nQzDk9DrqmYHRUKJdccURRZoMTFH9++KtNEOj7R5aNjxZpJzlg3
Yd21rDkSaqyGv3ajnsVXEg85JQ9DBZ/0IVGOhU8zOnHzTedNJ4ffxjodK2UnQk5Zgm+3eyUjOeST
xa90l3jAi1ljyyHG0O5wpvkePSP8A3hJR183BPMNykvYml22XKDLs5uyU1AzvsW98hV5a33folWz
sJjhT1AN/SYBzn6msu88R1MR4gcC9i2LW3ofzFX5buDBkpY5H/gjCQ/VklDgXNH4cAHPaB8dU5mk
KWbgTPpsbQFPQZHpXrgf29hVH2vqKTPJdaVTYS7VRpfefCdeyQVnhI0SL7PoCL2s3/R+46TEopjb
GtGYn3FCXSniol1dZ5v/ACitQfHSpcMJ8f9Qd17LcWtZtv2VG/2OE8CGv9FdD4n09FbmBUGKFLz3
+Po7dibrljJVTfV57I5qqVSimCCwsc1ac45JilriEJuQxp2c6zCXyFtDtONA6UxjH8P7aE4dAuzV
DMEdJpIZlt2krjTIA7K+y3SuKByt1BE2U5g18p+DRZB9Jnb7svyIaEfWQUHJyBE+Hm+mbtRla980
htY2pFF0iqw5VkGl8e9iRWWOcqFJ8AARHMpqX1focuWpgVrxTTrEsTOgLP5BBiFgRK4brhobcmK0
UmzVn++UWAhtL7BvZNeub5bFvEniKeZMgIqmhXDWNMMwfTfaTptuE8xsUDFL3GTzd6haNEh2bPWr
0N5ZkFngJ9oIRwBSHqeQIEnYOHt+YyRBsoCdb1WY+a0xTJIlHQb5wx5fVvymNoX6Lq8Gvp61JR/v
PkrzY6zK+d2cKOc8tDp96McOHkX1Gh4LwYBpZJnXD8OZG8N5ySF5WaszTs4wKQYH3mE0zelgPeRa
6JfJxbHqPnVEFk/r2SAse37DzZfKRYSUrnJ+QEocOflXc2DLafM+EyL2bitJb3AyMjGKsUVvE/wV
NwSDSokXsn20ddRUC/lsgLlEQrr3LUdX4LLrgm8yaqCDITqZVVFh+zHcLIqXvgA0Bn8VPFTDJMl+
f6cQYdrcsIkoouCp1REcyHgmoiQFOF1XYRzpZmMz/AmdsPlMtYVvqt+nY52BkyEIt5Oj4zg2k0NJ
6qOqnGe2rDjldkEA5fpYY/4oZh+mSwGlpd2V+ILRQB1K9JHeHPovh5eOOBt5lwsNyVdBw4cwRkET
KJjkb8eZxk2FxsMTdNxAdhadzlK10OsE782yOFbUrUaXUd6ZFtnuDRymw/QQYS6WpNxp5LeQIzHX
pyL9lBVpuEKzsWY5bshswzPG62/AB3cJVYFAR2oFDvO+JviObZKeL7vYz3R/jwvH6smdL+eMsAh0
y2kNhC4YOwCUOgLB7JuoJ8q166AqCTK6KnQbAfJLa1Skt6zYGXSYVRrDYNK8yoyoyy22vZkVtd8b
lH10CQc3MXuoy3otl1/8aAaxE8OY2EQTdW0QiW5bF+3In4IU6SblBRKgs29pU1XULoG5FR01NoCg
/h0nHVOGa82j4d4PsGhJ7TBTRMPf/Iwp9rVOq87pbpzWCiu5tE1z+5zo+mDfjkiRa8tjVyV7DMfq
fuFWcsGgrkQLAQUaElT2sXKmKY8NFxlbySAi9jfsoATI3ofSzXK66QNOXUxoti1Xg48mMJV0Nh/b
FnRQ/4WSv0GQ2AQBxjeWZKZPTb1s5kbuAMF8UTSh9h7o9hv72GAIljMnIN0GWITrzt8VsA8DfwG/
GJvBHU13xUquOVWVirMeNFwr41oVTViNKzrOYtQ92kZRklCm7sw4v1CCMG3YL4QlwGtoH1FMLKvB
9DauLL9rCRrufBPyyKI4aIRUQ6Fx4QJz5NfUlHeIln6iEbALZJUGpmYxMh9HeM7R9zGruQ9R0Fe4
w7Gh6hGVkJGSQrwmvlVuKwHVNQbJH2HQ8i3oKDVifAV9mzMJU02hEjnmhG1DZovMQ1E9yDv/eXTI
nK+9eKTSztb02OXCoSDPdgOlmPHOMGr5WqW1ynWOuPH5VZvs8rGvLaOZLslUTPP6aoRRntwplj1x
5SPpKqDc2cQ3ZMFCiPTV68pQod1dYsaPNbxvlTubcFcV5umc9kRKHDIzhRCU+ih9Y7dcVaxmwJED
YCx5usValNTKOp7yypXpIVYZQgcrEcrCTUzGQfuiKIBM+ge3MJo5WOBlybSvLNC9c08thdbNAhDN
WCA7niBKzZ7DPIo0bYqRWryRjUaPY6HYwmyS1RzZqfZV04OWb5QXcvMvJ3f5bVGC4aVf5xbNa3vT
E9yZ4X+NuhmivYqDuUNoBHgXi7Rbl134rXXoWCZLQS8hTLc4v3Ase8XUq6Ox8j86OEwFBXuKRHZd
ExJOKRnywSCHWf5qLX8vXPpn1tZgqZ7V1TjnQTjse4C9ckIHtsSqUPdEhNGGkf46ZlDBmRd1QQmf
+NlyRvm/ZblZy2cxk3xgoc7rx/TJrFw1mG6PzauP1ykYSPZhiNX0tonZKokmgyOfcK5vwV2iamKU
+Iosto9jHiFACNyUesCqKHVdtCu7w/bubBxnyLNhbZedxLfTQQhmQLYNNbeJCprJtbNlHiLyVtEW
s/N/bDIjjuqHVA0nZwCOGastISr0CeTVjkWvl/mKPbeiN/s+GnmyvtYNMtIdh4H/agEBDsK1qcYa
wVhKWk7+64iypHzUwsAoHx321AWcB8Tf/GxJiGWOQ7EvaHCX1O+4/cde4VinYFKpzgS12cD4KPTM
WLBxkz3PPqxlUxdddEdL8KONfmwHNHUlF/aPWwfVWR45PlZ7Z5jlfuFjA8QLKNu2H2sU6cBy3sMd
Ka/HjB3ZsVVpbXPmQek33tX4pfhMxBYW6YFlXVpN6EH9lru7D/XCRwcY7KEwg0t80gHgCFqxWSHW
Sky8uuVJNYGxi9vcJr+2HtnTVyuVyEi3gYajKsoflFmSkfCL+MxyTZWdJB1HOGrY6UztTPtmg6Nw
CSwzl2QiowwGIcxkD5Y/B/iMpjCHMsQAbxPTAENCc1ZdUTTu0RsPB8oblRGp4aV8DHzN85lBMfL+
U9dCa5fuIPYm+dvBr2qGHOVTFiRNdsGcyKRBrCSjnMACsx9oiB5th8d24JQpNPU46mEzIKL60Lsr
YHvTcZKGYXQTXbUyMB6QhUKZzNq3h+gFRPPymbb2wIa+HuEZwIUmgEvQBpiQsJOUqOuaukxrrAYR
0UkEnwLhVEU7l38Q3J1K+7i76CY57QAJshAW2udeWviVdltRklxVzSCKNQxdqh0Y6/uGg9fn2r5/
91GE6anSO4K875yKl6HuQeUmnJVe2VDwkWG0i0wk6fPnH3PqnTv+RL9+zJmO718fQ+MosGwUSoac
0+htJsS9dGHpquqSJk1rZfsauoCCcs/wSfaM+qbVLj6/GE2C1v6lKpRXw60l1kmFE4QX9NzJp3W0
QuhXEAjBYWZ4moDyMobY+XGMGWBAMzR9x67ou2o+Q43WCq3A41gp+qLma+eY4mL9z4bm0JVSFfT5
VZ6qLtG0UlgW0qYJ2V0Kas/shoZdw6u2cSiYfiaxBkCxMNQ4OhyD1Cv1BKoFzm7QEZ9/7OHV/fXm
2BQihQMhCgSJph+wJb/aHNGLz9ZkdiURhNTD6SWAdqMpmjRsTlLYwcxmTRDSdp9rqudLll35yhvM
rihlDg3uzy9IDo2T6wEmJFwNNI9jCg1B6KkE1CjNTqp7/VWJ6B6rGTUtEB19aWbJS0q1GgwYAa6S
RnFAgSQ2LdL7zy/htwHj4KiyeUdM/h8A+vkLWWEssNDZSFmvIUNXuswm5Qwf/JxXy6od6Oc7zFBV
tj5OH3Y5mxgHjicSVBfDbdOMkl3ScISgW39sq39+kaeiax6aNNfKO8XHMqjNsykZ+geSO4WICuKn
pNVpOlruiRaoC7xuVcz4+cM8dT5E+UjyETSslxrPh/9y+mgwm9Vh1TiupzgDZZ5HGAx5tk0rDcT7
BZnjg5yt4T//ycV9NkZ5b6le6UAKpYfZoFx19sFoI6YIHJe6rEGx+mvKX0g3MjLlx6cja+G4BgRl
3sm3dFQZrlROY/w4oa6X4g+v6hmIQF4PmyPK4o4tiT7Gua2aukwSGkAFlvQNpcL+qJWRNULqKR3B
2axyRwGPQ40Z9Ic6SNXEBJ7bUIHWK7jY1vxThTym3GziYdyMFNEo/GJJ4OUzJ8CqhNc3WHE+HzVC
Dot/vV5cuo2C3DJNndRSZOznzxBatdJSMuBWNmYnbsaJYKyBVs6EXiqil5d9GeYZDbpHGo30A5Um
lhoD2+p4EIvEAp2RXZopvrt8tKVsxzZClEqYeaQKxoYgz7+KDuIdrUAhx3ovsMTvg5ktDFrew6L8
+Q/12/OQgWmGoVkWO3pbNc8N51M+g59MI4BZQj0KdJDbXHV1hb8oYSJHFRNKI8WwgPqKghSvQFbT
mVZSh6QL2yCeejvQpkqujqgMERzUkzjcZAvKEbTMapJ8Eix1n1/5GdySOQbvi+aoYBcM5juqGaev
FEGjlFOHbAQjlsgGR5MoqJoqg6PQkzPSTnrF8OKAjPBd5tva6vjpFzWBNPx4BLj1700MeuCVvo1p
ICdOqqm4iLLB7K9V2pDjZQoSSKYcTV1AgZEqK2C8RcUWwMe7Q59Cvft4YtD5WABjjfYX591CGDDi
HLdBjo3gJJ+1b0mJxv0neQwZuPCkItw2X055JKfHECFrckU90wl/NJoe6tFKp81nfZ1sPGFfPr9l
Z2Z4ecuQGzrMCKYLDJSl/fSWoWvOWrhug4e3VqVG8rElJJIUU8zHhhONR1yYiACSNH6lLctu0NWp
d0WboO5jvgzk6hz/YZd8tmxwZezRqFOwKxSs5dY5lU8jRcBgEpw99eACJGlAHtMiLcEsmzsY7NhG
+jqZZAt2E7hFMRAaWnxbDXRKnlAYjB0QTkIB8r3mB1rVeSHyAebUz2/gqY9FXiUiCRZ7HSiEidXj
7P5xxPIpexCj4Rj4AL9SamgTqPBYEyHO9UWvlS8uneIQzx5xnwR8ff7xvz8/1nQOt0Jg8bAdxzkb
8jQfBU8gCgi7K1omT2H7khswN3naRg+A+4C8HsNOLKnD4lTq6z7zZdyFUgsJwhCJWiYyOS39zUvT
KSSqDgPLpirgIks6HVo1vBg9TKBcznnMCkOtF2kcXrKUCcRVAajf6KgyuJbJVH3162Qia8rW4ZBK
ZR7+54asKtNP47c/XNf5pA25BMYCU5zOPlFjO3t6XaItCuxV3bjHXzLThVYtBU8rMhYpmKm9xABH
MF+YBEal11RWnCa4ghghO2zOsb2tUXOkU/D5ZZ1uBz6YojCasUXh2LHOfVi87aQYw96hK4v24lvq
4tckaeYo5iRrkEmfDLo/75TF2QgWMo6TGQCivc5W5Lct4uCgAk7pelKNIlnwedZG2bbCaJAib6ko
mDS0DNuhBbmNg9Jv0UDkdFmbRYJdOr4BF0UDlshMWiT4JDibuz6YrEb2RPD2UJBOu2bs3oknQssI
6xN/ZZKBGkAYVTML80M3xVeBg9H8kRdStdkig+4v20mVRHWjBohAH8Gl+76i8sLU+PfuO/BP2oOs
dWw/VN6ls1EKrMTlU/u3o1e+7ScG6cfu6+MdQUHO7Pv5p57PboIij2DmhWoNrdD97a7Tsh7mguoS
QKVoZNavgo79FyFXVMA8iGFypmJ1kjuwhs4U8mtyofgDSR1NMN/U4LZ5zZ06V/nCUMlY4TC0h9QK
Pr/QMzICxwcmYJgpLkdquV+0z3bGxHGNGqnaGMaOrUbSXIrmG761nOExJJPUEwnRuO60iP0UG/3k
Nm3+08D63kiHNFmqz07kjH5Gvd+ih+NFVWVFP0qNfJ5wOat1yTeyWAMckMItxxDnQpnwdUgljSli
itWpbVbzUh1RFdxQq5aaekgEcqdVFODM6aA4k8gu8HFiYAQQoNi2V0PQ7t5LQBNOsjRZfwnl/vzO
nL83GipCKgymsDk2/O7TrKY5CCnbIyFFs2R8CQeYo8u+wr2ULXFuyYfaYRvrfjRTJMM0Pv/00wML
j8WEPcx67fJIWCjP1x38LC1tgiHw5giTnoP/68AI66KmlQepQ/3m8088n6DwDzI9GAgY5MmB7eHp
tEkRB37BlND7TgNZXyuMRG5OgT/LQfohIBcjB93PP1eXS+gvm2yIQULu5SB0GJJ2fO7VhNnS+Sy/
9D8CXcsuCPDWkecd219Gwh7rDuEn84kyz8w2naYOjB0l1UkhoyST0nLY1LSsmYJQz0hxYU3WrLkM
S00fodoq5DCJbZ2PIeErRdYiXlqNA5vy1fE4Ck9i9m+Jv41HKmZThgrImcZAvUe8TbrlckCXQ4EU
LW9bPRSJCmFs0UU8efVajFVQG1g+FEdrbge1ZypZF+0Ui3T/+U2Ss9TpPTqwslSO+racUc4eTmWm
Olsxp124U+wCzFLYrXw9imA+/6DzUc/ExdnRpWsKHhpw2tl+x696Y1J9tjNHp/0skBTdI73nsR+r
k6Giy7mLswyT++effb7ZEfwf5UuOiTTGbcM+X7m7QZ8qsm1RFviJfOH1XrYEaALx9I8rC2cRfMta
7vLy+4fxcGyq+abK1+h5LbtIn1/Vb7eeeiNIMIsNmDRsn5dYsi5vYRIgKgXEQtoqybMhjaaVhcEK
PePnn3V+dj8EOBgAm1RT7o1RkZ6+hG1bxqWpReCxDxMrrNGquCmbBj1R3rMFvbIOziOhN0g5ApuM
tmaRuzNrbku9JftTLfB8TmA2EBSwHRwIAOF+m4UKJ0CWpulQeWy6FtcOb/HwWMWO3DokjioV4jJ6
RrC5iDJ4y5c6whkWDIA3DJhJ1bHuejYkFWwATLO9sixLGnPxBvWelD4MIjDRGCaHH+3v3kqKww61
OjaCtqnD+T29lWVUR602TDkmCsbbhl70EI2g7aQYyQ3dKlmp5KnyE/gBh+VNoziV+ZP2U5kR8zVK
4u7fviD2pSyyspYgxG81S0Sq+LBG0BC14jLPZRr6411Vj1JiMVvWzAoKX65SKKYnbLhr+p8BQVkL
jhczE2IGyoTb/vlFndYPbQx8bFCojFHrhd1G5+L0JiWROsAe9CtvotDKq0OsGmaOzuAcTM8Gwoqc
iaeR8RWEGW8ePlOpgf38In4bZbKIyUmQl14uPOdbEGwbTg71MfOO8jnbqvmkbKQMW/1TudlJS+jD
5x97mE5+nVQpRZFnAH4QkiMzz3nhsins0R40I0AoBBqoxjQQjPjWVMTBwRc9BAW3R9FNl14/CC86
MrlQj+pxzHDJIxP9C/HLgPouoGHyI64cS1ExfRNtzS637NW5e3eDED0ETmKpB+lgKxY3H1a5yGIc
HkdjFyPsIacMAA2/kQJG3C42L3zz49XxTf/8Bz/tN/DQJXaR2V21NUhZ7P9OHzocJTMiwK700lDC
Vjjry/X+Q4WmpHhL311yPlGXWkXaNvjhA4p82DQPFsjDtfwtZPpV9KMumuJn+58nAPR/nP6xOf45
eC+WL+3LyR9oRUTtdNe919P9e9Ol7T/+88f4fz++8n/6l//n/fBdHqfy/b/+40fBtC6/WxAV+Qng
3KVf8t8T0W+LmizFl/S3f3IkoivWX/LWcx6xLMAR1BZ5Nh9IdF37S/BADHAOMhhAZWX+IKIb4i+p
89dttknAJHhi/yKiq39RmsDga1rs2lzLcf4OEf10YPAJslAtN5vUyzkyqWcDYyjydDYIOkQ3m9jX
YTxHd33jVyS3B9E+I68vxbhrwK3Ok+hK7azwT2+k/IB/vZFcgEEyBSdkixYql3E4Vf2C7RjKAM+z
TkQaV6o8KU2rLNpOQGMx8nHX16TLlgV6rAVanuialQPUw4hrdTU7vRMt4PnNFyNQgOdssr75Udng
Bxr14VEEcT9vlBKU97rO7VUOXm3zy2O+PV7jCX/590t3QMICNUVoCTb/UHX95dIraypsU2Bms6xp
zIi6jTRr3USlgWNjEvZXiFldunaRrPAz+bOIdoVOfO8Fk2vzp6OLdrqLk/dRnj6Z2GWXjBVc/v2v
FwNKLgtCfQBXMA7zyu07ByvL1CXqekSA9spO0lzbmhFDQUQPW6zzpu/9bQ2cTsVek0XhvjCLfloL
xQSSQdJZnK7ob1XuxoiaqLkgzWGo/rD5OV2LuGi41boAu0pdiZrS+QFESdwmrQgS8Ua8EYRy551m
bZmBLMfDrG9g387pUnhaEJFEk4RqWfzhxHfYEpwMPwuhH6+lThaAvA5e9V9vWw8dytLaePAqE/sF
aiSkJijmCVZOdDRGsLYKNw73qo9Y6BYjo0tcVd8V0CTR5Fr+fSLSoVm1RqpYK11D6rpQ4ipq/7SR
kDuXs8vkCVPTFSbXSCv09DKJ1LQiZKGdx5sESj1vnO5BrQFz4dhQUeyKqtWQX3WF2KJXEeF1idMw
3oxBWcKjV2f0WA0adx1WZcWRImr0Qfxh53hWVpAPk+27aYO9JhWGeykf9i8jkGEuJnoEhecWZlDf
0IssUVmFbQESaxqsGYLaVKyz3jWilT1lTuUBv+3XhuIIe0smTN8tgiF29nPhd69NOGAWQ+Q4XHAS
eo0rGf5uUaq/L0yOyZ5FLoAi7aOKsawBOKqrqXYDg3oSQqqbmjARc1NTmPKfKBrTkfHNlKJCZzfN
0uoyJ/jDQNbkIenkAdnylMYgpglM+eA8wQgSCLyvzk6BW1BO8XhZA3hq8OQRyqsZlMaCDDHhDYMR
r4ZJqF9Cp9cv6xZe17IvLEoZlYBd9YfLsvXzaQFZisWKz+AxTTrnxtlDwZA+dI4xJVTditTeYYuu
dgOiznjpDkWVv8Yiq/GSECnfXaRZu0PXVcSreNB9KJfOLWIZNNYaqvudXaYELPbKuonr+hk/5PDI
JoJgF1PfIZEbyGPMOuLZ26y0V01dj5dum1Pdz0fMpyK/iTRsfqAN23xfE4650dU6Xjky9rEg/zHP
/dzTSYRE4k0wRi3xgeo0xSvFL1C6qEPm+QgUJoKsCs1oH0pbH9Y1QZMoqasFeoPvowpWYSkyWq2D
Ujf+KoM4sRX0vZbCrrMLDM1ciaKq67xqgQ8wXMI39HWI8PqK62Wo2s6qIUAWKRhCyCt3Ijt1mtH2
CZuozGkc72cZnhnQQNzO5Vg+sFt/aOZSw5IjVAljnK+MMUWb4PgSsEdNeVOiN35RCGDziLYOr6AU
a6B2ie5kLt83em0sbcqV26lQg61JatJ+hKWK6tOmUj6CSiYm2gzIjUwDYX6pLDIuE3JC57jC64e8
aYcEKNhorZqts8iul9WUdp7dDsN9WYgnl+SzG1Ha1UKLatqr2F+9Oqs3SpRfToFif0WerHyvUQSH
jNW4kjJ/mWVqDtZg7l2g7O8jyqm3rCWydJRiiyYhsWNMbxWnHVeV42cPpYxKFS4y0S5/16kVNSu3
GgMHZX0DLnKSGatYJeNXFbLLTPRb25vU1/z4Z9M29ltFwMetiynkSz36zntZY3nCcjv0CwgSZMXG
VrQpG87AD8Ig39XCD7ANiwJzqZpfqGaDe1lDOObZPIcVenGd8qONeZDuvk2WShDdDW077PCz+zv9
EC87xEV9DdTAWSDmqo3F7PYbqx+Knd44FuzaMie01wqfUaBvgnzWL+LAH1aYw419kMg420Em23Z9
mO9aYgC381TihkFiVTyh0/7RHwJxU5mNSyOlfhWDdGl1A9m5TiTyB6wgZLSKlDblwM4mQXBchC9k
R0+bLkQoG7WID52mbL9Q8xQeyyLCec5QrDsOHqqC7Np4uHUOMb6aRkA87C3wGhZml5g3CRr9GsE/
2b9hQ6xVFxsG6ozoa4Ce+cFpSWxVcNC/MrEm28EQ1XcsWOlt1Q+0C1WfTv0U90tuekUrLrLoYyoK
p39Iy+NkWwl2TyNc4rSOKVtjEnoyox7HSk2Mr4XbHHCAjDLOqo6UpqSar4IaMylN1MQjWPAqNZVu
4YaGu81NS73A9wojalSNTTV0ryVnpyeNJmuCNUWM+yGy6nVPuKCXZUa6h5xyi8TsW9sZ/XpUnXrn
Tk5oEkprmSuO+8O3AlvUHaYhn9zORLtzBmkTbXplJ9CNLiGn5Js6s91tM4T141gBFllmKMu27Kpu
+VP0HKt5vE3QnPeLnILzLoj04JFg6PG1V6z4azulIJfzJkOnZ5cF4T0aGdOHoOlD5nQNm/1NKxLk
0HYc59/aZCJSXBHpgps0bf0ag/SCaC/6UhSt0qdkHu/0NM5uRhxar+5M6Cphg6+ZYb67FYaLRakr
4YVeq+lDJgOxO0E0NqYOUrJnPS4uFSNwN36shNsGgs9WzBCkF3oyOMPSHzHC+axzT1kzv5EN2H01
lLa4z7SMVN1UJ/0cu68XzvImjNzHHxlhIjubYC8vUTmuLO1cy1bAZVsEhTLZ26iNaROgLF2RlKBv
MQsR/z33uAdXeGXyZ4Gf/SYxoYZStx0v9aKxtkC5k73wSxiHfn+XUz7fm005bmgI2Wtal8l1PdLc
KIcalXheN89+XvqX6VCL3eTE0zNKiPa2SpuEhHc+beCrg1WPzSPJepw06GpXtp+mmwANnccObPgS
ySD05JCJbgUyH90/ZKWjAK9uHJg5i6hGIQYwOAje1agkertUmfeTLLq2Gg4Sg9W6K4U9FL+7oHvT
d7rYPVnvOUh0gpluOc5jEuodx2ssCuX0dJ7LvM2xAhJPU+At+WpAAl4bhyz4BEwregof31+jgtpb
JJNJ2Fnf3wXI/K7MPgzvtUHUu7jwkwJ9N0llHl2kaIeYSiUBZzYupRrjsqhY9UI/FFjHHUdsUkSc
q9qMbHKTRuVHTYh95BZi56PN3LN3nsaF1fOLDWvRgkM81Eti5OJtM7GjrquyIFiixYwKY+GxHDU8
kXlnvCmN7l46IagxzlpdfxN1Yj1FJWGrZffUAHLemL1qPZaFKRAYld1uhm/93XazNQ7oktvSztq7
WeKUt+HL3vpGUG/YhI44Qsv5ukS8fB2ZwbRIg6jZWSU2pUVVYgTJ03K80KN5uuF0Xm37tjKWOcIu
EuEtHa1GHzz1Y/mln113r+iBUi4GeyouS99QOzpYiY0ANrkAagk5hHGyIcY53xtAu7bZ2CsJatqi
Ztsh3ksqmQ9EMKZrQ84t2Pewy1Wj82jiWaQi1KfWZhiFtia3o3jgzU4v5qrGQlLXSQAznuKIgTph
UQHDXU0Is59bc1Kv4QPa30Y9s7cBAAeUHT4FocknHARPHiexSuudR9Uv6ucqUPWvCpGPcMr0eHhH
MGTfElziAGnJumBFQBRqIN7mF9EbD5kTNUhL/M1ot+6Dn4z1965Pg4deCOMnncbkPXAxHIJjTtb0
l2HMNX7qLPwmhCxSOr3wQH2OO8tqy0VUhm+tNYe7JDFrrlBFgRS55BPXYXLVymcmDGA0sBRYq5Ko
jLYxpVaC9XhF9EmlCQLMkZOFwe5iNBx9E4+z5un9qEHhBlJ/BwodsmEGoPaNCDhxQfuQ9PAyV8wf
pRrND77et8aqHfzpeehL5S4s2eAvlRnv6YLGO+LJASM10PnkodfN6ktVRNABmsx5o16lOktHBxDF
jN50hJqp061ZlA1H7QyiMs5h50aJSKNAOx+OgceLRVity1u/7hAPXWZ9UtwjOlO1patOb11hgn0Z
s6kWazOq7G8iQB2wUDVyzxds/5wnwOS2SoiGG/tLBmu30E0qdGtXycZxT1Mwdsh0y/O1hnKeFZPu
GoHwA31ol0kb2s1A0DiFVDasE39Rj0Xl3vURWBqdEYqJY1sFPcs5eqLS2tJAnW4ZHUlw6UZTMKzj
inSf5aBOvbkWkcWEExBvtu2a1n3Swi57E3pbbnsOez+DymKz2g1ZixdlDm7hVyXYUruOtLh4noD5
AgDxvdC2CjqXeX4V2l2Re8Ao3nJVahGIJmPLA5fjGytveFnamrpVKRSirRsjo990quFPSxBcrBsI
tCipK/BjKE+X4SXlxErx6hg0YNKyv1my8hTfsFja40qzc//Jqp2mW6vOPJdEMqbFgKBFsxn7WCnE
OnB74jkH3XlKKxyU41DzjbsCRRrfs1BefJat1GOLiRk4duzgMRkN/0WdMRNjTVeyTe0TQualTuU8
DRHO703XpPY3HDNJ442K3rYQAie3XtKLn2uZiGS/wJ+ql1n6yI7Q+m5hgy9Zyls19NSiSQjjCbF8
TSTSm4t8xAO/RqtU3I9sttmTOLqVLVQlVHPagw7jo4xEeJkWvXLdFxhdkCAr/DoN0TDsEz93nrRK
H83NnLimdqF0+JoJ3kjc+HuudyGeoDRX9qqqdOT79FM3byC5F2LFKTsjcjas6/QCkGQbe9UwOAT/
4id6JtvL0RbdKBzBNKowXkVu02Mnec0ENamaCmzlvETzpbNviS50NbOfTZv6BmZ0nujKKTsTi0rl
sDnOQQrByS9al125mtp3RqlF19MwpCvLjXlaSEhisH2JOS1MgR9P6UbnGzALZVz6naOvcKta98U8
7gM6VLeV6ot9KWLlRYQa+bytMXPD4jRuFG8oLQXs6RBueuxVD3DJWBpAGQU4Qg33C1wNDGCFVWUr
zNP1BSFg+svI5H1d0Pr/6VKLNHiNlGIrQqNlygtro1nEWcaZs6vFUG6QNHRkroUzERowPSZzzaXr
1hqLFxxSpQFDtiS8Omv+JKU49X1QMQIGzaHCpuqBGButyWnNo0rCvunh1i1s9EOKN4ecfqKgbpk6
3XIDGWWEoTfDJWaJja2XPkab7bWDdD5avSB6z4bz1t4U/qwYK80xgwyA02y2xL+KkAUtartvnRhT
y1MSgiFUOLE2o4MmKUS5sQDkjFQWoqZapfshTQ1lw9TiTpzUuhT7YkjnawE3pfLlfiExPVp2ZBz/
oQ56XpySpD16tzYKLHymxOKd3YQ8AtTCGXoBijD4AXg7A68AJf59GuzgjksZ0GCX2l0Qdmz4WdCJ
OQRi23qtmWhXqTXFN1oKQHKhR8b49+T7PCEK5DTSqaY7GnK+84tTK2doy4pdX5NV8VPgaxz8anV2
Y0YgEYeXAxmLmxT/d4RBJzaLjZ1WUJ8Q1nE2+/xGnTa9ZHlRFQJSgARUU/WWbYVfC2RBKUhd7/uM
Q9Ykk3Lri8ztxlVg6e2aiADzD4PzVE9y/DhgmVQNZcdHV88ei5G7zQD0IyM0ynhplbF8JuQS9ntr
uS+f/2D/9pNwSSCXRqjAsfT0B8uCQokLdBTUTcgojyZX3VcZvN7W7Y3d4aP+VvPoscj4z2mr6ND+
+VGU5EoEYfuP/039JZe+wn/fXtpEr/VL2r7Uv/aX5D/5aC+ZfyG0x0RJghuTEWI/Knwf7SX+Sopt
aa3QSDp0kf5/f0mnK2WaQNJ1h+ognRcGR1N0bfhf/yH/ShZwpQfKAXqK1+2fvbWPpghtuWOv7d82
SbTfRgfMcr4jVygbViicTkeHj6gqBmDwU9MW4W7elY/ZvfaVRBxmP4cUqqW1ekv22T705ktty9al
2AybZGtfuBfTu3nZv+F/v22u88d0p9ykb/GbtjS36eMcruwfwzPnruqlWXGM2EF2XLlb4ZW7YGus
3It5178xh9piUXnBPl1Wd9XeeglvjZ/RtrgyL8WLS4M2hRKxEM/1Y3vZ7ClurtwbMOnrfAmGZpc8
i7vyEuLIXbzT18U9JsVVejutqjssyUW3dB6zVbSlneyu85vibngaRo+/ae7mS2czXnbPQFDulRv9
h9gbHgb1TXuJVPLaXFcbf9lu0SPs7XXoWT/j22LPVV7rF/bWf87u0Z64P5yf1LyppIW9F2w7i5P7
oiLspVk6+wqlq8fcTlDL2tyqT8F4U+1L9/a1u6Jtx7cNrsPbaU9e+zO38JKf4adY5Wt/Bxlvb3nq
yrzIb+yFvSjX6YP/KHbFhgv0Gu8x8+wVcKtLda9fwkz21HV47Tz6+3ydrDieLtnlb4b33F/X3Sr8
am6LvbZ218qq3XZX/h1bt4Vy4X+3t8nGeJjTJQ3zdAGMGsLkAghR2XqRtUxUOrjbLryq0kXwmmoX
xLQOF+au8ywvX3Ma5LrGy2nwMs/51j5AwNMNb7AWHBMus210V15UCE4X8a7amkvLAz++axcptyXe
hTt7nW2LTXAh9vlj8125zq6cWz7hi7vW/AVg8Z06LRxue7KJNtbSvte3rFzxW4Br50ty0d8MG+fn
dMUS3n9x7ynCftH/H3nnsSM31m3pd+lxs0BvBj2hC5eRGaH0mhBplPT20D/9/SJ1+28p6/4q3EED
DTRQEASVlBHBIM/ZZ++1vnXob7sbTtJKsiHMjKaywxs1XGnL4S9UAtlvNkQYhsMLiS970EK+Ywbl
QbkhOOShH6Gh0vwut1aouPWRf+9DY3Dj0KTf7sqhxTeyKfzmWbiK257HU4q1rXe1ay4a+6jpz8DA
2bF85Q7qbVKFUhnKqddcjeHk4RwvXxHl+u0GrnDmxcdT6bm6V3/LwtUtQmtbvIf9XRy75oMKni07
Tpyl9t9rKCiuHUDf8kSgBpI3WryL9nt5XA9VSD0CerB0YbfzvHEbyd68my1XV27QzTKTu8o9rIjd
ECrm06dSsP+QVMtdnI+C/HmakYY3a9tZO/bu6U2EljfPQXGAiehxPPWhm2n343m5Ne7ppdmV26D7
kj3k/gU+cdK03wY/cef7IrAVD2JDQALZAkOEe7G4Klu/YlCEK5Mq/YJscvYAtfplK7/NOpAr7l05
iDY69sWXdr8+VkDZnH0ctD4d+GwfvdV3wwmNINHQ5sjH2Le7Ksitl2Kf3hh37QfO6O1i3UbXFusS
jPl9daVv+lCTfxj3baAKX9wMtw2h9J6iheJmPHJozt31aDzooeKlXgGiAPM3t3GthKStuHRKC50T
uO5LOicZy9WSHThS0rTQYZjrnd5Y/rjR7ro9j7Br3suc2wd3rM/j6Fscvwv6vpabHeuT/k7ZbwZz
SPCDum/TMJl3VnEsXtJbaWduHDUkBqXdzB+SvxD8FzzWjOLcKHPzsxTwUO84KxrMKrUXrq/8BCVC
1R9N34m8kr77oxTkup9vGmZFU+auW90MVPsIMbV6nSQ3NbeW4xUpwTWHuXTFMzNbtwymb61nk+Hl
m7Qqla2zBjL9n87tuXwjcvLHpTQw+H9PUGVWXs6hInqL0iLUQu12WLdlcpoVtx/3apA/mPydZ/1g
qcfqvoVT+Dg84nlGIuraW9wscudOG/kIlcn7bpkbK3XFQ56EpvnQk6wlPwqE11uQeXAIqOUwX3NS
W58GxzfWTU0ne7c4L1zr5ZYAN3s73U631gP3lFdxd1/33+TRQzsgYR7a9+fcv2VWZniAMRGQ2uEy
vSf2VeycY8mfHsWjfJZxx0PGCAb4DG6/GSRvqw1+dS+d7G9i++7A8eRY5heuaI6S/mIdOel5w1N7
M9Dqg+0dTUcl/laF2g3ApZkD53druB84ZtOR2KgmeQAj5OS3zFs2FVZ919oRTuf1fvqNIRhsDWKp
jhmxn25yx895gtV1Tiz4W1PIw6H4UrIHVdkcVedovpYuP9bPArik7MCsG1DxvMp81PDbaBtO3IEC
zIDOHASd41TqPusbugtr9KWHwnTLZ4dzRo8F/Zg+ydWTctP135V4ZxEIF1+JDxhadPLejO7euTHy
w7AvnStd3vikLro8VIM/zt79GARE4YnAxEXOk+jOras/xus7cXJF75KV4scslEFzHG2PxR3mgDtD
vt3k/I/zEPaZ6i5jTrJnKp/YsSrXfBM2Z73qQU/1EPnWo+Qn07Ea/Pw2InWwISItqDYS6JT9sJv8
xgOS/M2+tuh8+f2xzYFTueorv/THYr9cRTe0n3wUr66x46X4UhvPDIorBvqCWce22QEb3+nfkx2j
itadDsOrdpq2+sEg7xdTh+nmp/rKxv36NBknZWv6g6+GfNYJYUtozRt+k+iuvGUIAMCD6JiwSrbc
qw0st8G1JkAZgZVv2maXpfto9Yd62xuPE4iF92EXdf68ehbconIfqX4+h7W12Sd7bjLu5vGol6AU
3GGb+i/2FkiIUocm/BaC1vqTXO+LyZt7/51eN8OW/yv1+OZHff1S/hBfi/bf1F//j8i9LqLAf1+P
7/qXIuV89FM6tnv/X//jU0X4sxpX7L9wfji6fBm4g4K4eO9+FuPmX+anzpkyHaWvhWLoX7W4bv3F
2Jj6HMMwcJpPgdj/rsWNv+imMgrGlYAaEznyf6cW/10LcDEGaoapY9jm/eFx+IRY/CLQqA1Q+GiG
VbI++umQWfKL6UwMmHtV2zLSE15iKMk/eHEYOV7Omf9HGkEUlUp7BDEuqiT0Xar6RYLA3DbvwKTR
MQNPtd43k51VO/TzLMZOlDmsDyNB41fQJprmmuZqDa5wgl3owoyu2kNGE7nba5FadKE2Et8VRMJS
kCKAgVh3ejR1QcO1fScOVon8jPErUZdd4tRhRk6y/AxCWda2jcPgYy/TMgbcqGWgVax2nP08zyPt
0OQlU7usUZtHEgyWd2kEWOqt8MaI95ad1o0sMT6NsIRZPPV05RjgJFN3yha5uWUQlKPhYJ5h7jmL
9TyKoojQRKyO/sTEc403km0mC29tnogtu5ygYaeS7jSTrwPAyyW8Gd4YouwL94++Nampc44L0lfW
LrUOyQgwuPAvIFO4iF2nT7s+KufymyDTGBZfPDqbUhmGcwa790aNY9qF2H7kZ+yfN1I7J4JGezwd
m1RUIUSX0XRNbbKeyqoUumuQ0lSfosmqy7AoLuGIQkMdSq+eFtKVvEay6hKKO2cbJVHy50lh48A/
HgWV2pm6ZzRl82w3dncjQ257HQRiMZfEEzvywSbxQeuJQYOnMBMqX2mzllOgt4ge3UJLEqo/kgNJ
Y5NKVdnKoG9Vt9MSxx+ksjHYCmWmOwgw8MREqnaLRcAyQq0qtIbpZtzDf9L7YB2mgnAfWu7tcEqX
ZRzhdNq8ZgTQ8lk2as5X7YIoHPcIFVg8W+s+S/v6OhdC0vcEH6Z3ll4raUjO9lQFi4iyNww4rQ30
lhAqCFEFYuiZrjsg8RW1ZANVhz4zhwG1WDm22oxeb0jvHad3W+tmRdvT/c8qaMrxKjd7oJ9lHfZE
4RB+3qaZOJVy3TzLWG3EiURUvvtRbwn86FOCCWJ3tNK6vuGlF0hXXYSUBCgS0IlTLhQtP7XgfPNN
tECWqzwVply26XFlcrcYpSzOc9tJQNHrpSaWxp+AVkwnuSWT575s1KS4MrjtuQvN/PK34f2IAXH3
f/6hvSrpuIV7m+VUiA4/OVpngkL8DpSs0LyiIS+BjMopMsbVTxEtDDsjJ9DzO9OjmBQloudE2Fhm
Ij12bcJVW2lVcmuna/M8Qu/RAqmdSPJZpoFPXWmC/4lEzT5XoPiZZIyiFc+4RvXKj8y09nlSaoPB
goXaZFhip/KqUeffS0PXyxvE3Ep+PwKgYUbRzAuyq6EusgeL9nl+Iq6gKe/6tKbq6MqUdaP/RDVn
jpNSDZmZuEt1sMS7FvTOgnJGs6033FkZpSuaMXlTkS/5AyBK+lF0ivOtV+vGeE4g+rjZUCvElijK
Ps+VLpTi1X7QMj13wskQ+l3cptZ1jWvpiBxnm3CSaqmKZxZKXPZd5pNhoLuZYm1SAZB0VPvvg7V0
G8UcwjU27rUlH7dGzFfVA5vViI3w+nGwTk58UWoYssSx70JTJJKAozKCi4eRnncX5AzlrbOpVneV
Vn60dTSRNZYygpCLXtkN6wiBCnkXVz/VrhMWY8YrDiPRCnmXX6Rq/a6WkeICDjPPRV1ucxi6ITTD
xzFjQFhVie4Dyn5o7PoHiHVxhOrU+omubKV5EpulbaKdVQ24ycsbvF12oPYI4OVIupUyJ3MnYS2+
c/linKV1e6wX+26hTJZmxjc9GdVyEgrk9gxaJ+uIBhmB5cgECnUaWV5K4AgFcfpQX1tVxcJqM3Oe
3SFOr5FnPtilFqT6unrIpABy1XZEAz5tnpSY8IE8fyAA7GCrRAjISrwfVntjykm7780OYkBO+rvT
hkUXXa1QclxdZy/QhvUQ16IgJXWlsIqcNJQxSLit1h+0vmARG7Jv7GCT34GEdGO93BMQfsI5YIcs
Vcbjai13GrN4ty8reZsIlTasunY7bOe7uC8QwtXrVRSN36F11l5XGShNW50i+4L5U1BxYMWALx8P
2ob8U0RKtg+k0Y9V7R3v605Sim2VqprbiHJ5jkhZSLwo4VtKJll2SZcIG0W6UrP4jilmyM6/uh0+
MmK/OyCKkV0yZF9S4lA84IYM6UbNPqMskUhH69sjeSxonSrnGnjfWW5GSteSmylyhsdxtM5yRojF
IMA8OsZ2tPENO3l8raYRC/dM8EisZxtA7lmggRHeLUtxMqSk9BXBeMvUtXjvSLlBHBvmVsYaVbqT
Guc1G8WMOAX1U+Xpo0mkCHQNIn/idTo7NqdEhbUnIMLtrHQr6XhxLzPl7AUNlhn+9svUryxNUmOV
jHrmkaCPFae5m7VjGzSYVDcjUWzbqTKze9xusMkHRGpc6o4euaub8ZOD+5NHY2XeK8F+bvxEHfJ9
F83NHYAE5cUBkfbdAa1qesirHOJtluaKlWO56URT+XVh2E+WXSl7fc2rlyQSHUqCZKGSL7O8D5aG
azZ3sR9bRr6FT4HauCNUJwuGVrXvRDNIgCIyvDkkbulSICanDiL2i2MS54TGgZOLfXkeOXknvbIF
TWh9b4CgBnVNnHNO9cg2kY9jaIKPuxkU54UoE1oosaRr2G7rIt8oSlybr0bu9AraTP4ZjOg4lpHJ
UTC6lj0iVzRprkz9YHrxKiXwnuL5w2lT1XdIAW6h+Enpo2Gj48txyUC5RIIc+wRlCEJwmWenAQoJ
c/SFCQoO1VpBD4+v0X5ETN5fA6SZBkbBiWyHlZzL5xhrJioAmfAHV52AXMVMC69LYmEpuZrOQmVX
aXR5uuQGTrHYROpkvTrymG8hT8t7G4o7GJlYCzrR07Slzwzilsk+22I2EwmZFi1Lr4lcmDv1DJWF
4x6jVlTQQsrbI/AgGjbJiD4S2VYTGl3e3ra4gLcqfzp7zJ6VnZzOqt8owJnB08TjG0O6ZaOJTHlq
cZsWLIlwHL1KnxNY7MWQbOM605/EwKk6L4eeQfcoOYKYpVR+sCZn0zqc1NKy7bfQrMudTB4XPHWJ
NYf4dcMjQVg/Kllr7WOkrLf2bD2mcCjB/Y4KfqFRbHPErtcpknavr/CwsS5ujBgtnt/BFLlD+KoG
bLEVBNKq8RB+TxvMl9oZgQydahbQbY/SeJdqdRFGFO4shylNFrbDg9VK3YbsHodipxh3fTdwvExz
k1aUvJ6HbgCziOQAV7bxMctzsWtIQuDsb4/RQFIjnbqstFB7O3WsHInolfemGNZrdEv4pyUnS+WA
9JTyrbWFKIOMxI4dlO/qep2dcKi7aEMEVJUjSxsEj7bW59Y38rOpsGIzizbolEg7qjPpFV1u8iTD
UOTAgkd3h8XGibbWqDj+3CADQahReGtngpeySro7zZT8YE8VmOuZ/G+sae72S8KhwkZp4Wlost1y
MaYzS89AVylJjQ1Wg4W6N+mG7aqMxWaUVtiwjUg7H28eLTWRApsocro/4CVBAmvS6IH0I4EFrdeh
j9GLlEg/nx0OOvUPvY5M2VOZvA2H0Vz7m1w400ODqlMPG8DZlx6h1EDmBIR5a48tfTfyeShnivEb
J0oZt6Bk0f2KmEwm9hzTQioGFutFX2uoNrKY7yZZGUceaDv5MEuZWzorF/V7DC3DE50Z556M389r
wVbTIpIKJfXGSXY2TRXbWDln28boXhLJpo3LazOpTRY6DLcTrzPV+cacJPJq8thOO7RxRjGBwY5r
6yBW41z06wUukTt1t+nGztonilbeXbAM2MpLsR9ybd5XZYHIqbazoLCyN+axSuuvvTJeGbUjSR4v
1Z6leZn2mUGIltPRdlRTmP25nMcSWodJgQktohzNEYt6LbVK7arpQpj5EKEOCEbKnfgm4etHidNg
H1kyjunoFmg8anpbpht1sFQAu7GyZZz2Igiv+ZaafZGH0wQOgyRr2lk6iSjHibDkXc9KfTUkA8KL
MX2IiIg6sKorB5tom+vxIqbuWDU3jo2SZRyM6Kizit8A+bRomqYSNUCc3htTW3lAiBKaa2pyHDli
+yLT9DcbduojElhxBX1zPEuRnNPls+8zrWgZT2j5lWGU1X03EzWK0JzJtByLjaRX9TZCaRWHrEGN
n1cD8xMQP43bkMh3zHuVjZrhax3UMJgBLHA3k+XE4tQiXR9nc2NUMoVGWhOb4SdFJIaDwYEySJZ2
ZMSioOZK2fI3qLiJfKpGrb+Sk0gKL92OvV2Zfe7xyEjbtiS3QcNfDz6Fl+dFUyrExoEOSdhIbTzA
rdC9qOLcncU8tYPRq2ziK83niXSMS1xfvgFafslpMM2wxDtL4GBlPUAjWD8yBwas28vyelPK3Q0H
SOF4Le82cKAyePJYMLFDmEz3vicp7BBBJKFx29fywbZB4MuZrfNt0Vjr0m791hPR4feETjqbYpLy
E6kyI9hbPSZ0Ve4bFrDYIBQNSZ6S7AegdIzwSCEOAHL33hQV6Xtbr0tQDnoTLsT+duFUSkmPi8DU
Rg815OWG5Jh5mKzJkpAF9WhzAY/uMGQxnDSLES8TjzwEBv3VXAbjloS7dV8IQcNbHi5Q/XTQl0Be
QL67MQeMFEU1mpcgq+Xcn1UNZypZtc9GETP1IO74m3IhdhpLHO0wQ6f7qmH+73aiKO+GSSiOZ1az
vnjoM50Pg6XojgHwD5i57LpjTBGcqGLUQIF1DiMUWgiPED8geKpZo711Mq17rWeDowwoOH+i4OR8
2ufNIVnVfCe6dAwlMHeMhwqbuUqL/UhKs5Smsuhpas46GuJUKeH/RiCJu0HzJZy8j2xu5U5MnXY9
rHO/7STSTFyZe0b1UCsXt04W58dCK9K7khjTaxJFWnds+pWrbx8svpZ9lHV52GrLrBCGmuMlMVnj
2SiIaXwvBF6N8ZL297YMGiDEErGeGy/WKy7Sed8YTbPJyGbYyZ0DDAJSaqbAEstBTaVks50Rxlul
WySIl3fDqBi3qzVdwgpwqzz2I1+6V7OOXU25LKUo7sF6kTFQm4d8aeUiXIvekf0hT/ON2iYtqPwe
LXqmciYKwBqY3wslRjlJz6YkvmttBH6gJeuLraXmqxJiuLVep4Y8lKvcmFbLs5d11hDwJ9VLUS3t
iyyV6/0sD2vuzrXkgJKdqEu5eonUHSe9wqJCDmqpHwC5TSGM/eQxIQO+pZjP5XXbUXF+UJwJblQr
UZnQplIKjozgErj1PGKoV5VnulOwa3pjig9WqkWPbWndsX+j3ZcnUb9Pg4VQrqmcltCgfBEvOUbE
/ZSQtcR54tLfMoqR35dyU72xL4zJbpIkC/mPMjYknpndfZoPGR2sRMsSr6Xlsl2TFmlenzbjXrJX
wqQUebpLe6zQaWl01I+OkjwOjV3ss0IpMbhFRvzS42xhJZOiC/chGiV6DbA9tGI34Cl/HE21NMJk
VeiuSb1FZyBfEIWiSBQClEavgbCYU5tf0U6mtCkSnS5WD/v+O3AoNpiOoHHyD5yKXpRdJursqZ2h
NPtIOD2xjJgH3vjXFP3GSKmh5EXzjFElOlSiIX0Z9x8pHrhFLv6lxmCLQl7ZymNYNBZTwGgRRaAD
fr6HHrJ67Ez8NZ5JjZvXGVeeIa3MkIB9/nn22Xcieb15hnmj7Ww73scxRhHXyUy12KUXAkbh5gjm
YUyZUTnIDcEqA7aEAgcFbn5ag/B1cJ9xMVQlW5l8J0QAlwdSPSd0Ec0y0XbSiLNaQ6usc0R6cxmL
k4knhsmTQ3ZBpRtcq0Zz+BGTHfErea6AOuhZy/W9plZCtTn+asV9p5CKw4mMoBnI9AO7kJSBgGSO
M7VwZIXhwIcoK4ueYBnRYf3PVg79Ky6SigUzo6/RpcVVAnXHwNpnRXXglNqUbeVJkmdG7gPw6jlq
m2fMLPwA1ci4fD97O1pDvXwgbIPw4EnIfAdmE/PhTO3TllJPwB/EJ01oMdaWltfUOVyoIe/4SD1c
GX7le6LzCq6ivpEUme+fRhvUhrZrAY0UiLpYnptorZnRDtA5WC7jbIPEFkYH+VnclKTv8EnLhbAp
w8PDMOTXCktPeUW82fBI4S/6h8qco+5eESTGhlMNXJANLSY9agBbQBSY3fDTcG3AG+im2iiusY7z
rtC4DeaONqDUelXZLx5buqius06wooy8h/lgz0mN7wnad7Yh+ClCMSHB+wwINucjzgXkUldVhwkd
ddPFm3QwMAMIvbzCfoKQpJv1h5RkB06pdrYtcSrkFRCKO2J7UV78T1lNKtptOiPGnqRVovQI6GCz
I4X2Rp8qpd7ZtTCef5ms/Bfiod8Fc0iWbLCPcG550FWT5/CL6zUDUeoQRsNdq2rtTTVrKcPicmTC
DuigIxddGcr+H0R6f0NEcONajoqTFZ8tUxnzy7iCYhqdFMWTa1pS80z3bpS9iLvhR8fxzleH1dgT
sXAx+Y0S8u5iqCQpXGi1uD0ZdediKrPGc0bZCDK1GlAS481btNb43sJlm3wDGWzititiQByWWlVx
cOnRnJvSeGu1ShIiq1b2PemluDbMrCvdP1/Ty9v/ZRrDpQT1g0scsKCMMPDrNcUc3ChsH+hP6Wxy
b9fdDmBF6wvNmE/dpE9HzcI9hJ6vvfvzK//t24SpheBMs2knaJdR1O86sJZHbUyrBbtlplJYkn66
o2uc/EgMpLkuRJss+4fv8tO9/fuHpWhFeUaU74U6qV+kab9MvLoK9T42D8EiUUTXqz5iSoDrs0cS
bgAKiBz7qsxb6wb3XrMnrPbCtpkFfmrM81KIZWpCs5Zo6vAPb+x3SRw3NopU2snM/C6wONX6cimq
FgNQy4buYimbT3A65xM5lZSLnZxRG/z5uv8uz/35YogD6W/CV+Bp+vIUOUtk1rW4iEo+E4oTkKOD
58yx/lOa+W+lfl8/lKJCsIBnQZNUhp9mf9FCL3jpM54phH2yoNsu0ysqgq5OxsGjlcHe8OeP9fVG
5uVU7iNVY0LKHMC5TDt/+W6rRUkr1iMyaj43nnROmT2QxHFZ/qKcjaEQy6UJxcZAZ3mlxvL//AaU
T/P0r7fXJ0gP1zuI409U8JelIp3UdM6ZCxF71rfDYyKQegc4LnuTCaQU31Bz6GMgibhhWpCI/Dla
L7nRRtxiskI4JdMcJFkX3g9DxWso4nXkRij6m6BXc5OYHpv0IS/qNR3lHXY4mmw96wc5U1PKGWNV
V0RW2WRxIE6WmgZwZcHWk2vMyE3cSMQzDT1r/8+xjDESjO0zSLjUoLrGiEmlNw36luoWk6U0i+8X
9lN6qChk1WsmEWbjg4ZZlm1X9HJ/KiYSWQgZIjTpnrMFGyqTG6aDkLTZdPtR5gfbFUYLVwxRVYZI
qvm9M0X8ipqlzoOctKVDi4n9HDsLf9pCEyDPY9KswdVZ8ZTNJBuXnTjDZeOpY8mbh75CFrTW81Wy
rsUvMcZrxISZYu8JQ6MRrPfWcEWOhPMhawlbJdc4pQaIGDPsh96MosfKiQoqkyRJHlYyVs+WtPRs
piqJda6BIVMLVPrvxVXaNWzohTVShPS2NK/bxFigjhmFThVdOwmcuDmDtbpb6pHtXgwGuSw8Tpni
16udliTt2vwcdDVZFahrWy2u7lBSkZmbUEXlqLVFSJ8m3WDH4FpGTHPWbSRiqd9dANIqfaguZZ73
WY+QRO2ke0T+0hymWk8rVVTzLG9BXIHdhGNUmm6PUZdDvrM0bUB6xqVmSXVehMAzQb6TmFpCrmK8
Xltme58XweJDW4zBO26amje7UuNn3oSlUpz62UGHuGY9w5tmjug0T06YAj14VCGb+2omM+dYpKm9
jvq+KgNyuyKm+pL9gj3tKLKK2YJZZcu1YkL84gHMFmn/s0qbp2ys+WJHHY0afnadzuYHbln1vMQ5
5GWYk7rhRwR3ocYhn/Cftr0v2gdVwTjDARvylY0lGPvg76sFXva80ZRKBX2RUtPHzBTPfEbWKdJO
iaZU2uQ6swcu4J8Xia+LL2wr/CFgl+CMUE58rSbUifNhZE/MuwkmjghIoLXs15xuT39+na+bK94G
RCKAhNANYDSwvqyGjKISB1AwDQLdzg54SOBtSMVl6ktS0TMwn1H5h+Xvspz/tvg5YPvYXh3DxhaG
xuP3K0onVx97vPSurknWQwLf7Ae5Ql27TTIHDSjOJI7KxSrL9iEi6fqp5zH8+POH/tuOAzsSJYMj
6+hnEApclCe/bAHTxdRU5gxk1yR1QLVHU+PHs/bDWToe6j+/1t9uIF7L4BoDIUeggc7+99dKhrjC
BI1ad8Z6+WoYETpdnWjPFaFZ3aB5tOf3n4qH//7rgpAD+YJzmEyBL69LZqkqVaXJOGyy51O9cDii
gWedySFAaqIZy3uJ8yL6h9uWB/LL16vC6L5wjWzonFzgT7DIL9eWvagyBd5hSpK+uJFlIfaLDnIG
F3NRNYGq1+Z7auXzh5HWyrsh9WPhqZktXgR48z6Q7KV9V4nDUwMkJMYhZ7C3+A2U9rNVjtp9U1nl
lTPTdEQaO2YPDjPilxIaHElBkW2T0UvTjR1wXOgvpmkz+Wo8jkiz7IuSJnXmPZ4Io/bVyVleYMGI
1pMyqc2uWDSZ/LRm/Tr1EXLYVVHnHZKJykZqarGLLGkXp0+1A4OkR5LX4tPBRWWV2sb6PPYO7NdE
3DPfQp5NxCfaclpV8NHUntVBRPba7Kd61S2mXHACtuhgWEwTnVRGJNEkbjJBvhzrCcPiz6vPno+k
Ue4fS47g9kkfF35CXDRpdS2TWfwtt2KF6eo6QfHYD2aUQSGxMeVuyoF86BtJFSU/s0pqlf3MWU+x
0FbUHiDenzlE8koFY78jdqLSDlMsusTIAK69EYztb+fP/kwSd0i5GaW+gwy5NL5SR74RRtnzQVDP
0AomktN3yGYkzL7QW0+rkNuQ3ftRFJqB1pLoUvbjxZaFJ+CVyFfCIOHZNXLC7BtCvwCSN9VC4xF2
1CN698oKl3JwtjN0wyfRpNODYbPh+7ZkGs1eqjXsB12Mb2JJMjsNKscW+LYvt3aPSG7LFBmVbwoH
iC5EppN5bs8TdimCBtGMkeFMiP1lqTZo2nU8GJGUX/3s1ZAwUYnnJpkuX5VjX7ITyf1btz//PgMa
Oz7IqWHZV2nf2foVOSb502zUmm/Z5txs+2V18CcUQnqWGJvcYXbKaerosJe+o1bJD5Ui1SWNSQnO
SU/1uTEWxwinxZn6sHAuSGQ4FkN0zCr6wiEhg6INEGeUaGcnsYxeMUPF9Q10N5KHGpCb+acqZYWu
SqRR1ccN0eo2jeQL2ValK90kstvxjOCw//xysy7VVq8xu9o51EBpNn9eb/7+3OMikolcQB9oKmgW
f1/nKmRyDqgGkrNheQDEMptcOtd9s1avny/0/7OT63K0+vfK0bB7qd5+l45e/sFP5ajzl6Gzw8B+
BohswnHjLPEvGxenJuBu2Ae5MU0O0f+SjhrKXzLwPFD8BohRjaPIv2xcuvKXxs5s2jon34sY1fzv
SEd/Ly9IcNF1PM3ccJzdL3kuX046eYtnN2owU5B3OefbmZXsQc8NZ191pbjKmfXK/3BE/tsrGjqM
To193TLZ378e7wAsN72ocXhQv6DdgwdN/OU0KbJXz13HsJ5czPMvX8d/0W76CoPTkakaNmdGvorL
f1/3+Bq1HyHnPPAzTdLOzYiUuyTGRhnGfZW+PDg1K8BxGjHGTIv4aeDQoiML0D9mrSto4RPx4tHN
nR9pNE92+Oe393sFwlU3GNQTJqBy2tQs7Wu1g/zHjPpYg+5QLyuMqEqYix+twrwxCJJJXdJ0bb8y
2Kv8P7/wlzYKrwyrnXsIhi132iWI6/c1IR1Mi/YEZjSYBKiVauKvN3GhrR1sRjq9u7RmjoVFRO1w
MzSdcmjTAf5BoQuJpj2Sgdxd2iEtvhlQNaR/KlV+rwI/3x3CaIX+IA8JTwfPwK9VoE4qbznR4uAk
Us+qK1EgnzpdzC5QhSx16d5CSpE6yYbTYnaLuVGtpP6obZ17KS8l8Z3xZHoG+pxLx0SkWDwWU6KI
+IeLyHP8paSiB0VVJVtE2tgGg9ELT/KXkgrRnglTnYuRQafbpZClAz5NxtSmkLeW3L0jXlwvgJ3u
IUEG8tpWZFXh+rP6m86uiqsli41nsFiEMrA3CwbmluZlS5Fz6iPu0SRwPTaetFQik4S6QFl8MRrK
y4Dyq/eyiQLNyaG9b1ryK5mC2HQQTuxctLJ1J1Ve16gm1o3CZ2Ci2QxIMU4rLczYlZxa086ZU65q
oHU9OaxuyShfZQJPyxkxXwxNNywUZc1OiQlyeRMj0iMzLs517F4sbjFumd60+lurM8ClNdFsv1rS
IBd+l0I/3g1k9ITjwtB7049NBrSFIRA9QcXC+GOA/vMQf9Cp7IZGqDfLWEXLboVQgqGv7iXhFp3B
lNK0RmIWYXfPL7GVQB9YL9BwrEnEWFwtqcF8RVvzPGDB4SeuzSJj8pPHy1ymKdVzJ5bYL8hoLL2M
E/JRXy29O9JCrC8ArplfpblQmXbSmpm8uEY77srdpd7q6zVqUfbMPR6kVeVMVI5pNm8WaHOvsclZ
wXXUlb8YG8AdiqLpBpc5G45NYmz0sF+rpLgbRS8OtpgABU15ki03A8FlGVaOtngA4i9s34kd+71Y
GE26BjJpD9E36MzSWa1XeWH861oNnG6mMcV8MvWedfqz9JZGMo8p/yCpuLJ9GUo3UPfebNgveYga
NjrasY2HZmkouMt41PQABobtixoyBOrqfgxmkrl2+irF3IPqIONem5E3R6RpnFdbs9/TepokKmvc
U8TUkJxUKsqZgU/fMbXNKW6VzHDmu0En7gplT538B3tnsiM3knXpV2n0uilwMg6LXrTPQ8yjpA0R
EQpxnkkzGp++P0ZmVUqqqkxkLxr4gX9TSJRC8nB3mtm1e8/5Tog0Dncfit72RsQTbah2GbUa7Czy
QC6Ld8/cpJ6OwpABRs9lRBvkLtNaOdEuQLW3THGrTtbHVjDaNRATnODAvBCRzdzXo9n0MsNUtt8a
L+p2/TIi1plAdEi8MVtV9zFFFgSbM2mEfKhn76yWYTNIF0IqxqHfO6kt3yByZJdwCs0Hn+KcgV0I
5XEllwE2PXQ8mstQO/YYb4tl0O0sI28yuctNvYzBk2UgLgbJ+wf5ClN1GZjH/cfs3KjlIrDBAFkJ
l2fXbQZrN5VDRPcsgNFaMch/IxGXufywjOitKokE48ZKOVjDsu7QCTGOGBOcYGcx3veWOb+RueH3
1kA5DmNiEQJAkcdK/yEPoC+SniwoGmudB/4GQFKzFXPf3GeuoTEWczF4zhfBQfqhPVCtjcPO+tAk
YAmMza0ZIxcoP1QL8yJg8BcpA+l/4jWddHXdTbRVvLalxzEifoCBWl/UNWoRGFuII5iFLjqJ9kMz
MQAW2nkZ8by74kNW0VrGe01MymW7KC9GC1XGuqqj5KRcnZAhwvD9e93PBA1HDrINnRhIOPJFzYFO
J0Cv5iMTR5w135mL7gPGA7PwGHbchKAwudQfOhESufI1Yi7UI+MweVD9TawjH+oSIldYbghO8g/t
SYNM7HNDKzte4TNwGJUn/q4f2/gGfWe6JwPdhPiHm2UrF2VLvmhc+GScg7/oXhChi6f2QwyTfghj
kpr5atjZkruuTX7pCE7/kCUwHtdwc9KTHlu9h+Ahhgs6cu7RYbi2z7jvNSSwLYqvohrvOfmL18BL
ncvM6uSOkUEU3Q7WjMbaCYNOMlKy27vShOt9QKw23nJ9SEyskJF3FjIMsDaDR9rCBZtvjArNIUxN
VAyBiTksJnNgzVPMHSfuXWZWtevtZpSVnD5x7Qa3+ViXxm3Jk94cUxXO4YED2YiOkqVAhm0/JbuW
J5a1nbtXPaoGGHye2krbVEwkE2Nt59m4MXrRn6ZC3MhAHV0neOCmb1/kUuudMoY9GsZ961tvZTHf
NWb43lvNnVWHWy+3X5FeXnez2rlzepMag3sUXd9eu87CFyyA4SLYjtlTE+u+aLzLwTJT6FByJQiZ
PE1ly3/lRBq0PnJSHEPWdslFeowU2MoWpMmuIrv+IHUPIYoxypGTzmdun2bvUWMlW5cR/p5n0N/m
nhpeMWtMZ8lLAI3iCd92AZ8jQ4r2iXZHZG4G0zig+51o9WJWBf/nDFV66oQeoW8WYXMeM0vm9FWK
Zg0vl7w5Nx9fsnbeWbCt0kuvzHFuEGKCOTxVHVpxPtAofjHENI6IUgPjvknjeMf+nMTw5D28SgX5
KeJAcJmJgzPIUd+HDBweapNNFV2PxSec49adCfm7IxV43pAIH+GNTOJmjcoiimF991yZpwFcQBsh
BwCl1u8pNdQ67CaR4OFQ0xXWpFCtmEWr7sLRzbRNUYZilHRMqJFhCwNmi6ZRHqygE1eAWSnftYPD
eV3XpZes9YQha2Wi1L7LUKeyhBnkI3NMSvGFyJkk3NplgqGmNWcLdFBsy51PHYXFw2ovMFvRAq+I
a59Wnay8TabL5mZmA9pljqGrrezj4lsQD87yGfnwgJlUbZxGCxeIc5o9+NT2jFoUrqe1dkrP3pPS
6TINSKN1kYX598aKjcd2bNJxmxdpdeyTOI63s5uTIOb7/TqMc/uRUNyAjHVgpCfQ0FhwsiF16+OA
ZIaTQ2qFdrRuD24lq80k43BTpS0itrLE7slpUlwHRjjB9CmbO1QCCFFLM7iV/PElBrBnGWT9CSql
fVk7RfxEhla5GhM6T18ZcYpziGD1EEeF9T3rHf8xHju8LbRJ3vhkxZfBiswzXxxPDG8Pz2jZ2QbA
hUJ0z15bI7zzptnZamMsSCbsXie7njDXW9k6d8bm0Ns5Y+G8KacNa58qAE2qow5jXFhfG/p3RFPl
4cki/LVh9s3vmSvG1ztCH5EP5HDF5hrrqXam6eSVPdYNIJYbGKdyS182fc58Kr8ZbeYJHnJrrf1m
4psciSIAAS1osmDmURd4hM5pnMlTGXWwCwnJWEUmqm9MVKggGpbbGOGHdbJ47wazFlv2LnVVW85Z
6QLMW4GAioGXI49qQvbTGk1wo8RgPeSJqM4lutMr7Tf6Rjclbou5qMJdDgR/+6Emms3paGAz/srV
FBhGqKbbkFNjH5gBhje/dOfrxKkGhFeZYnjlcCPizth+I3w+uigtaZ07lNyPS7TogfS9Fif0kFza
ZJWCx8rPqNuv/TmqLho9kiPDBeAU+8axQtf22Ytq9SKisX4cKXb2ReHdmjmDL4yAYJzqfu8a+B0C
XxYX3SgAaZgwthLLs3fIBcbL2Sh9jO52xoFWqF1dIIIqunDYZqbBhbEtmwcHZ8i6DpxiryvdrG0S
3nFT58zc8DH4RYPFJh7GqzCHyqq8MjnbGA4RxWCJsZypv3awSh6Vx+QSoJM+axC1J6whxgMll7Xp
RGWcJcQyGp9LG141i9OpTRIc951rP+m4LfaB0wDZrCq1qUbxmjSYQlxErFsVlnJb5qnc48Z8R6Nc
IwjPZ9gqkRud4S3ijCDrFXeLtq+NUtdk3PfVJc4apCBunBKdkThU09oASjrmahf4yXDWGNEgwTG/
zH1DbBpj1OfSrfqHZM6/hyrov5UqzDexnEJSUOw4WPmpjVN+VNGeQWCxL8zBoNxPqhBsen1RJuU3
HdWQT4i8ObveTDyGPSw0vNb5mjtY8rGyxew7fX8FwRMxVQHKeTa9dI3krWMyRuUB6CtdLQhfKJ6w
lN0cYX0w2DgQk+wwtbLaFQp1LujENlzSbhc2J4GZfdbyHDhdtjPZd9+gxQbvflfMeKQszpkoso9l
HxmXbuDle927wWPoRtydBrxKZ6NoYLXI4imYY/ZctMUocCsE4KHdPVv1sDGGKENyAmhtpRyPq5Ul
OfqL1iy5uKj4wuikWKpic5u2E7alxrN2aojv+U6mFe1+ZxPhdyGwVz0FkajWWk/FcdLmTe9a8xJ1
mnCNqfSuKP09WuFqy4SgxJHf8IhIr8a9Z2PuCkotd5Vi4p3nXGOwIpoPaZo6BwNd8TGgvuBCVzlv
hbfQrkd1x+QdNl0nw+TZTI0bwKLzzrCDd88U9olvm3gWjpYjdr992Ix627XDlS4mdWYv4OqmjPKe
em0+0MWGn2DbnKVTemGPDH1XVekGIMdDf9yGbaExANTYL0KO95jlfaD1Fe0ojr+UpLzsIXg7zyWK
cwx/ksqqTmDVVPO48xUK8j4PX+lF39uysdYNKtZ101gAY6wCl76tDwYLCBqf61xMeZB9qwpItqoM
+AgmckiPgQLrq+fqpshIH14rPwdPglV6Jwe/RLpfmhQ1hBccxDx/TkHw7nrXGbmMiZEc1Tgut61s
8EOgyxmPweRNuB3GEf5SDr76HgVmwnQB3euKUQglfxBTfJhF9RoN9XMxTcG3Vg8Z6jKvRM8wJt4x
akeBRazJSCnEjfw5Hmv35BGMemUUQr/g4u1ulNVM/SpSuj2YQry4jekNay/o4DtgAXthoN7cgILI
Tq1ruJedXTk3iywSECPtEWWl5i0XSnGKgrzCojA2J8fCzcn4NLGOwJPHk4Hb+HJIu+m2ToruqiUg
4hJKZb0aR8O5Z5hu0Npw1dfOldYr5rVyYxrD2KGAV3iK8z7XhzCvctxFdLyOwNR6/gedee9AmW8p
6x4bfza/RYZLlsYY6G8OT/heiWDadf4iC+oTqziXUdWD6B6b/VRwCdqGUd6yKxDFPGxMxqeQ5CdM
xOjsSufRx4o7bqNaUHTiw3+u58WFgUNFvEujh184Rm172zc4WJ2ZV9pkRCLcRqgVTlPn0wjN8+6N
uOLwkGPo+QwEvT7FlfiGzAbgrQ6B1sEBe6Bsvy+kSC/ajBvtynPmW4VMH0UwpWzSTOPBxFDymrtB
/t40Dfub7VFmdcO+Rvt2kuUcXpCATY2E6PthMaPcIrarthkPzSHMTCKEMdmvpiaT62oc7H0NSv7O
VtXtpJtk44rxdqxt663oYbE6ZY0xQaovUGELhwPLhAOAybx5ZeYozT07EtLqvI6HDbckoETYraJD
ORrN56kT7UYhSj1j/8mH5QNvVshlGKMh5fEKAy1XmmXeyakm5ayYs9HIoYp1d1FQ8LwPE2SVJRGB
oU6no7um0DDPpRMOxm7umJs0tvbefYIptq2lsssmru9LJ5rqt2SYXEnMhy0qoIWlLzVdnb66lnkh
oq0SLdCEqTOtkzV2sKP8cbaDbcfG4m5jsguTp5buk1pZXmO+WmHjaTjUavwaUnjlO9m1YLuH0eAp
9Gf77NGQvpV5R3sp0CW9M+26RrgoTZnPxitfZ3l6cDo/Bh8mC6rjUmMrPYtWRgppcq6DQ1hFBEtV
Mw2Xi8ZGTLKrjUjapK4TtrnpLMvYIOnglmWpIt5z8mnMZiocb9hOq/ylHRRYnz73AM8vDy3R8AlX
oaskh4j8nQ5c3nT8HnIgnTTNBjZPohjdMdo5JSU3KMeusa5dD+YBGwsoh11G1fJNLi6gjzQAERbj
XchRHZ19VxVPQ9kVT9yeMK9EZul+nbvcG/cpAdDzlSlrO92nKAK3Qij3amSVhWASbIFge0rScgtg
Fa48g6/+WNJLBMc8RP1NZ+OTP/n2OLSrurJTYEtVeQFaGqhxGCRLuQkvs9pXQQJtxZAxAZMRYim2
hBxjUpJOMGqrpvgejvRcN8tcTDxaoT8U+zrt2NMTyy6KbWw3dA7twBrgniulIozMSKmuLHOqUGL7
HYzomcZkfnBajwlCZ9v8fDXj1N73JWEaq7lvpxs5S5a3F3uuvEtSe7Cvp77nx8nKSaAk0cp7iBoe
z50lTfSSjcI3sc3xSw3ExSUuaQfRIhZMZEcxUWkA3tKwPHNXx0t3JLON6RI/nz+vY8sfnxl4qIPM
k0LcebgH0BwKVMSOiLCdcUnkziwqJ7ikKk8u45gBBB6eiXlwnTJ6Wua9wlynVJ8+ERa5ytf+6GZA
AALyeFaFyuii/yYsBD48j5tiQs+/HqjA8Iymyr+doXr6FZEYqXeEFe3Q1GhgEsSCKXs1k8WB/xRv
1drLBoAEE0UbwvSsmh6yhLzITUqQM/gydADDWrrp5B3nSkXDJrJL9oypbr4lbmdBVuDC/QVbRHID
v6L6Bi1jfPJQB9ADb/prtzeBtNq1j+lVzFO0yqoSZ+ToEAt/EB4E12NS4II71oB3kw2AWSImJG7+
i57sjlVCWXUDSkGDhJJV8eRQvz9re5qvwhoC+rphaOpwoNbiUZjaLAgXmdC0USz7L3OLiMqgU84p
PVVg5NDqyPIZd1tEQV/2fvod7T8tews6c37olUvJT/8ZBR1tmD68QC0o9qHoMMmmQaSnHb+58yJl
KMDEGVHAE6/BVIyTz9Pn5LY6deQGfrbnunsIYme4soBL438reGTMJbhng4ogjg/DIOb8POvcJDSK
MXmwqZ24LDapSwj7KptLx96XoD5uCsOw7BvRopE4I/5ARjZ4AgOCYZMaszZk63Nwk5kebXy68Xqd
WGV4JteaVn2gDTa2ISdRrtADZtN0cMqT6VElbrmr8XCrjHp/g7bf/JqKpexMzVLdg/mtnHVS4whY
mVzcWXNjaWCpkmz1ivTgFxdZK43BNAFRzBXc2/aJh4k2jKauPMxdmV8hoghtUARoFGlIWJRWjfZw
hhq+uyjhWJVy7TXGYrr/eN7NADHylGe2t3W55l0hESdOpJFMOYPegsw+YXH92gvlEKKtPByIUT8U
9/Rzg5e0HfKvGvPPtMcWUDzhLGYVzHHuPM0mvQDo2xNG69gvQYQPk7wOWH6YNtDUP1s679WmD2mu
4DZWFRfr3uA39EtEoNuEPD6B2WiRo2AFM6/crhKvkaTxDKOEBTrGA19dYk1mgrVVNKQcSMpuXhHv
6cZxo8rCK+Y0uzyoqV6z1igvmGFiIAxd171yw5a3NhamuScbAeuNFxFlZfpO7GzSFhEpT7yFjsK0
7V7tEfo7094Uc8GJseQxbyREjgLKS6H7dSkbVW8L3o5asXEV/nYsbYT7YciexyE8buhzQDHkglNW
F2Om1EXvgr/ftP7gz589t6zfNJ7kfsMxbuszMI18usUGFVOelsoms7KfNcyFoG4f1UAKx7ota+Yc
2sjIrP2YYmlCLrBVzym2d5gi1isiyPCKuJdO73rI2WTccEYytQ2b+D6HvmEfls1z67HY/JWRjOFT
7mofkGAeDHdhSt/kGHSqqrdpGL/3oY3FsY6p6erUDY+Imxu2/CEYnpCEzdOmGztnxk5eCryBLUfd
qmpddYE3Pmx2TV+FOJcCmvwDXf7qIHsUxPvEK3D0xlV1EZFlE53zICy9b2RVJfomC4c2vurACkUr
QR4owvlJtqxAGiU2ghg/Q5kqB0aJ3J8xQYmQpLkNDJim5wsqu+9dbUB7M2Yjf2qc1tRnNeHd/2Ij
ECRDyJ6iguAbqxtezNQkt9KOluogsBRZSCKXoQ9BwDfaezfKNLYoC9GvNSz8yzqAB0IHKN2gE6Pv
I6OWM4MhSpocQQWni7+4GfNhXfqcFK8uEj34DGDey/GGrnzW32KJtx/nca6Ji2pDhwShuo8FkQxi
FNejYeBtreJ0E0jzjPXWvkOBl+/QTFvPfpHPbzGBaJdiBrNoRkKc4QLPzwhyUirsvr/z47k+NDoQ
KxGT/OcMXnDIKZeu8cEBPmwsE4hjNPsXFHO8kt2Y44aprH/vOt7wlpdQBVZVmPp7M0naG+bYxbvV
dPJ7T2BoyqrS0WYuZHuXkvYVnhVElrPXtABF4HSrdG2Qt7hW2FmffXNKD322SLrDISXEbvZxmoXR
lx5zwKNB6bvxBx4FHwv0JjNi8V4ScO6uQse3LyUuwaMvK/M6QSzkHxK0C5juIpKYV0XdALevM0AC
UogD16oOrNyc1a9N0nhs4CP6yB2BvOi3xjZ5cWY3OxjFRAcgUOEZSy8aOtQba8/CEaETnFrxtGRA
YsncYgkagvVUzlG+cSfhGgxCImtfFsl8j22O2Ja4r0xku4BHLoPZnQ4FHcIXe+gTWE9hfs0KaoyN
nxQUlT6xDW/KCQv6hjhVGXrL7GIAFWyvc9ooLWPpFDZNzE0XG1wLWqNGpH4902/FrNz0jFYJDqlW
rtXIeGW3pE7NuNK+M8tms7MkN7akNE0cZdhJHRKuEkA7MhmIYXRzYptRY5/U0Dg9vETkcm0x1nyt
Vr7OZBoBf1FgQoJg/AKTHJ5DO3YX9jzHZKUVDMes6Bn2O5ZwLSIjW/tWXRM4lKnuWSvre5C62VUz
ykdfWJqjEJG7pqN1wfxUX09NkuNCdLv0rh6U2KARHWuwhoz7uqgXJ+TWjF0cY3xItBu8aEyuFxYS
ixuaqTz4M/bxnSmAP0yi5dkIUbKtugjdy5pfLYypr+zoWPiIN9f4IOH6e41Xb8LSbJPX0umJFyAV
IJAd3CojS7t9Mis8kAYviPxaZQRQcTte55O4J/WivEBJgjUUvS4kVyaJB5vPjGk1F/0bd9SasHah
6ss5asIjF+TiiYlDuRnyEQOvAXdmLaIgddauCkOYbWP9dUolp5jSSf2IudW/SudMfwmb1t6CQBtX
GQ36Z+R0io4ufmNErR0NCyfHQLAbFY2sxbRzFgYnuca9He9i0+42eNq+Gz7WXFE1A1A0JELr/4Xc
T/NVgzoFtU9fdHQHe8vH7uu1SDtqNjJ7YX7RlOrxaZEZAebrz9UdP2tzfJu5NNx7zDyWbwvMTb+o
5jr2S7NqEvbcrGWnBrotznM0yjc4/szbyGG4ztQi/f7zl/1ZJPXxsgI9CdIvFHsewvafFSXgKiYx
64GBdmX4waostBttCnrebKllwOXAr2TwF69pfWQZ/qj8xr2ELc4G+L+gw7H5/vyqXU+OcVkwfR6k
u3Qz8akzhzLZvFYoiEgWSgDdQSseGOJa1NSIIbAUMvTnxgfDcx4ADnjmgvEIJReo1OTy6vdk/Ah7
EMaRSAMyyWjMZLV4xSRPDd0IN/te5gWIr1riLzuQ/kZ9oDNrePPDmhHQKECZczKHVXkQRV0Bw7M9
A2zA7FxJqxkfA265AKUHytrbuvPwV9rm2AzAlUs5brGfar3NVeQDCh4E47mMi1H7GmoiVDee0eTs
oiw6WmWhaT2E6cgEFUCAcTQjjW92IBu1WfuenI/CIRYDWw6+/5y7wish5Jx1yRTQg6W02jkGxSUW
HtdxN1lszJSFRklSFCos09t0iWmJI3gvmWx0X+mjV5jc2SYh6H4g8mlOVu61zE24Xz+TbtxWm0bU
xnsJNmBRG0++v2dilX7xisoW+zSTwQCUx9JvRTCl5troSPRb5XLqzW0mJ7gBLZbgzdDQieaiWU9s
AXTHDCgKztgeiYRslqjEnMZx6HfdOZxzjpmAuB7Y3kGH4CX2SbHbNAAWuY+RLLiPSyAXq9pzHCAv
3jBKmg0JKIHMykO2b2QzgEvAxZxcqzDDXTtpoPChNn9Xsv5/E5hifPsjUOC/EMAUhfQPu8iSnP07
rHQhsP7v/3n/Uv2Py5cureofIaYff+l3iKn9CY8D/j2U/zDRAotd5TcpqmV/cjFR0h9k0yFNNESK
94/AaufTIl8ly9l2bBcvBgrR/rdAAdf5hIbeXMJBsKAwOPxbENN/Nd2RP0f2NY4FpH8OBsqfd58B
QoztKYzIvs/1ETs13f0l8kwQirupdR/uIQwwz8vktSHF3mrTo5sNDbDm/KHIIDZX6l6kXMnElLQX
HVoNp0zhnpV6xLWAP599Kt500ulYe8zICzcqNn0r612SZwEQ3ui9sJW7sqWTIcNmWU6mT5sMWwZ9
kEMQVs8+6v6NnEg38EbrXnrmwfBhMraG3a0Y9R6wgX1pUFRV7dexjukUDh6AJDd6KKV9/fHd/vci
+KvQdptn8z9rsU8fi0C//xz0vvyd39aA4X8KbSJ9mHNTaIc81X/oscNPpo+fC4ULxziKbROd5++r
wLc+0WfjL7IUMMNSzP5zFfjmp8Xoi0bbCnzxd7TYHzLkP85f4Zqm47IsLdw5pmViLvt5BaTMXnpy
OecNjbMKHRMNeDCSCAn7pfMI14dSIJYpg/fO6MarNhZjejZnc4NxIc7i4mAYKVK6OHJ8/PTMsWMS
BxSIQMNNljBgP0yfEfp6cHRTXwEvSVJSKoZo4v6WmSlzKcuEs5QRcWziQGL8P9YcY43dODceDfzv
CIBnJG/WIkRo8AOPNLn2hHRCa6ncpnrJ5gE1tYl+8J4IPci2WIWBxvTmI+s6LvcyDcszzIe52ziJ
wb19bm2kexXXzS2mT2RhnsjebCIrA4Y2yDXtKT41kzvJNXYh+n6WjwYvidt23yNb2WHzt4p9FQ4P
5CCWxS6wuSJPbXJwsX/sKoPoty08zmg3J4b1YncEh9HKBv2t295+YdIxfK2g4x1q5eIfH1jBf3+R
Xjfv1f3Qvb8Ply/NfwFMNuvhPy+v/1N9o1H68uMBw8//frx8wsjgsIej6sdehqb9n8fLJ0BPZsg5
AoABB4T9h9HBtT95Hz5D/sinvl6W4z+OFw4lKDXLP2Tx/5OQ/ncW10fx+sfioqTGa2fhf/a90LNM
+1c+gh1WyMuWoUAU1eZrKjP/xp1qdC3M+9ezOZJ90BX1MRr84FGS3nWIxtZ4BEpyAVWE6UphbEP4
HBM/A4FNXjPygCkqp/RpWm5bqXCDbTy3wY4tBPHQJN+AXH2d40JupKFvo6aQex8113YayVJCTJwf
C28Jfu/JAQB11n3tYNUQW/mlUXO2qWp6slP0aHqJs8N/m+yjtjtbQUntO1WPnE/jFcXaO8Y7VFBz
uapjl/GuKp8ZVUsaL9o/oUkkjtse9NYqLX+bGZD18Y0Pb2hO7vhVyktihdeqZgiBJKZnDU/I6gHk
XQO+TXclKlES6aGv4lemRacAQEZGjY1KDeehs6BjIAndzoE37wbVxdumdr7V7hxtUlDg6BHKPdQ6
+ZAVzZ0TN9+i3Hh2Jf19fGriO7KgE5Vr8gDk1EXJoQ5ce9nCwD2vYU/PpxkC6W9R9v99aP7FoUmh
9ydrunh9qX62L/Hzv61p2/qEN2nxjS1OUZOT6Z9rOvyEZ4jT0mNJL95katN/lIysaQ5P2u9MMnE8
cSr+Y0074SdoL2HAXer/4cDk3/nZqUyY1eLeDV0qU8+2f7mvtkBU2wpp9joC4H5LRjBkLF9mxpZ4
wan6C58HMN9fX24ByHBK06Lgo6Aa/vl4bkWZuTG9qfXQ1e5nEvjSV3iMSYtQdawvA8Mdh50KKq5r
NYjI194pA1TjiB2v4Bl6zqGsCtA68Hmy6ynSMVNH+mfhJhyb7NYdMe1uksHjKhc5nJK9O5T1uqwa
dZSjWZGvFxKqh4HJDD4jGgUoQatS0J7FnINAKbJIAvXtrHwS9OAbhPSZc8sEt74JQQDwu7Q4ZuI8
9SUwxMIlAcQN0s9Yv2LisEejAu0+0tnsXfKiV1HaQGk3u8oO10Me2V9DnOBsANpPnvqlhF9z7LLv
TMzaAv6mgc9+NhgAbbCwG2DO8kZegeuvn/FYledaNdldXPlddsgczV5ZWFVDk0EhWgWS5IImMsa2
vQFBbAP0Yhwt3zM/b8npsebhKxwNcU1K8uzsNNqBz0E/MvyVHfD2VUjFToQi08YnU1k0ZI2+hJY5
57G+9XNQBptK20wTAnydX2y6s884jIt6A8a68LlZmD1oLnNu9doxlfrqmmlvATKzgmdbc4mm1hnK
17LUKdI7VyOVHNsejExPzhp44ji0bpURl87BHQSsSX+2gPUrB218S+d4YN6aBvQQfBdFhJo8VL6V
6oIzT22DKqDT4QMFKuO/ugzEzKCg4fbiGb73NcFNCjRisN0Xo+wNe13MmROjmNZJt6s63d5o7Buv
WadGYuDDeRgZW4wTUSduL/Gvm4H9iOEPgRlp5MFOtqiB9kOsNEpBpfTj0KDW4/27WbMC0CSvZZQg
OusBvRFvmyC6h6bj76oFMUWP3e3e08ZETenakI6YRPoEqHRAJBAqBN63ODMwH+tCmw9VbPfpxkQ/
NENGlr15sEy0rEz75fjZVYKkF1sndrZyhpReHinP6mucTBNcYAS49LvqjuyUuPVTek6jxtkS0Xhk
JIb2rTh6bqGTNY+J8RpkHpNo2zD6YXnq8FD0TCj4ZpMoGzZ5oHukI1ZBlTomjDmcTizYPKiHxPs6
EOG2NmLcaR35Ffe0vlXTK81zF05qmyP9w9XQ5Vs5O6h+QMmjoDYxS5Bja+U97vHQU4ugAOGSCgpW
M7/Gg3DgoR28NOlBhS6FCBwOdDNrAn8JEPVLWO07O6R/1g+dE0JuBtFExzzIL31RNwyZjSm4KqfK
QMwzoz2dHTnSECZem3FoG9bI3Px0eEFn66f8o1Bat0mgiq+Kjj7M1LFBFxylqR9vXczZ78oR5XCZ
Ndrvd1PT9TXIfisVp5DIiIekUI3akjHQVTvBiPON9j9j+FFiM7gcdL8QoSfE/Piv4COsHGoAHANe
4X2dPYN2EKpH+xrfl37yKe4fKG2quzhMCOg14Z7eIAwR1pZayG436PP98rdO5d86xv9jEORP3Z3/
asV3+KfV9757/8VnvPz87yf1crIKYjphQaGq/KBB/d7cCT/hKl16PlyHGFf82NyxPvkuwDDmdg5R
Ndxr/zip3U8BHUn+iPrc5sJr/53q21oskD9W33SxAyGA9zNc90GE/cKQUgWEMMNDOxsRYHFirc/X
IeMMIgbQMtszt1nXV/K2iR1jP4xjekhlLQ4/lDX/xgb8L+c3v4PvWYJcZmtBwPFmf7RpTl6qHPY3
4ASjax242bZXvmV054YhzW9PKM9W/F7/m5daSoFf3y6fK+8WEY4HqOyXl8J9KiTYfTxTdbnxcHct
8+Ke28efvyX3Xz7XEJkDZRhYcFz9bBc/v1A+wKAJTN5TPUViy8x1OgRu0JI8yCD5SvmULNAUWvq2
bZUGA7Do0jOOrT/qNyF0dtlpJR6iuGr1xkHvRejb7IUPubYm66BkJax1qwYG33GNMns1RLInZMYH
Sro1jTb0VppBMeDU3Gu+TKkttnXjV+l2Kiyn38btoL75lcfMYlJxxTwh72sw1z4ZF7aehObqAOV5
ZcVec+4qgqV3nVFmhBeqxE+2TIQb9+SnBqPHv/jUfv12kH5a9BohO3JbtX+1g0+OTSvFgG+bxNMb
Tfd4x5gtP/35i1i/Pm7LlZdnYLHvA7cKfr1wtu0IRszI47Uf92RpxK4662hCfkmT9TGkDbm1DAGh
MTDq7BDGlnWtgpKwtK60Cdgb0FQ4loXgCneFAtQe/sWjs4yQfnxE4eqYJrpRzNV0tCiif35yANUN
GFb59eYeO03DPIZOjwHRtG070jSLzHj48w/E/vVZ5RUpYrk08IEwzxa/2KSnchKYabSBXEumjxY6
jGydmHMJWb9o3/AUN7R94WE8+9RENZA0Ob5yk/DSrZUhIVojgklO9hBG5U7mJVmURecyueV6qV+C
aLaTfWPjg16BtEE8ZDYNST9//hb+zWfmegzmfPqDEJh/ZeeMc4VMcq54cMzyce4KIt5xKWzGwb1s
7PDbn7/Yvz4/Fg0TMLpswBAfPqZ1P7jKjRQu5ez4Bi4yJ7qM3Nndc4PQ15URORd//lIfCWG/PAwh
jf+FVOHY8Ijsnx+G5P9Sdl7NcSpht/5FVJHDLTAzypYVLMs3lOVAbFITGn79edB36pQ10qc5+2Lv
G7vMAE2H913rWTVnc3fUkrCecgCvomoJRpn4wNGKGMDvO98lCiAJDOhfi2Onf1anD25VuvjedkYh
04vCod7tlYtg59zIsvIRC4F36xZeRvZB2VnsoIapdGLdJiAq1oOluklxSI3R4OQBhxIPiWw059N0
2zhtb4eTpbJqh4pnwNiaSH3ZUGYd3ou0Nm8H202CL/yh+3XGK/Si2M7TwRu09qKpIVAjyJJMVIPb
rOQQ5Zl+Ixkk2dmUddl8+PzZmZS1jj+kwPOABdI1xZV7/J4Q9XSIbnreE5i/LjLMDQ/kmwobjq8m
57Fuqv57KoBAIBIdiE6ibZntsOEGX7bolt+qkqB48tHqX/DHJN+lqN1btyvcW9qONrv0Yi7NfZ8N
wTcyaRBMd51fUqL7fyf+D9ar7Rz/7iYYAQBAaA85rrsNxn8G20AE2VQBIo+auinE3lnq6RINYhOn
gcwjgjzQ1JKK5x8gqA4x9g8VVg6mfEDdSUQCUUEVKp3cC2ro46PlthYNfZadWEDazU58hceLK/MI
2BA2JqzmrOP60W9N/J55ZptYi9LCT1kkVeRIr9h9/ki2lfPtJ0HxmIAJDw/+xjbdXvs/T6RFkZom
m4TOaBMvqnVPXdFywrQs2qYn0REDH5xgiz/y3f7282u/2y5Ry2DzxX6NeYZP0jnaP8ieGh48TwKi
SJp5wVydw5dtlxvbydLHJh2rOhpZHlh+KwUgy9LQLpm6M574He/nO36BT8YfxRpwbMcyBK9DUTza
bGM0sjv2GRoIch26ltJDTd9crw33xMr80QU5b27sD2Cj7ErfPnS11tNk6ZywOSQOnN0b92xwUcU1
inO5GjxxYk16P5SoCzPrAc5F5WEez3sDwyYblyGN5oqkhNaY6kiynfvPA5arsA10HOpVtJGO3ibS
rKCvcFFHWR/YCIF1CMC64Z3Y3n54L3ShIPCyMQBh+vbZUXny/CXgXgipQx9DEE6M6KePPx+aH10F
KYzDd+fT6feP7kUkTNHItdOIoAbcxt2a7IgiqE58fB9eBTIkM7hBxe2Y6kiviBIGpgbMpESl0Jqx
qrN5GNXd5zfz/htHX8N5hNa2yxr7OrX/843rpsodLK28fsR9exSw1r7lrx7KonTP+awX8HU2jq6y
PkUdfL2Dt9ML9CY6HizsjA3fONp+tUi9uz5hEls6/nGs083D0GnjHgR9vWugA+KeGcB0DGO9H+1f
sgoe2AQlUZLkzYmPbpsvj34KJAGcD9uxkR7J0XzqKEo2mT1iWWrH9meKD/jV3A0KYFH/U4D/X89F
r0P97bU4rHAS5VnTLmUj+HaQunnaK2CjCeWqNfjG106EUl2ME07yFnsVCRdYC/Y5llY0jJQrQ+or
WHCtBuW6kY7Zt3aYveSL4F+5U/aIfFjH0aFhG8xKNH49QXbhsuJCxCEEt5QGzTIRK2iUCHHkCAKa
yqg+UeqwG54j7nBor3pPAc+f5vTEZ//+uQIHcKhN0zBmW+Btg/yf0aV6cHVLYiKABEazr1Mc8Uh2
CR6yUAV8PpDfz5tsH7b2GYV3emzW0bzJaaFStjEQqSda/c/cLAMY4bSM0ab+baiRHz6/3Ps7o+aO
GATpB+DVwD8aMWBABU42Lrcsqx8W2lZtHwZqgJqEWXLiMW59w6PxyU1xXmcNNnFkvy6W/zxHMXmJ
XcoiCSsT3GGre/XF4Mv2Ym2rZJ+stb4nKNRDtuijJZZBf64jNoxLwynPP7/t99MF4DxQVAF5vjzq
43OjNfko8DcZIM6x9slMSUfMFZr1sOs7nJmYTtbzqgIQbxBzcWKL/v6Rb/M6TRjm9g/OrOViI38f
eeTotuyoWDnXw0XpogxY1IkHfjz52haMSYNjB02VjTt7NMWPiaCSpxXkmhTjL6O2tTihMH9iCL0u
5f/OBBw0oLJtogduDOP80RgqSqeBHk6yRbvCKA6JQEgOS2JRIgJlQmKga5WOdTZRVM7PNbcGXT9a
tbbAXlCGg93BJ+MNN4krI8XrHqO2r7sr3BoAvrJZTd5XJgMyymunwuY01OTbTRXBpuHar3Nzm45d
2e5Jw0Te8/kgOX5R3BdHXA8JEyU1PsnjTxGxrtGNUwdrai1v0rWYaFtk2tVkAZX8/FLvXxSdORdB
Nx8/1mf/aMUHSN6mYtWwekoxnClNC+JmS5P7/CrvDjgMdrrzxF2wFG9nhKM3tWTUcMaqHyKnnrpn
VWUFTXQQGwXHPWf+MhWO8CM9mBB90MtmPp+2dgBgbPldyIFwucYakJGYLhRYAFqNhmyZpGpSSu1Z
ODEUXMAB7Zj0OICweA2IW1NiL8e1SE7tL99trLkXCg8UDZA7Gw6v6u2cHMz5sHYFVm0ykB6MQPQ/
5UyB3V5y78KWNkuvcsw71Yr8Icmm7spF+/I/yq3/dQ18/9b4wFhmfVjDnsPB8e1PGAUgcjyVLRlU
U7XPk6RlviAD8vO39sFV2AZyh7y27UJHH3EKwrmAfzFsAGzSRE3TOZ8Aze9OXOWjyyD2oHSss4Um
s+TtzWQDiWRjXW1uEOJPNqm/XGh4lf29Pdnq2ZvlBONOybvWy9VNTVT2Y0ujZz70SPrJDEL4gStF
YyMUMvfPZ3Ly2/YwVa3+t5vW/jpZk8rdl+Cm031fTOJH0k+zgpxEAg95gI4D+YnD+SP162mIlzZp
b/RUx3SAHTe5xiY0PDUVovsQb0Ulo1QqdY3S1fajXC0unbx5qp4LQv+Gc0fpEN2TupteRGutv8jM
hvlr0Jgli2YK6seK6NTYwDfcnPjC3q1wSILdAME1mwT+T5T626dYrhMHH0P1EVux+Qk/XvB3zL3q
LO8S/4HsK4KaTQnTJciD7CURFFBqThkdAqx1PMkz3F7Z24l520MAJmXJ5aXqRz9mM/mtILxUZJl3
YOAjvOYT2np2qqdue9vsvb0SlTQK5A7fAcdM72gzSG9qEqmGnhqptzNerbaDjsWtHSqzeNCgaM3Z
lNZR75GEtWvN0S1idxSeeauPqfnw+Ug+YmG+lm9IauNXbCp/HYnQ23egZJYki2cSvU1Q4ByRhJ3X
jBdcD6FLi/yv9BypDixQSEBzPTcvaV8YVLxsqiIsQXqOUQzmNuuzNp5Y+9+PD+Z4oKmcHZkuPDM4
mrWEgZkJyBkMUrRw495Y8mSnQB//ddqyITCqow+ON00Hr7Iui3DA+PjDuMPjol22c4B99POH9T87
vKNXx8TCs2LYOibLw9unNYrRGEBQYMc3C0kHJyGUF19VReoZaC5cqwsG/a9WDRUDMJc/PwOopq9K
sKv2LPJFfxxgCTzZpPbei3Lpdyqoq8dqBKYYB9o4Pxk60ZfUqZIHjLyijC0wytf4LCzMmTwfUreh
05NhJLX0tgH6UIWE97nYBm2r8C+cWTnXAGjBt+SG9lcAce0ibP9jhUUlSb4NC+ZCvGHw7CSut1/s
nn0YA8xYFk3V1UZmKUBjRn6QeTYgFLpboRuI4oUtjX+R0BxZwsVsDHaCVMH+5GY335OuYCc7W09X
M5w7WrpErKrh+wxnZd3XXlb/6BxmG+rSRjbDO6iodpsu/AdAP4vzq/OCignM9/MxLignwi5zFkI4
yPqrbECUvsKyTUt3vlKTXoFNIdn0B5kheJwcN6u/2XQwmKdSV58ugrQqCdkzMazBuh2S9mBOGU6N
ogv0OlRACYJI4Jj0YoxxwaOssZrjKCjau9Fq+sdkTLuSZGqdwgvHUTYUkKjKG2LDh2/EdJL6NvkS
xgQ+oh9Q24urJpHYhFLCdbLYFWv9S1cuORliEcu5nWLgY6JqXBn3BRK2wKoDFWE00v50g9YRypjX
6zcY7wxhayJH4VxiFxlJwaymJDRlhRJtmJoVTYU9ey8NLu+vCykgXx1vnOedD14bdWgyjj8Hg/ET
NiCM4VMMffVT4CVawqJY1+u6JHvrgJJmuKGgVH/PZrd46tqmHKMUvxLoFmzIco9xlkwgA85kFtYW
ZeXLJuuKaPCsRFw3vQhUrJTpjhSwiSclc1iIm0B00t+ttcXuQa+asb8ZR0TncVVWMDC0JSng03oD
EofC77phs4hxqzpZbMbOJLFTx54NsiQWcvT+NCtkzMhuzFlQii17hT9vdN0IXlJgfPGsBR2Ob9Xw
dlDHwdBSi1bifO96DJkL3QGccAWG+AFOiBF6+mDbxDmW1rQ3KwOUkAr67eHV664ZjEGPC3JKoN2h
b8EOiLH7UmsCu9vjzfIU1MpkeGhzbaJjI4rse9O3g0eu+Dr9EASv+JHrobXdAxFOCFflxHSVrEX2
SO591n8bJ3KCIsdq52IXlPYocfSWKVqCzCe7jHxhSFu1w/k7ykpkudGk3KC/pNbdPuY5tGKAjiZI
AdC07dfKg9Gy7dGWP6gSvMuylWZ18Op5eihJuoGP0rLV5+eI+nmYjIzELuXJq9T38bgYE/5ylA/e
MznS43fV+haeY/ZgOp2MYuDDxhckQjICyodRX1wAkyAJQBUMfn01zW2QHaqSvWiUF8y9OA8xDkWD
1E0ZG2pUzw2sd3z97bTc5gr8Dbb2frQv2rYy9QuSssVwqaepQ8+1GK19QzIJ0kh0l3e5SQ71+dxq
ygVlWwfWZVAHHlolHQhbmPScv+NODsFhIP57DYWqSPiVriJwMiPNF5hFmzXXcI/okJDCgrQZ2AzE
rrxIdKKhQUTss6KdFzLmluy3Srs13dU+OCfN7bwLtw7IkbcoGEaLlrQvnK2IP07QFcBbmtogpuPD
Nrn0hfkLNIXtRVarafBLe3YmGzgsu57hlezIX1YWYdtLEexA2teKTmddJPsRUER7rqMuR4ruT6KF
TiPyxwFJE/FFhEvaoQfzE4ej1GayfLFDYyIL1EpPWeSVCOGDwlKzh7Lu9pCTt0xIs7PoLbej/E3O
QQqvw5ytHiatO+ggtkq923WWU9956Ln+VLWXV9AOB+u7jXq2wytosXjMRCQUEX7xQAB9LGVcNf06
YV9fwBlwaiTYbVjzqYxHWdrrLdFh2cvoYSy8cgIWvbPB1+UUOQNJ3GEecHSFYVuMSVyQixiXOstu
mI35+ndt3PkeXRAHWRMiBkYvlw6VQWp8qvmHqRi7+1XH3gbB5JpKFMapZLr0kOmEndCRAeU7nCUv
pN6/CEc71CkdoyJRseBzB3Wrdi3OXXCSD3Xu3aqhfvAnxgz9SUhaX3D3P1d2iWXc2M1l+UfPiz0R
OucOgXe4D740jnuTuOSaDkEV+wjqBWPZd5otLjo4gLi5x+v4JFnc7VZeLkZS3DdFfjMv06XjVi8F
5gKnxzBqPDfjQwmHyrd+GQO4D8M7t/kX5JITfZpB4LX2rKwetEsf/Cw0D56q20Os6h2MCdwGkrfE
Qv/FyoXrMwWipWMQr3TiCYxsvCMyi703JQp1Rq/hkkoqf9dC4wk1H2Wl1MVtmngq1vED5J58QL+0
1zfKyyia64T8C8cDhUfz7quNRRSiC9QkJe6Hvn9iv/EgNYhR/pDNP3TEiWf64h0AsP9wM2fXyeA6
NQmz8Ps7yxSP0NHPnBxeEFnMd36bfkV9du6Uj34K3VH08YhQNiTkMr1klA2w+v6WXXrhsXtPBF5I
kQ6PRpte25nZhoWa14O1ZudSWT7dyfleSGB9wArC1vbOe916TGTx09ii3gfTiaupPdSzuU9o8oCe
q/fEon9XmnlrZNTeMrozeqPfm/kQg3yuo9Z3qF9j0eY2XXzj5mFosnsrG8Os8MnsxSkSigw2kgYz
yFpvXeF8n4z5Seu+W/CPUq34RYLtb5nQ4CKK8tos1FVaEH06Z+yHxJekUpiHNeO8SA3rh5/z4iFk
RZY2qwsjq2O88ZfzyhENEfts6r8bBtAOu+bv3Pox06OfneXLnDpPFd9TOLrYobFRpaPT3c2YzyYK
Wu6G5zXnne43v20DCISabigJHJyuw86VFhQLhv7Z1GQDyqa8rcgubxxGRZGCxV3HFz78L42/VOfN
At1h9Jjiukbdjf2MytACAjCW0xjmJLrCrxY9myTl9dHU1NcYo/WrXk+8PQuz/5QxdOxzfXaITrTP
kBSe6Ymyzvy2B25Lk5m0kc6xm3BoUIZWlnYDzwr1rGvRRs3VWcI+5kA63G+OvSj+Rf+nMMXD7BvP
Xp+pSMqf04QDNZRt6+nnMyZ9UBADkSQgkpvkCtSE+ubWlvbDRB3yW5hVukSmAZ451NmDgPSWBeoA
IogDMrhbNJXYgSz2kGywAgzUS3engqwLzuVANnCk6+h3QVebBmSAvgGpQqwdvu7SHNbvQGGMBPwy
DL94wgguoz6byhvP71xjt6CAfKqsbW2RJsrjqPZs9w/5by4Y1qKZJ0iyjX4YitSmYdFqRmxLI/+S
BE5uR4KvAr4EehsvGv1NghQwG7woetovOkBVG8yiXO2dLwCJhEhherabrUGa6VJnhhbNptVNnCxE
d7HoUHJ2mIcGA9wiQEFsfSX0He7a+CmgsXztzEzd2e48FfsyzSj8A7/u58ioygREjlzJUeh63/+d
jUX2Y8CLwNi1mu6rN/FxxV1V+mSL+3Amq2HQnIj04cUPJ+pCF0NNZjujZ62ruAXdNUZlRgB5mMP9
BBaaEJsXyaqiBGL3XScixeJy5xdEW7AOZhFWX7lby3w2Qth0WguNwMVe5c+jA9XaVmxDHGX0v1pp
K/6K8N27wOkIS0Pp4EJhZTlRYbs0JSz4CTjWPkPACe8PN9nfJbFRXs9mD8sRGOdkI+MBbxhbSEAL
lpGZ3e1sloK0VYpe02XnoSUOEVlbd6Ry681NxwRLGDR7NHibs5VeBkTRGDGKaLSukzY6f4u64/U1
3Zhi4PAdgEdelb0YgWa0aJKH/ps2GNMVHs10UyfAFIAZAJqCr1HqAN5MWVx7vmBphwWlgS1NvTWL
GiLkm2jeePlR63VQ2NeglbcrTUzo7cpYH6sCQVSM7iL55nWyfnE0MNshDHu8XAmxaMjGdVJqKYtf
l4tloBKeVsG2zKoQB+WE+9Jxrceg2LPZnNKLphPBEvtjGsBJkESyIuS19CtqIYN/RskDHHDqBvld
ORMOrHXI171NyA46jZtfXvXt9CHRug/1jPeH+ABQjr6pbSK5ldaU09TszsdNMM/kjXY+MVZWdn+E
ph2Cz0Nfb1d+UpNPiuy+wD3/HUK+hRa/yNHl+8JFSqdMa3zRoXPfgqe3+LBt6BruJuyfywqNf1Ft
3V20Nmj/q1cfQJXW/nei2XAHrIsv6ogYr/lcWmAo2SGRKJi/ugqsV4eBUyT5Vy3dfAdUxOjb5u5Y
fElc2N8hGAdcCs7aTzf9q3dh7uv5hXMGjgbfWodh305lc228eh4soWUvcJes7+6rwld/Vft2tNop
xYvGZw8hweh6PO3h1gBL+nMNKpp906iZPxuouNfIkEYjCiaNeprGxvuXxsb5a26IlZOBJwz/ANC5
ALmV+FTG2Ha2Y5wUJpQ6f+YoRrrCaHhhb+uVtdca4iSJmp0MuWvXDZuStsgXby277dvYm9fxF8UZ
Msh8YQX3xDzUt/yz03NlNBzlS+RI91nANjceOEiWoS+74a/R1cld1xTyeQArAP9VbnNTQdGAQ1Br
ZyjZOYZO18U8ZGd9T9QDJIslbQE32+xo3aSkrREEOWWPZZFgmebchmNbmOtQ7HC95U9GmlVPCQkS
zBqe4s+WtuzpY0Hk7DVooXz9FRtKjcxPDJaUCrywFQRKhRZETFIttQyN+oI9O5oGjuyRlSq+l4lt
wDm4bOIufDLb0UV1AC/hWORePDl6/9S0djNQc4MwErmgzC7WMgELqbR58GOvYADA41TKQOgv3IPw
SOWSgvpJP5HvPqPjxXPqaPQ3HP+60sd85MM1xl+5mvAU1MhaYNjU7BylrpFzUY0aEvIOzNUa9Vaj
MZn3hfrl1wtzP/DXhJ1tqcZv7Gg1SUhKwi4rXR0sn0HmZLfLUqcPqe7Kx0a2GQtYKsAxUrFgTMBp
YOEOFPWOGD6ZN+wzaDlWhBMkOGfMlfi0hcLK0s8E24eNA0f+4JCRcWEMSIxiJT1jjuDY+zKeodLc
Zt4CdsQk3ZIu1FAuAY4Ih7OIDKBThKutDZfIHjaCtuAwErfZ5F3rdqHhWjE677mr3RpGiOvrPxfm
M3M/tb3+PLr9+gc7SfuSpIktz1fVedfD7GZeaEES+rqQcWgeqqUf7gkmHmC+y5whBia7reLC9mDU
c4jeKlzQ2P8QZGEwGLKOzNdZUn0KLXQ/LxUTF+CKqllyuD5dkMcyHaXOfmLEAlhNPdkech3lDljs
uuwoo7bElGouxKomqQuCwAxbv1hYunq20+kqD51XrnEp7fTLQM272fl6wuYmI0YEfxUlf4dxxfoV
N2Oa3jp9y2BwJTXRELOglRNfs47E12grNOWsN6rvYhid34bOIsP6NEJ8Ga2WFRxjEXPemq8He3Wb
H0VJMvzOU6SiLZW2dmejWMpf1B/da0uVw00jcQhT0phal0JjP//0yea+ntKAIhNywlc9gK39Xx/v
/3/LxrVoGQHcQSy09aCPGm1mQc5lUuSkH8i6uFRiVtccjk9oI961UrgI7CffNmlWwH7Z/vyfNrcx
BXSRa06nHD1zsKM8qFI02Yke9jtZMnFKmNtNh0YDngBstW8vY2oWEMRaElFQpO31gneGlUDaT7Wi
EmVmlXEJ+Mr6QlKgT1PHrHcaUSOA9KgTsDu+6JCJATCRHPVsNlWf15Xf9U5ff5uL2zDgwARP6u1v
U3Xj14LtcAT3EB9W3Wd7hyDF2i/UicaVcdzL3x6DgxoRAAC+ieBVrPzP00YhUZh9QkpCoOaBcGXZ
e38DPF6RI5oC8cjUxM62wWsgnexdaALRMJbp80rAXpiimCb4yBvIS0ytBUJjWV/4xEMQaUTRoQFa
+vj5g3mVA72pt/NzOdaiJLeQldOEPXoy9MIrPFTkJUG+PssL6JrY+bH29NI8H3NcYVml5ZCFe/3C
5cfv2EyMF5DUngJBVkHJ9uWOElXKwcbSr32ZmkSfCTtDsA8HvlJGF33+iz8YzajKGT0uGkb6BNur
/uf5sivEfr+gwwF62/2RdRXAhYdz+p+vYroWuAaLV4iA+Wgw6xZexyIHQjkMSX5FYRd+6CSn/edX
ed8Bp41PuW0zrtAVw2L59mY4eIADzUlC8EuzDlvfDPboifvfjjBNOiBZcF2r2ovWHsB7QpbBdae2
2rswhV1CN1Pa3iUyIi5J2D4sOg5z8m609ZKiX3ZRVZ48SOU797a7zDvSYNz485///qvi1xNRjJQD
7QpNvbe/Pm9MSXx3h9M7Z+/A+9IoV6IOlA5+8M8vdaxD2r4qDn8+YxXRE57ht5cio4DE0xmXRwv9
b9+QZkIUVMP3bLq/mlHPT33Fx9IgrmeTlkW636YWDZyjUTbqGod5QzURWVzTTcHivGtsm+AB4fTn
SHOcfTeu+t3smWCAc6+JLW/qD/Soxe1/vnHkEThKPJA46PWPvk+dqHoF9bmNHGMc/miFTDC3zPXe
pcZG2b12T0g/3r/TV2s1DcHNymQdq5MV0btZv3B+Cshz++Lasv4u3Mm7AjJbnFiXProUq8U2NW+v
9lhl4msZdYWZwjRl7MYm6QiDZplQBwfDGQQnPrX30wYHWh6jvuVbQmM5GkCckpRFBgjRwBuqwe+F
HWeCZeDzt/XRdIqzjRHKEhAgmzuaNxqQrH5hQXLVFFFfUR0Qb+sjM0t25gRvezeWFiR/JP9K3hor
NLbQcBCGEJ2gITMkHVljD9hO3Y25UisPe+woX4jRdR/AZEuNvb9YR3jAZfptnXR3PjHrffBGsH2Z
yAV490gpjx6S1uY5xYusRfqwOrGplHaT18ZGGR3db58/qfcfNP+8j96NHQPegHee9ynpjcVfISHP
5XSW9eV6rhmiPe8s+pGl1RYn5qqPrseBHoUbbgpSb45eTEEMRztyBoSZvziHeQt/oiXQ7/RA+F/y
FdPQiRlr21K8XViBAeHG3TZdCIPsoxlkGozZMyTrVIU2m1OAmdwXpt9de73hHQCmUVYDxHu/GD5h
JaIuq1O9/fdCOBehDro+Z9uPEMJ5tLm0OYEPiGFF5OJX/50VBpjFhuRkXNCaY8cQB2YNGazqiXGq
S/13H6S2vBKtn6oQOz15dE6aqmVHsKr/5BoQtums9JKip/Boifh6k5DVJpYt9LewaREkfZX98nLC
mZAQwu3ZEZkpYXgrJN+hs3Tls8VmwgvtvFzUdZknlKnp1oPIgf3ZKyDlAwQsj8gALx7LdkP8dGq4
zgavs3dTOXv3xrgi4EIFR1ajBeRRh0oabAdUFEtOOJg6NULEDum3cQzMv+ucUFCHCv4k845wL9Kh
5V9Zr/JFcJHxDFmIUnFNsEEXiV64f3BuGgUgVV91sc0hOHia+qFBFQlm0IsCvXHMWNWkLtAan/Pn
way7Z6ofw23KoVCPWeWHb9kI8D5amqJFKkzJz9zDE86Hq9Va2PUBEsa3xIbLyOKkdoaAjD+7+t7n
JTLUpne8gtoWR+6zmeqyhl0vG7UoX6fhXLZ+8Nv2+uYuXZCAQdWt12dVoPcPieWsgdoCus9C05Nd
gi9yyimYbwDvxaf1HS5YMJ90w54fyWGfSJJuCnqO3eQaXewhZSDHBaUMcWyK1FOiH2XF66hz48Ym
9yUBUbqqNEYyXhXRNGb1PVk76LEyipRX3F3xN28n6oDDIiZtJ0c7/6uNojtHWN9TK01V9lCkFgrq
ciZOG8qnJDWqp53aJzYNlyHo7B78tFe9kNSwRvngTA+fTzfvp38SaVlAAfSw1aVy8Xb/0CkTQlSe
YehxlNzR2odYO+Md+/wqr9P724+evSLbOERSXMj1t1non81pGkwCNQc9XbF0fSzJjvy58HyI96Sx
eM5xPN8Na9XulJaAuuwAC08If1FYgpKgTOgRUy7V9cBWK2pppJKnKFP9Cgsc0og+aGPw0MMFB/U2
7rSmi8VEueTzW/hgnuQUx5TFxgeQ3/H2uiVlzeYrE5HIa+fGmos0rs2uv0gtnRaMxdD5/Hrv/AqY
cvBbcUVGKpfdUIT/PrI5bfTMt9nKGbF2t54536u9OCRn69/qYiYGU5x4RR+s0FyPAYA7x2fe8Y8W
gqaop9Ec6zaKf5zf/bk7Pz+Eu+hsDuOvc3hig/N+0L291NFySvdM6ATPtZGST6qhLxKccgJsZMXj
VebN3Rw9vQXySqJvd3O5f9hzK4fD4e/95dcTN/LBuN7uBG0rZn6fVe3o/NyAhUBwy2VIsXhUVyBb
bgHqXlZ70mSjJpIxiPe4OafRn8bQa/fB8+ej5P3GhGvjL+csxk9455mjNAOjQieo06YQGapk8s/5
ltp9P6z+iXt9/9L+5xIWA4TT2bHxvU1GS+u7Icc/Y6ZPREPobPqD/2p0YDOq8x/HeUBHBKUfzUdm
J+jRLj3cb5VXDx2pPHeLXdDP3AjVnz+799JkruVbwNN4fPjtju9odWdlL06XRwhTR8It8Qb1E+2M
DgkKiSqWnv6ohEbuJk6QfVGb2RjnZutef/4zPnqFWOPh+brsv0Ehvv3Oad/RM+BFUnA3hh3NxhnK
Zv0tgF974gjz0RukHcAooajmcG56eyVMY0Xj5qykhZbP58iUocWq1To1cW0nr6O53mBMUocIKCq9
09Yi9PHNyZMlJByAwAdvTe1NXBKAzFkgZu9ITjEemqFMDU73Qn8GdOPfC9Fm91lqm1f0e1bKC44n
USoRDi9Ch77aQNQ16R8pSQD/vaQBM2JjQDLtUYQ+xgbIgvYZOqStDCipK2/+Tq9puxMP/6OngjLV
gwfLXEGB5u3DH/VAGgttJdr0k7hKyKv4mlnTlvLpFo8943NLPVHyxOD64JVjT+R1cHrh5HJsUfQ7
TyMtihKnk43OedB5bbx4iThxbx99SVuxJsBJSkUVovXbm8uNigadlcKBB3BkIpotCxWldldwJhMk
r1COaDNzl5CKgqusWdEY+2CdL4N20eWJz/qD78nERIxWaaOkUT96+1u0vJTGq5aZw3IR+yZFZCSq
y8E3+yz+z58uxUGshOwrKWq+qoj/2dVYiEyVAeQnMqUHu6lHcYgy6pJu339XbuM6AVMBMdjDnem8
rnf/XgoRlMN+n7nKWjmsrxPCLGzS7ReNms/XYrLTc3PN+q9lv7rn6MzpM2p1cPP5/b4ePo8+7a3w
xyGYuYp6yNE2rnUVihto6JEaSlcCoGrXa6dZbOTjiWxjzc/+Anyydmla6gfg4/lXPi37N/zeclOd
GPyvI0eoEVh/G/KZ+xXvp4H0pDskk8UKhiZETViTaC0XVZXvJn3T94mu+KYW4xRg7oNPEnomQnj6
Zqxt3tHdJEaHJ5jMGDb91vKNPod/T89yCi3K3ztDn4NHAAjZiWf4wfDElWz4qLFZ4N45YKtmQHI8
s+gA3kC3MRrFlRw7hHR+pp846XKofj8V00Sh9eDDHmFVPVpNaT0TjJ4VWqg69DWhYxBuQAAo55mJ
CMQqIiSMjrq0dcRtiL7Lh7xcg52eWt3XmkhKBAJWvASjRlJqnbN5z4WexLWxFg+ru6kSnaFC1Tlu
qt5dV8yVPGD7NbYMo8ZyLlIw/z/NsjFgaK3WS4NLR+y0YTFvJlTuGidGx8VqnNBxxEwmBVwPo9FR
qiklHpdcCLY1EC7dED+xdjtkZMtFxhhUN/hZ3e9aWXuXTdkSQLkmOonK3Ypef/I74wZ5ODF49mSS
ueMNXftndMeGvAhhNgisAXT1yHs18n3asXAfxsExnqZUtd8t5OKAuFqvXe40z6+Tvcl0Nsae6LSL
YW5pSdIxKC6CIFs4rdPwvat0ssdCHPtWgoJn7kkPH1fN+dKUQER2qT2YZTg5KUITnDsXdOeQYXbp
0l1n1JS6GCVOm8TL4ku+Jn+eA4z/Or96K7yQFsuWy9uLRKDtCwTKqYhlF+meG9S0bBwzLciARvWd
gATx8i9+6jhpKBdJCmYg5+VmdJcShp82IU6vgN0T6lSlxbc+EekS05Tuf7oNMdFhz9Rd7LwKk1gI
7Z5/NajVasbY0vsrBFO+Fldrr2chKY1DG43aYOZ7kus42TK6Woy+djupyFfDOhzWPkVYiLh9bWKD
bsEFNLlkAWvvT4/wVxBbafTJCCRURXtODKAnroSaQFQJ+sJhSWX1NzUCGKidhJAcl4ObXU9j7jY7
1PzjddUFi3mQSLOQwClywSMkqf6fjEoL75Zbu/Ja3Wx3djUGjFVVSgfh4jQhmlSdDkJx1hqkDDaQ
492il/5vKkWqvOjNpTcjp0KG44zE38ZoyZWz87V5fW7V/6HsvHbk1rI0/SqNc89qegN0FTBk2PRK
K+UNISlT9N7z6fvbqprBCUYgYnQOICERytjktmuv9ZugG71W7odoFVEWAjyQEzK6IYbUGN6M4DUB
GdhkMQbDCe7ldtKYxLqPXwwzYgJso1LFXBeymf5kRyHDVhVJLrnzILq6MJW+3UpR0GZrJVHHEu3k
YazWHdLU1c6HUobqLfW/2KPKjLV5Zg7YM3Z50Zu7GVYW6ZpGwaylt0PA60xE7GdwCtGu5x5HrhV2
ydN7XSt+f2WoZYvLWGIKO6nftaHcT8vSnTUnhMhcoUbrWviqG14VBsm8RZCxNiGEKkV5Z3c5mEkH
XHW8SzJ/wNqulDCVS/AGyfdziWD7OmD5Tuu4tocnrAwCfccppVtuVEfDTQGm/q3nwPoeQqvBg49D
EiBW5lTYvIOtUtZSYHbavdMlaGlFoxpAnoiCj6iV82fhXTmsrEYxihu9Gdgoa7ljssQmaZ613esd
IO7a93/o09S+Nlai2kBWBuuzIu6A7dY3ybDOwabeYIhayN96m9Krq8iU9mAU+M43gIw+iJ4+fjAA
2LxI2qg+htnAjVse8FgATYoeqGSnM0ALo1Wu4i6rtXUim8HHBJn+BVxE8Xr+rD0RuRGqQ4+Cr0ve
3FxcCwyYtkY2c7MDpW97KeHTXSbJycf5VrTjZvhuGEWkA7kNQT87jJZMO4BR3tIMcj/redWuSi+9
1fZIgay0Vb6pbp07ZSs9JrtxF24QBto422KTrpV1sTHWEEzc/Hba4dm5ki+ckyfK5odPJp78bxFP
XVpdHSg8WeJabrr6RBJt/QmWxX1KNtEKQs+FuPEE5+uwwcVhWVBwGCLRYOb+eHT337z1ly/ne/v4
7D9sYRFwRFMAZnCkBcnCKq+6CRC2quLN+UZOjSilHM0Uwn+cB4vXUFqtpVbEaV1SglxbVc+GojmX
GHInXoW7EnE2GSqHaufiVWLsntMQTSAvwWBvb7SGvDHjMXtoyqJYnX+h44KBRfQiKtoYHDuETYcT
ITFycPXouQCcLYAWBTV57RKz6x8DpvZXWT9CJkEcoXmupDoYdgZWMJemhrgzHMa9cADhaHK9MdDq
+r2K/jYXwRlSJ2uG1Ov7OpYfYSNiut10Cs6FXO19KD9SED4MAE2+4UljXkk9FPytowcVEt1gy+FC
zNGlBXJioKkOWhYBFb0Dj/KwX4rQ7uoRSTnwVI3+gjd8DsyKPrw2i7wiDsh0/efQpSidpl1PmGYG
aAi7KjL+tdfJWvbdCOXpq25G2oTScJh/Pz9sJ8osaF+KhCI3UJF1WOxg8JMnS+kB1SuJEec31DzA
ZjaNAnssn8BJg6CNEOH1bd+q3Wpq2g9jxHB4nZeS0QLWbjDUzezooe9xLQD7rU45IWNbwhNX5nmb
qomWQZk1IK1ZVSVVWwlB1L1pCx/PsKyglKBXXTYXZuORcBdVUvArVAIN8qQmFOzDbsfsErOGZoS2
miSU8xGv1W5zv+k/6qkeHgirS9/rMxVnP10YzOcNuyvKgqX+JCEyjFJuo41rbXBsaW8oSfcYmmSU
EZxFD9DLIUjo6/PjcOJybvGUFBRR9bGZxIsNgcxZ1Y0OFb5UoGaQ85ufbC3rvMrKk6emxyoMOVLl
55zM0TvmePEGhpGaXdiVTj2FEN5xuMVqIBaMRdGtK5HfCdCPIUUwOBI+hACzvKGfo9dUI/ZC8T6d
3se2QK84KudxWGfkYL43c578uNAfYt4tFjMYJDi0XDg5+JZaKn2Knl9Cwc8z6hY9zrJFzBd91OtA
xccv1kprr9iVvE7yaHpo43B8YULAzFES6d7KfX81kAFZU76ddtykko2j+OaWoraOiboqX5htYhtd
Pit6hGCz2GjRUFiscRkxMHJmrCEQAcGmw7APyR1J2yABgAj7VDcXOufEnoJZAyoGSK4INbTFKPXd
EFuZP6aeSVnoDsBuuavaadxdGAIBgFm8lmOJlBsqJIAzl0XuuQoyJw6i1IuilIKPPzZIEyiBge9Z
NaKXDNKxMXPXMlt4ZKnc55NrUIL/FsyyeWEbPe5hLNiYDmAMkYig2nK4nGcLu3nHJi/Xdk73NVIK
e92k7fRqzIZ2BUgzejn/7iegTWzYgMoUcg+QwJainA7+tRLgbjwWa7vB+lvF0RhfX0n+FdvDHK6z
2jF/mlqZq1wc2/rBgLLwy0yyGkaX2VEltrRCv0XwYagpDGvIf8wgRdlZC0G+ArhTfQ/SOviiz5P1
ox5MeVx3sHwvZs+PIwDeAxkUIbCGbs1yQVd+XWh1TprX6h3pM23QUeCYVr5UMTmCKkz1W4LOCpYD
2vdYTcV737aGlZbCb3WlScoe8Iicdog0kRqafetC4vPEfsPRQ8aMYWUio7Z1OK5TXDtqEFLYbJIC
eKrmh1J/OxXB2HLiWNqvaJKax6YbgteadCQA+FpSb52pxqDk/ICf6CeV5KtA5aFgRBBz+CCNKjfx
OKmktEfH2LWwrSBhtfo1mfdLaM4TZxPIPFCz6CADzjpCZ6lahJVmjTxjM8fmBi/K9iqfzfTJsJLo
SUFUpnNZ/nirKFmHeanS3KeaEVw3ilnurLzu9+Bx87vEabE2xa93L0mY4ircu5ILRYLjPZgEGDlp
yi8yQcKyHtyGoBNa5C+9SRvkb9rYtPAI5fa6iBHSshophFTbl3sQq/olleDjrB9NC9SHTWxA9WcR
lnSyr9WzVgCwsep+YiNHGWeTjAmpEza+ggqyHY33rRxE1z72StTfrcr50cf98OLIPWZ/PWhqGzZb
3txgi5znq7nJLNNNezyxCbJqRbtwCBxvysDbLNKuFIIMS11uUVbTz3j+sltqiZ3ekMUIVqaCB8X5
eXpqSGyMuDG/FKIKy8ob5tVkyXp4SXZQ9E/49sK95WD6GIlaHtqmwi1dxqbbzQnHLwj0nJACsTmJ
TepczAU2ieUtFMB7Kg124vlUiXYGQkDXjRn3XgsP6xfQwng9OoU/bqAjT/epAxjOjX2teoHCYG6j
rPG/VMlcX8oPn3os6u7Y7CF+ygpe3jwC1ampzhWpVyptrK8y6D9POP9ACUscDei2Gv/Qa5xhVfzF
V7SvPHeJnIxr5JmsvV9lJWy8oLmEjT+xoZD/F45lQtyS5O7hhiKNYCuTEJ7OHHfzU0b+ZU2e0Ngn
NnW283PiRFNcIqluoJSDuPqyaGVOioY0i994hYMIRY1kwwo/6uS2GMxLeAdLbMiHMYGA2JmIRYkN
AYjx4WuFftf4Vai33limOpa/LNG1Qykx3odKUN7BBu/QwAxLiFtS0YL5qE0fAmnjaG9JXJOfKbI5
fK4AECpuJHfhg2YXAfAqiw9XuiUJ9l88V1eWFU9vs/rbTo1Yx4CXk8nWnd23mrlpgaa8g2dV3lBZ
ad5S6JmviqT8xHNcfoVyJ7/XZnNFhS/dzH2V9OvZwZIVVvWMWIifVIMrDU0dbIvYauSNH7Xal8Zp
ZIxzCxksUVvx6m6rRVCP4B8hsyKloLU9qeypzPVSFvbuWDr+pzJAkNwmqTMqeMCS5HMR2RcOF3mG
DUwwILlBXi0NqKxZifHpAH99jfwabzfoK+OPwaT33HgY2xHMaD+/GRM+qnBvoWi5hRxJwrzDrID6
Ddr4C18Xpd7qQFomiKVm+qwFJvbH56fS8bYrbADFPsYos78sEgaw3aFn6SRD6U5/z91ZX+m1M2zK
xFB36JYEUBrH5sKedgIGwjkoU+ARqm2iNHk4qZJh7OamJgxxMO3YGMC/bgxY8g9zLJvkZUfLXDUQ
OQHhSf1uoLa1opbZbVMtU7/UsjNvAI3p+wCOFtc5uXJucuRTL0Sgv6HKi5kvnBooDAsMAKHh4iHL
QVajUGDtjLhQVuT6+nyF1Tt1i6EsuRtXuoHT7yhrjxNUmOfJLiIVgKYjIU0ijwbW0CMWnC73BHS4
CqeCaqw7s4gGG3nI3Q6XAgIxqHq3moING4j5WpJWioGUBXrSNjElzPxoXOtVFzk7yGnBoxUn+Qcc
0Cny7MjRPqKZuxo2P0l8X0+m/7Np867bBI453aPgUl1xEoY4efqa9Nm28Fkundpi9S/6SKQohdKf
CBuW4Zxm+JmE/0vjWcgVrC3ZSVaka+N1DrDjPQqs/g60sA0kk8KMRuh+jxeMdJP25ridMzX0EqWg
fPLHU5rqGvBzoREFMngRYgJoDGzfrBpPnzECrxDd+yANpKzqLPDdmGIbVa3wEl73aEu2gG4AriDz
A2pbX+7+fhPBRUGHxKtTKdv7VtxcwdMjmimtS5HrcThJW7aKZh+e2EDelqV0TljKKoZCsT5HR2rt
j1L1QeFCeY78MH7Hfot40ggQhqfGOjyBmsVngnS1cRuqs/JRq8ovs8bYMpu0+dmorOkT8cj2S1zb
89v5kfgNhjuYHuAqAEIZGOkikoUr5eES4hLQWk2JcbQmYSOwnYO2GnC1wGtjoyvVFN0qMYSSVamU
OYoG9Ywbra+OA2VOuwtJlSLlOHsFGf7J7eKoK+6zvtQuXEl+Sx0uH5LqPfV7PNygXC0iz5yFwehp
kJ6xWP8+kq76NRkZ+FwnU/03y5gR5bVGc/qJUXz82s8ygkdQuQl2ctDzuhco0Pa81EorILHKkAV7
uS9hQAwdwol7dCiJ5J3fV8gWNsiW90O7JNBLUMMozCR4CaLtVK5VPaWAZEugF7eOVsz6hZ3+OJFu
4YpDrlZIzMHxXZLKdKvNrSEBRoO7lb7vY4W6i1bpGzu0evItqb1CELBfdySKvLAjd+lAo4V/R7H5
wrQ4iinEkwg1TaxHiC2XJK6WQ1RL4b3STPbNphjqqkazDVXpKogCZav24wasyt6a0MOsZlzcuvTS
zvV7916MOs9ggi4ydJ2/F/c/n+2zaCzxDGoz3A0BiEGEkVXzmxnotu82QaZ4wEcIIiyZglOARMwg
KzikgHp4EPCSVRPm837IfWvXBKF86+jUIf1ODm/qweg2Ue5XiOqM4zatNMxOfFJ7FNRkaPxJujYL
vd6wuoN1VtWQ6pu22tg5egiF3CJXXtjqtV3X7ev5jj/epFQgkUgXcekF4i98ff9eu4ljBCrxrSOw
aRz/eZbHft0WnbVBW7Z6/POm6FjBKwSUCELmsCmUbJK6jWDTdfpAwTk1x03ZwgMHwl7szjf1Gy11
OJRcwIA/soQxQmA0D9tqLWkKqirmLM1ndHGrYSJmg8KSkodYKUmIGmzh5OTbkVtye+45KwjcI+Y8
pHUGRQiGSePkylYlxxzc5rtcpt1+LlIo5ENRvakaWP/IZjjtQNEfsjCT7kl+Kw8B9q9IZ0flTq/6
YDMmWZcixZDLe82cqn2Om8hNNRXlJfzIUZqOwgvKqcI/FjQyhY/D91UmBCNR8s+8xJrMTznM03yF
+pL0kPjgSTac1b20Tcemg3FMEi3acUFGtjKgPoyE1BgEHwQmle7Rp8pubLsgdJXcMMrVOOjyrlRs
WAbVYIV4qZap8aq2pfbz/JAdRZ28AX5AnGEsPzIiiyOakLCewxnP1Sruozul88f7srOGvTOrCVhL
hyTJHF3adk42Su6UBSD4JUtBYnw42kjHWAlc6dA+cI3LkRNERAztP/PrnIzzs97a5QV47jFenFcl
zgXyBscKGdHF6RIV6B6S54N0qCXFDvsDZVfWxPQuiBXnyk90THf5gwuGhA7hJPRsBjlE4KLDutLD
xPNSyl+shsVqYfclaGPfRddjeQxoOgKUQ4q+pxHRVkWpfytAoxcW5YkgRUXwXbw2J82xt5QRRGXu
6KhwjAj7PyEpmsUuhti2uYqpd11N4QBkIRubqd+ExRyiQ9uHA+idrhpfCCiafI3eTReupa4EIDMH
9uS7pBMRQ+U2CqIiDEsSLuen5anBEkwCrFxFWKX+tgf6W0GRXEOSULkEIz7V9k0TZcHLpFapB5kz
3LcO1pZ+kul3BcJqD5MOaBIdmfHGrPtmg9TU9O3845zYrkn7kPYnSfnb/uhwnXdzNAwIuWWeEnXx
NzPOEAYPTP9dDhxCqvNtHSdmyWBxGjJS1M+oAohI/2+vPiElwNpgUwkcf1yHkXkFt25DtnpAs6LJ
yQ1H35iWSDvZKEhk6fZC+2LTWkxL1QQqr7OtCR++5ZaQJsBDEZ/xqinOnmKjCtc6KjRAvzkVyzke
3iaK2/c4wHRrpSn17RzlNSJZmfrcDMZ0ISg8sUi4O4DA4A+WyTLDItV9peRamHNBAZUTmJKxM1BX
v7RIRKcuX1rkbxQiEECkSwlsS59DNewdasVceTE8sptHdVLrr4oTUHxUpDazNnIrIe9C6sBC3VBu
QrfRkpR/pnOYJbkcxCSUs7Ranx+PEx3AuY3pjk2NmBh+MRxhZ8vgaBmOwCC52CK+em0mlbE/38qJ
GU4b9C8CBKCDl2xh+DmTpUeY+Ew2yk9zH2GFl8aAsRFFuLC2T70QoB1uZjq+AaCDD+e3XThUiB22
PXwSnGtu4MBabch1T+ff6FQzNkwMh9QGZMplv+E/gWpbCx+pmMHJ2o3uXKNMc8lr60S/kfwkUc6k
EVDZxb2qCAvVbiNSnLES5CjAyc1ak/SsAqI7KxeWwjHiBzwhN3zOChoC6LGIlGsDwZ+Q+jlop4Hr
gYTaalYr+X2eIWOaFgrKgLM2r+y8sG5VDS/FpMglzw90556KorTq5J5wuHbaLyPAr0sZiBNdAcKd
B6SKTelueZwpJZgFeFo5WqC137nUrORPdQ7MHwKhYd9OPjHjPoa6fFfGml6s2zTvH/km6psWE853
tUzOGte2RpRT8LrOcrcGgHwJq3JiXkBUFoh0sBdCVPxw+hUBfsvoHVMbVK1636lw8Wft0tF+nBmn
wESOlv1bJ2XPVx22gpeLA0S0q7HpqpH270eEccu5W6k4BIKqjaKVhZTXXVw04V2BVm66QuM8/IZU
7tusSNrKJId9aY8TC2uxx2EuqQlhApNAYmnwk/dFDZpVRzepsIYvpd4KCboq+YWG87zRh6nbASJa
S3H2iTlCv9ZHp9wOpIUubGjHRDq4B9x+xSwBO3p0zZdbXwITKpNeHGB2Ukz65QxVsUWuKl1T3oof
arLDj3kwt6jyok0a99MEJn74SGz1izqg0WPXvf6rlis0RsDGrM2qmPdjGyKVUlrWhfNQjNRhr0H7
BkFEmp//WeKHI4nUrWOUOYMoScBg26awb9FTda5TbcQHCW7ZVkoH+0LB50SjCO+z0qFN4LGiLybp
jO12Y3QoLzX+zKaPDNYtajztthqLyat8KV8VVAi98zvmcTIYU14mCFZvLF8or4sIuQ/NRNW7pvLG
Omu+hUyipwKQ3Fe7HPQ71B6RRUMBzvlumiECs2RbVMXLDYSvYCf76asZtuGPBoWXO1AEqsCcWdO3
Ts3NtwvPeaJ3BDoF1A14HYIk8fnfIqQKGEQVG2Xl6T3YZzZ6bP1SRZ+/2modZJxZavaj1OPpQZGC
8W1CiE5Qz/XMXvlla6wjoPrqriiyLF7XRK9XtR8nnygyZugbxSPCzuefV3TbYgYx20H0EDriILZ8
XKuYKszNedwo1epVLEOITqFzbaQw016GvNHerTZCTToEiXa+5eMtWRPGAQpIHqIE2Vp0VAqFTJAi
RU1BHgghg/AuaMlydKBqL5zqp5pCykUUwrgIQ9Y7HBPUvckLamRxemjua4QUHbe0496d0Le98FYn
hp9DBokVolSBFFnULEKMDgNJpmZhFciDAl4v7B+zpgZXkiNPKAGjhA0WXKvlS64YJ96RZSEYcAQu
5FAX3YmkV4rgoYxwi1JX66DpnVWu54nr6H1wIR47BgdagMAAowCjA9hJqHTYn3Yeg/BBvNvDCDW3
vRJE9mdeQ9QTnqco3CajxgVahZ/obEbM5oe1xd4078rURFFfkhDCdInosJ2FUSShb5tRpTQzOww8
VPFqdR9gbYjcdtBVaydQK38loZ/6XppxXrs90HoHlwSi7wt7zImxo1QseNvCa435cvhaZeWAosj8
0ktGI3wlIu2uBQH1xsCM8BF0ibzK5jj+cn4ZHB/5hEtgfbn0c6cBK3vYqB2Q2cOvBQmXqvDXJdlI
V4sH+c/DM5qhIgCkGBIYkkOHzYxKN0Ctc2BtR5MKhWEyv5jjDDsdsgrVSIq0e8Q1YRnqZXVVykbF
hI2xEhZJYBQlkSgitHKnqPG3yqCSgj7fC2JZHG5DOpAqElXAXoSewWKF2qnO9aWUofbgb/BupiGE
BKSJVpOJrqvbpma4Pd/giXgVGq0sFOS4EzHiiyynhAPHhMtB7amhLfcoQ5vOCk8Hw0GyR5kdLw4H
CAYh7rKyqweatemUrprR0qvSFIVR3wrcvEmt91DOkvvIbzoEK7v0Qir2RKjGNBNAcGQehI7Aol/Y
9oO+lbBVzYpKW6MyZ25UGWxFjOLIO9FyGEOtrW0sn/XqykjHYVM3WDAiMh88AnQ1rylNXwLBHYvB
US9jpBglIj2uv4utJpNyBf1hFeEezH1K+JO29TMpw/hbaJTzZ5FQEN44pGj8dVJCQln3Rdc9kbjK
io3v2zgopJRSUI9At/JNqlvtA8h7o6/sZlZkb5zBEisUIH5eGPDjCJO4krwB8wy/NqAKhytgqAC5
ybUsIZjS4zbSNylFpskY92o1JWvgvjq0xnDcKLU53FWO1RqrXi61DySRzc35Zzneq8W+CZ7sd4RA
ge7wUUokeYnBEaNsgvI7JF/l2um0n8NYtRfyisebCw0JyQuSp9TWbPH534IRKbSiDNtQGqoH31OU
JKbqS93i/OucagWEE7MUZR5RAz9spVH9OKxaLkNJEzIp+txejwX6z+dbOe40XIYoFsA7ZO5xkh+2
ovYFmhCmknhRWNSeAExuUMIMrhrV+Djf0vH7UB8wNTYHYVtOVHTYUsW9WUjPYw2b5Pm1oxvk9HFC
WJ9v5cQOBKBaJ48ooiDC2sXO32JHpSmVDx93SJzbqByHzwCgyKpukG0amJpvQdrGLpxcXJO7ufdS
petXqK9WXpDXVDxR17lOgwhd+KSzLpzxx70NqEshkkXDBMWXZRGIuoLi+2kK+VSvPvwkVRHAbLTH
2E7a9wv9cLww0cAQ6ncU+sAuLxemhvoPW0giuUgTtiy/WUncWFGbK8Cf8XqIR9zpJc40DzSsuvLN
sHnugOm8Ejqrf6yyQKUP8jmgEwWdPHBjh0Mf51wMBwpFHHcRPnfyPO5NNUgu3XaPazNEhw7XcKD9
wk95MZcDqZvAGyHEmKt18uIQBLiRTX0G6WVALLock6FAMj9p++5D43a5Qgaj/3G+349HGGQ05Bsq
YdS1Ufg5fFVozPAdObLgO5jRJpy4LJLc6NDory716oljjHfkRsRJBu2CRg/bwsGPPTfDw9AOC+yA
jCIV2foobZXrvjByxHpDw/iVFrMVuSKIuZ0mjmfPl3XAUzrOtPh1yT3lkLmxY+tC2Hfq6egGETX/
RuovBz2fNH9Qmiwj69IRfvUoMm5VuL/PLWjLZ2Td66tY7uXICzTYS3YaBVt0uh/t3IZCMnGR2Aca
ogUXHut4FwIDDMaeAgMhESvjsM8wnkhDqU0y7Fe6FGybnu1N5Lj/9CgCYw2sGSQ7f4oJcdiKMsat
THkr96hLST/KNCquKaXPlPsN+UIS7uiFaEpwIsUmTsp8+ULoX+llbgNIcQYs+fpYC7bc2v84g0tx
AhysKWQkMBRdSj3lvoRV4YCYOwyFcgfiCu3u2rZW5xePWBwH8SrxulB2YdKwgo8S31FqzaOP9q2X
2vn4UiWR9qKhSfZqaY28BwdtuoEp17sReXY0Lufiz0dN10xweOwdv2+bh6MW+b1T5CZ3LMAqItnq
5NvS7jCIKTByOv+mR5ciwCDcZBk2YY1J5HTYFBmDLJQadDhUtUC4KnNzVcGi6iokUtbaS4qoAJOO
e5bLF8RE/iNEWoKB7IFN3q7wBOFujm/E0CG655FNk4Gg5OrgeEYy4iExZlpwb3YZJnYT6O7vaU2G
zLULTf+IAkCB29AIhu9zq03X1JC7bYUcqupliqmCnc9yjpigNCbI/9S/ZyA6ztyyGaeAOudA6R6B
PpgtDJJKNp6wlOh0F/IBQC3yorhvhcpUP4e+2hqeHgyITvjtgNKdVQ9TdqVbKjjNnA3Pg42NGpsc
SBgxt0OvwGNu9SRahWah3jWS48dogfTNdYdeEhL4eWh/ZuHU78xyTCXMjuIZMXxwpZCle7O+E7pO
MaqGA4aLTt1poUclX/oeW9Fw7YQ44kCEjzTmQxBgmd0NlvReoJL4Fli+ShG7nr52VqN9BHEhvZdy
ZORI+hhh4XZqYjnsu510h0OuhL+6PpQoBhKRVDe9ULtZlX2LwifxDJJ8iTwj4wPWJZb2sxxG21FH
gGebBWY4u5VaogFpFyVkfzzk5JXUqM57ht8ALwhZ7GuJ6a3uyp2MmZU0weK6b0OdTUFBJxEwXjZi
i9Slk2muO6PCayqNZ3ScUa5lmEac0uMN1dTyW58VmYroeTMj09XG43ObVqq+shAVeMGHIctXndNi
WAL6trbcAix6tYL0QsnBUCbEixpo26U7TGX3OmNv+IwaOtXluKzafJMySwKAgOVYrB08FIuruUS6
CJXePKMe0KEvi0cByfVVj/J27zLLTGOFrjLVqbo2cbka8xJhOS6P6rgyBV1tlVhz+hHPzcgiQtde
dYPRVr5pCpATN3AMXIaAUHWvnZPNMtqCPVEdqd/ExshsKD6AR3TjkyN31WuiGzqYPmBQzBBufTck
6GXFa5UGVHVEwBKCiNL6B7lFctHLQ6sWZHkbIY5sCktheZ4gIsF6Ct3AH6wXFD7iwtNCx74r57q/
0ehNvs4KhKmc1uvzeobjiCduNQ9AyVNhUsBEtATWLsHQrCiw1iAvy5Z3fuM53mI5mBRFROEidbc8
mXRAAHOXEuwqFYQYjzpuuHGACd5UUaR/mUdjehnSEqES3AbdjMzKhQj4GJYodJcEvYxskCKuN4c7
X4PUk1P2pOsyFC2gszn5inWb7StzsMFhzOZKTeJ+i9iv5mk2rmGQl0ne2ECzFCAqLnF8tGaL6h/P
d8yJc5QUqAb/8d964YvAACDTTJVeR3ZdLu37Ik/Hp6aRnQvdfxwV8frcAUgbCWIJwMzD1ycRo2Zy
GGeeNFD6GOaNrzuYIsvPRmBsrNx4BUt0E9szqpCYvk46sIwqkO/rrL+QuzoKVMFWQx0HCg7yXCFo
PnwQRS3tdlBhMfna5P9wMIVY5cXcXFcm/kZ/2rUsBeoLuAoQoJMXOmxq0KshJf4UzgWltS211P9V
NtYfWxdQ3hPFJXKoEFSYXYet6M5kWA0VJZwz22Qz6IH+HEVNcOHuf6LbgNYIDTeLFBfVxEUr5sgd
tyQ/U/t9gldHPW+wNxOqp9aFG9zxhASkJSp3IHlO4GFqjQq5hTG3Z9gsiiSypo1fAsk9PzbHsBtG
BFtMioOoCwq4/eELdUYTNnGEf7uDBgluSTl5G2+Wk9led37ul25RjV2FMAu+BK4UT8NbpZlD4Y3G
EAuh+arbd1qX9hcWyom3Z5WABySjwz61rKA0YZXqdT8gMVLn5hpSor1OFJR/Lrz9cVzEqUNURHaU
JOnRpFEpHkZqIcyfhghLgzFMntCVgWrfltWGQq5xR7LQ+aKMGjbcuQFFTpXaEO+J0niwlDR+oW9w
TyNf7zxrqWO6JNqHP+8KFOapCzpCj4Rw/3CE/HmM6zihmOQEWJ3IcksU7sCWOd8VJzqcb/+duiUu
5ZJ02EqiVg3mnGRurVTBUs7phjs5TZUL0+3E8gFihKsS/4nk62KRGl1i9kOslMLwpkYdB6ydkUXV
LvX1/NLYHmVABEdfDC7ACYCORz4AflFwnlfcJqxefghxjnmNZ2d66SIj3Kl4uj90nZJ8CfwgwsJC
Nd/0PjGeq57b8vmu/X3VPbzX8CRkvcAFCPeW5QiGJarffgQez0RbLLqa/Fn+GiZd+4O7SATqC858
4w7VkNvXqIJpr8pQxeFVb0ZT6mV2qz/5VGpelKTAADBPOtlN1aLbT601husUtc6fCLKCKVVJ8l6n
zlQ2m3ke5I+kHbBFJW4lqx6XWfbL9odaXRVBQUIx0mfz5fx7Hg8uhRbAjVQaFEHjXkyhNjbHUgFs
6CE1G6842nV0i2P1qwJj5EJTx/cneOlooXJ5Ar2EAsnhbDVIIUNpaWlK0yL1qpbV2XbLuNDvbI3C
2c7iL7Dhg1Fd8hQ50TJMEwqrZHnIHywBwGZdTcgDYS40qkP7mseIX2Ou0Ww0q9Le1TAZN7pfJa/n
e/Z4myJ9hqMD48h+Jf8uHf4t44wcdsMMQhDVnhuAo/5gGG8oehm3jR/NhBLJJTLysUyekJpF/5ME
BlVPhvWwgxPuPHKqw6RIEqV6yuwZk2QFnqe2qQK70/ZToAU1Pm2a9BiqDpRBOynTJ8vJOyzJ2jR8
iAaf205RSqh6KeBInxJkvVcaZqINYAOUZPdUfqqfRZPXjyGnC2VAI4y+4djkIPuJG9dDA/0Zn8ec
QhJ2WFLnap0Up+syKJLkZvQTU3Kxg6zgbnVlDSXMljJlZeqAaVZcw/RfkjU1+S7GD1p3iXbRkK1q
jEqjOZm+1lJthQLa6He7MSBMcHMu692f7nZgKlj2InEi3KGWwV5tYEqKgSHeZHPT3JDo76ArYKCs
w1RYnZ8hR4gDUha2QKsyaOgPOGJ7/9sMCaBa2XLUd+S0rfQ2USGGCY2ueoc3SbXjxh1AobDUO79I
UAc83/bR0UHb7OZED+T7qFsv5gp8LymAUYl8CoywKxAIcPBUR/v3zeG/Dwywmn/9Dz//LDCuiYKw
Xfz4r9voJ66gxa/2f8Sv/b9/dvhL/7ovP/Ontv78bG+/l8t/efCLfP9/2l99b78f/EDSIGqnL91n
PT1+Nl3a/m4k+CzEv/z//fC/Pn9/y/NUfv7zL8xl8lZ8W4BLz1//+Wj/8c+/xB3pv//+9f/57O57
xq/9n65p6+j78hc+vzctv2r9A8ozTC9o/zBqBMJ9+BQfOP8gvekA+zIE0hw9CnbInHxA+M+/dOcf
IjuJTAUqaoRXIuRriu73R+Y/NNa8wI5TwwUaqv31f5/r4d8H2r9HhG74z8//lXfZQxHlbfPPv8Aw
L6YGO5Vw0YIAatAefy2mJYImbWgTwHiy0/tXDVo3aNpg8Gl99YPQEpvmlVM3W1nbaqVM/KW3gNDe
rSim2qqmJsWZPHx2jAlFHmGy8DLExVpiT5/wnRjC54kNFzS6sUX0w8O0LQCuTUnDSZC4S9VxE0XP
zaTpK0VvIYP16xq+sFlgJqBglmsH/b5zbFdNvrYNMnqa86Ouu6sJpbycaMHVR/RF9CbiwERnhIkd
3qudsx/NHoVDVb3Nc9Vrk/GxUdHn198kYXlPGosa8h7jvRiRlvleEI48LY7eVLz6vAEVmcmS1lJ9
O0g4tszSirzBlZxO30Zg7m5cJ9tKKTeVhPQ1EGO98b/2k7RTkzZ0x7hbR4a/qoP3Im+QUbxSyvcW
WYoysvG/XOvoxXTaty7/KEvsW8c3XFPV1ZSo2g4696pvkN1sYGrXnfxSpdk2b4aXLtF/ksgjgHWS
l2K+UicKJU7ibChI3eBtDWgix+5LG6+dRNpZfc5Z52w6PQmuyAbOnhOHO3141Eb/asB2/ZUz0Gvs
Z8u5t6qa9zQw7YDLNRbj/xJ3XruRa9mW/SIW6M0rTXijCCnlXggpM0W36d0m/6i/o3+sR9xb6Hur
gAa6nxqop1N5jjIUNHvNNeeY1y5PDVw05bgtqpSaTycFi2JvQHrvFMNBSSxPqvxMp9y7CfaUr3SC
tS+ako1nyKmvw0DRajd8JnzQXlXftaHxhdp+4Jk4DAXlt91znvZB2WMkXZNZAOEcQEIkJtDyrt6J
Wo8c73t1lXPRr8dBSGi7solo4wUBabp0kxlM4akPKzV77cY+aOeyXP1c7SIaoJ+6JX6dzbz9Xttx
/us2b/EIg1suXxQE0Z3hPo25eOr0ORDtDcOBr9DBq4g49AycXxi/6qAErZH7TrmedIiJfWe+IND0
r3Ksfi2C058sK+aPesk3bU4766DC5RxrbSsN6kkNI3QqGt+rX1heiE2ds1XcdLs52rEyBSUNTANZ
yDT3LrGm+rgbwn7MdmVu3QjOvxLAuomFvVdxMAX9LYUAZmpv55qsLMEQOzk39j6288AoYaemJhUT
NQ3xo99ROu5ycVvOnxyTXV0fC6e89iXiptGErnVEP9ss03TU7Qf0rX+hhOw5E79XGsiX/JfeHPmj
Z9uAhKtPZmhPn2v57fU328wPdIGHst6OyGuphsReHIkl+BImgB9rlHcrw7cWO5RMt5yv0lus888N
8vsYjYOu7/iS0VmV/lGM8atd1Kduzd+WxL2oq7lZdeFrdmAsngY4l5eRc2ChIE5ehpLqNQARkhtI
K4M+dieedA4e2q7saxtIN5w0nSyxr08gSRtD7pRe+ZGZkx0tN3/Siu5stOPPnGWfZUdAZl3y9zpZ
nW2aqlE7GRdPzwcKJ8HYVrm1/NYwYb+vcF5v7E6qrYAVG6o8N8hoay+pOU2HVbr9tVy9cdMBG/Xh
AXNrsZwGSO8+Kqe7J723nuksvRfufC68bpuLvPop1sV6Fc5Ml/OIPNbq8QsZCf68Anw1aLL+XjDV
MNsfErXfTalyBsMRkjL2O6f/XAGjBkNpN76lf2uiY/wajt2iPFOqkwdO/mGWVJIm1RBJl3BdJTjC
KO6iMbC5bE1hhAZtEiXtV0wxTELjcFBP+rUyfuaWEmjGgPfRPNbwakUzTm+uMSTRZCfpnzmeqQuy
NEpm1m7xlp0s6NKO3T5gXV1xYFnVz3ksnBNxlJjaZLeOWF7TAEA57ravuExb12HT0FtK2LfXIu+X
EHVQ5UQ8JJlvtO+l7r6kWqduc48iV4XS2d9T6xqBB1obAlBL66jlRC3BQqd9zx0KROP4vSsPSue5
9zb70/Ti0YXj0CaUw/K+6flu4uZoYEbYoeJcM/VgDok/etvB+I1hYki4NWjwMtrjIuo9vqJPskL0
9bjxTiTGoQB5UXAZNlCWV+MrS3lwJ8SrsiWgL4COGxHGixrU0jwLyvpkDOjL0dItFEJ0mUB3lA+V
DnunJTEBvbDYWnTa4ZGuHVak812LXUTE7qS766kp83tq2c+g75MsUEUtjk3pXnAqffZSwrge5cnl
400UCE/dc6afiFSNNnHb9KCra7i6N9dMPkqM6lQTB3HmhiOHVvO55fna6mqQUv5g5j36LDjyodgm
tQxmz7t69mM1se87iijf46H9VOCep+1hMqBhi5ZDOvZCzQHXLEIEsxAw5KWF7+vUytmS4iNzsAO0
v0rRYTteFp+n4JE9P+vrhF7LSgWF6MYIBY0tNlQmOBe7SdLAhG2TTh3KFO1Zfj9PJ8agm87P3ptr
89ikJFgjJUKqc6mSeeukXsCR8yJM168nvuWFiqSl2yStHrpu50IngNGMIX07TtlR5i1BAcT8hoOG
QaGTVU/T3qsYFDKRg242i49aqV/iufqmHPsoOwd3SRmHJaz/kisYIXtTD1CDRnY7KUxlnTb2kEqn
P4PtvQ14Bvl4w8Hkzn9UecKRKDt7s+iacozJz6I1cal42EBVZ+VV8iFthQcegKyo7HPfnMW7lixy
TyE896JOFZarPLrB+DDq9NLKfF973hAMSrZBHolyp3u3jPIFzshNa1dt0w4Nm7DY86eMJu+GvMzW
5FGVEgvQeMMXNVWjq3FsiA7HcjsaeVCPD9FmfB3sae+UJr98pD/cBqv0VZ2TyVpHhasd67q6jvme
BlsihzNOktbht9NS+VgVh8qZdqJgYDPnY1ZtOR3Uo5HteYnpQQH4LRdwCkovtGV2rTuae1Xl72R0
fuM5obdkN61snxujvC3KeNVteVfSOpJGXH4YVFyK0X4u2uFDVX/K0tiO9Y+2GIe5P2rJV8JolxrV
flbHR8X0zmnFthjwO3HbqDRNV7DHz5P7GesHdXrFthk8yqizMpqbg7W8VV4VteqyK/Kdx/KQmrtg
SalM914NxFJ3/iI9Flmd3OgFJXhmMEmshZ3Nd2eGUrVeckG9Xy13s5byuig/88cBD4qz/tYJuvOY
npnewDOD5nHlstNpvvI5bB81Wj+cKcOoMz7ns2tHWfeoSs5/KH0PEY2OiUkFd+1ScU5fep7uNdM5
SrGElV2qF0kzWTaav7sR6VCqZuTm9U4blI1qJDx1G4zDHshOUJwt1jlu4RthAI5v8hvn+m5eR9I4
dDiRqTlg29mLRGAXWeXGsutfbt5Hg9ve4afoHZdBqt/G7MdRWfTiJfNq9dCn+sFYqyecUFm44kL2
WVbynB9f20Tj/DFEcRZrgCdiMNQwbzLv1Zy6fcbR6aKIjK1wH7NQRJQG4KdgkmXij5KpJFZDwDtQ
WflJvovcrd3NoI5+2R8M6zyWkr5pYfzY8fqrnvkIGgAABDbn7uVGvKPdlKEi159QtV1/Km9W033j
9RtCT/Kd2LI+ZrlyF5X3KZchQku46p12HZZi/1gY0qMVW4wOZGrqg1Bn5gAZ9Fb+PK6/KjPxPbCU
et3vjcILU4BKvkN2RBXgkbrudTDXXeYtb1Y6vxaOfgasfuQ9EcwEJ/JaPbaGSplOetbreqeTl/Ep
fTzKvtWDxpxmntnSV2yn3FS6uQFCovMgBure5Ck7GzVqzBHzj734bafhax1f8n7deUoRMuq8sJuF
wlSGPWkrL8cFPtGsHPaQcjEWDr+orOasiyiBL2zd5mZDIj+xwiYfvvqMKWAe1d8cXbsPu+L5X5Dk
uSQljP8pm6pt1ht9MI2aWYVKottw2EiTgnPWWRco7dGJm2yX6Mu2bTRjhwHE2guKwrIhfhb2mjwJ
LKzB1HfNr27teOKmdTk7V2WRxVWuOeXpWqNuzKkqQ0I5GLhUAGLNNtYm/h/bDWk+2zgsNAMefU2U
VsqbdOv4SdEZ9iZsAmId5GaJjf3aGQD9RusFrskFudTjgne5IptauptOmbUAM89E3/O6q10Gv3oa
I9dJlTeYwj2EVif+VGzvKVeVDmIGJ3ZNL65L7qwbHQ/4XhS4Npqi5nFgOhCO60PhxXenM6DZw4pP
M1ZGVVU9dVNcEJj4k+VWJLpBR7BqjKjNCrrsy+qL5pv8KcuT/o9mrf3OFa4I0JZpzeXo1qJ5BrOT
K1u3VvrT4LCytsH+06CYBW02eid74EXWAXt2paocrMl80RWRhuiKqOBMWhZoPkfqX5PeG5u6Gttd
ho81RHr2MIHB6qOZ1thz/tk2WsfDr8kDHGyVT++Fy5e0IRWl+fZ6HdpinzndjQXplZ6FICXLpxXT
Hwcq8Wyuo293Seis+l+jKk7gFq8OKyTrcbPoowMbjtMjzlamvzqzA5j/6ZVzvBJmDLvbYeBri9fK
Dhqr7DdLZ+iBZi0lM1H/2XT6+9xpd6OBkNU7p5qakMGorpIr+1hkP63pfnTquJs954fMT1hUxd9u
snwc9l8kFHZ6+dv1XpNZezW0/rkT5osly/QQL+lvxbG/rK7/rAlCOcp4zygWpelav5YpGTk6ZL6a
hFuB/mBSjxyZJT2LehMalIhk2Z+SIf6IAyUL3ZiawmnCGmD1lg1Mv/DxlPLr5SABne6tU61kUysZ
p/ZFhLnbXIhurH6/3oh2pDtDfDbamPgJRSR+Zg3X2mntyBJChPbYnxVLsS56Lyjdc+uNx6Cw1uq9
5/VhiuJAVcKhzMbvVILvdKq14SFjA5QQdEfmj14G3DdJ8iaq9JkN9yW2+ksDp88SHKaa9c+EL9Dg
xRuklCP4UJLDduB1LW0ObdRCL64aqiLfMpXfKZ7dDBR6oGcsXzOksHHtlZPjJj8ZxxwtyY+inZ4q
dfrjDXYb1mbO0M8eQqzVO2b1jWpTHYt8yqG9isC+vnd5yS9IdaEpNh7ll06CcTBMcu0zy4enLI0R
m20Co7xIdLuNBGVJEatghlWyVfp6EKa37XqLK187VJpxVOfRV8X4y9JLhcCBs42ls5lcLSy0OQTY
R4+oEVgcJX2wxXRsLLsOMpyToBCNhv625snMjgR5Q+sZsxu/m4d9OtocpZwvM6t35MUPY8abcGhY
gCJpyBig7KOrwV88cUo4oi5TrD11XXqxsjkYDOUVXXACqdS0vHFzV/VTjq27pG/GE4mxlKOo3E9i
AdaX5sPwxoloPHmt/tvkXTcoa6jNHP1c1rWAyxLrMi2zJDbbSG2fGkt2mZ3H4UQxUnv2V5YgN2dO
4KjMlj3f8h7+C2rGs9GiyueqsbwPjX6YmwJRCpe7Dx+mCug8/W5tK/Lkn1yaYVEOL2kmL1Nm/AX3
DiywnttLQssFS2mzW34lsT0XCFIlQhMtdRwxxkVdAGAB2904eVvvcqVX721cHflrD0Gu9s/Vwje4
cpNEw8wSUxryOtVDNFXYYAaad/jDV8E3r3hlAAHmnKrZhmbjeqsOLgg4qjRDc3j8zleBfxzTdtZH
qUhfY6uOXGDa/shy5AQBPb1M3BrgIzhk5Ms7jKV91yzmpjL7NrTINx7svr53Y5GdxoXqWierNrOr
6dtykAfCZST8Jfwwq8qLl7ZrurBcJkw/cwqhsClc7qqRK6SUv8u6jyytGZ7ycdmAH8bM55hMIrt5
cGiCnzZaqSYbNU6KNmLD3JANTuwLD/nizdUR9nJmAZ7XHyNN9XAMOb8MdrntLBjIyNJU1sDo+7WU
2fKlUK3zU1TIneOlLZVd1ia/DX3ItkmDW2csCKXTeMIOus0OAkpeodiHSbxaGnN0HQdJMxW+O1rP
o8Oif5C7gk3XdjL2vTR/jAzto1iUqLSym6yrjZGvmymmC8OnYoUAbPOmsLQple4+cxP71EDdexXQ
fBJbP0MKLJEzCs6AKFZPaX5UNEoebTMwgUtpnXhxjd/GgNk+E6TAjbtXTUtYtsbZGec/+kyHiw5b
d+qKY+aU4rGdvePCOre6tlUl0tQy8U+ngUtfPH4vlODdu1I9080roeROJlUtRvYm4g/Awid9uHvl
vbWrXQLsDN+tdkWYsq0EnVNsm1xavuO02udKL1DQ51YVTWoeNq24mDSqZvF3Yzxnq0Px7Iom1xnv
SxN11ruOLoemJwEMuFN+yaQSrLyW8AMooVLFEYDuibPI+o7ocXAcdafB5A8cQzs4Na8/4qqhZJcG
gIsBLrM+FLUc/aqwsfBxQkeo993CvWf0OeSD/blIa+DF7UU2q7hAg0aBstIec+ulT5zQ4mE28I4d
ERMqsLygAA6ujdqToQD1ar5L1CVQOO3pJf4yfE37hLFn8fRAn6dH+a77JmP8G1bs+jP0Akbp2m8U
3PHV8NEr1x5VegHS0NB9y5uHQM+WA7hv9zncUDBS9Et5Sagmcn5Pk1uJJXLQI4KtaCTJz+MGszFq
4iXZKp36Pgiexf1cINcv0L6epeMeesfa26nqK1YWYPeavLeC64dK+dtY1p8F4WyKJWhCb8TeG3gk
z8NzzeMiXl5yOw7r1Qpwhfq5HM7TZG5bXIfd7G0r+Vtq4rP30nCN322EiXHazIv7N2fKURBAC3Ct
MFEDe1G3tjMeCjlsSMVVY1Toz6n8q5dfwn1fsLPE6Z/BLY8eVDZt1AO7+OizX6gaapltG1Ro1VxD
dIVLL6xN3zM2aBQge8qmmASyWtUfy+SnqXmzaOW5iyVOV3Xrjh6fYOn8tDVD1RRwE7wA7xQ2mtwl
HPzm2MDz4UuqDBMHPf1MdWNfiXKvTE9CQ0Uu7HFHHf0ug2LXWvaTVT27xpcYgbgtKYkw/Q6Ql8WC
qWxHHbqr2RVXXMbHmLnNzysj0mwRkpMNqxWVulXGm73O36WZ/Kk13oSyb56EqyPemE9WqZ5Wnnpt
le2Fu7KcKNPqsWh/azTqttq3drpUbELi+VUzsk2T/Ej2CTj5O/2tmq/z8GD4vdaL5JeLAxX/5hNI
SPUwm9VekfdiYh0he3trSzL/hXsws+mkdjWiMOgv4z1bh33WzC9C/xQzaOPJuU+9uc2XyrdlGmrx
MbE+zMzdVc2Us3dxfo1WPft41E9Vn29poTrWwzX2xvpFy1I0J2XXgvnUYJmXvRc68XNGzoeOyQD2
/NbQl01uJdFazFSq6Lz43WConlriB6sS8yK8z+YLaSHf1fXybGdRMnyO+mFB8B32ypgyfw9BQRfb
pB7Y82jdiVnK1I5lc15VfnUIlOmhcPd9RnV9AoB85BUf4Vl2s6iqXsV6FXa5sdRPhdd4fmrqg0yc
Xc4ZIpUv5pSf5ywS6sJLJObaOXjExrMiCd0WzB2XzGM0NJV6l61/YkOGXi5vAthtK99ccwkSvfep
0T6jMdfzQ3peL5rFGDkbG7VKngjuR0IztrmxS83s0rVnq2CLVRcyyE2OSqhrmTuFWGz2TmtdqVHx
4jdeAX4MZVltj1Z1tMTZVl97ZVcPyEUbI9NY/P+V1avRs/iKMp13YOPc25I/qtXnOEMS0cUOFCnm
OcrbSuW10/JoyFh2TGXmt6YeuZRtNcaunhuyISMLnkunc90m29abP4z8hkN5wVqAxOKbeXOqqq2b
jQES8WDwYMl4TOkbiK+hKbVvbXWfU6eiQ7x8AtOos6xgBeJaPmmio4JHKExKuuUAkJwnkXuULztv
yzIbUb2OOwDjnBPnCKv0Xtcw/FrgB6l+x//OtuTSyFhwb6hOlNKr+TKlrs6QMDrM6xyE0j15L81v
Vbfc01jGgCZOjYZoK8ZTvw71Du4gVu34a7brTwMn2TqMbxg227ecUo4DJF+OhVrRnBev+yjk+6qu
va/2/e9aZKeOGIQxFqg9Y5CNTeSm4aC6GxB5BR7th0juLcu2cxSewrbfLNdY5SMvn0rVMgmbwdjW
2S9yGEgcO9MclZ3st1InX7+wtX1Ivi8F80W79lZUklp+EPbK5rS0HPirqPReF+21zS+GHvsc0f1V
aaOa63MxxCbWTyVuaa3/PRvKPqu7ve5+eUN2z1Fh9ewpVge2Ml3krAtnmXbToSQX9T4V+2WM0vhd
n4+V9YzKfelKg/P3sAY63X6+pSJC9e3wDKkoDZTB+PCsORTeB60cp8Y2Qq9hy0b6j/obl0fJozJz
PauL8adKvk3E4xDub+Tpkjqc2Mk29L1c0AsMtKhGBoU5nQgk3XNa9oJqtnal1RfXKu6KD3uN7U2x
6E/cW0OUsyeJ1nTrokh4ygdzNrcTGJK0Hz+KFRxOsW4MYdySMqWq087+xn3r94IyhSlZD5msIqp+
d21vdAhznFJcMFt5zpXcYs3zkUNDmL27iQwri+WCDW+nfFMRfKlW9riKal5E4blHNxuml2k1vygx
61n9yLuGOiS97geMyH7JY8VfimRg7YXi7yFPBt3ATkTKm+fl6tdgKfauX0f3YDOiOCQ1WutrYdUO
3ECTSEVILMlkl3vHW879aLSR5iR2WMWJRBNM25tixfd1ZPoYrfQXzRJGgBLZBGkMaDMpe9rqSs24
ldom9oyU4/V1TsmnLco8U3FvfHkp5NYlTRZGTmleW55Hvjss846cKGv0RM3iNwZDj0vIW4/Aloat
S03OoWxHzYpsPGYbB+k9NMtuB+j3LZF8G+1swmzu3ubZ3Smp9QVXaVPgyPPx6bwm6soIpm/IKPuF
vl5tELFsiDeJyxXYp3vC+KfBUy8OyHGRU0pR65L6G6IDzeilJ1nAKhCrom49rqQnx16OWp1QgCmq
JNlXhSU2auMszaNIVLzpIzySSEcl2fa9qachiAoHJHJJuwnPk4Re0bHRfadPES+LlJ8b5uQ9ZltE
fWMMh0c2M2KLYxxHk8/Us3VAox2KOA7gp1pkvpt626vVnTBMda8x5PneEjvXBrLD1qjyISrsTP/l
9M25mEsjYtSEdujMna81zDZTo8qwrJEq1lQdnltUlwhFX3uahfoARiz2sDPWR7vfKMsV14SeLbd2
atmRg6PWNg1h3h3pU6IUhvZcxM3v0cVNealiImSBSGrjYy6d9gfKk+YnujbjsEVpEkXb/ayZCkEj
Wce/3IMgtGNjvK5150QG1YkRsEKWwY3Snkv+PZwMy8RYtSr8J9jGEAtiQQGj20WuaJbeF6nQnzrb
eZ08JDKziXc55o1NOlbGByt3FtOkZq6jviqRqWo8PapZC9UGrqy1Zt57UqScc8Uwf0JT/ZtWrTns
Knu2ThjGjK8uYemd4Hf421T5TGV3y8leJeaUzsrOiweAVd7aorSBxzmZ3Pq7WTUr+kERnep4x3cx
8GyU1qFqu7/DpDVXy0uZHFlH8r6VTtDwakLrUSaTc92s7lOFc5naz+OFJhjrfarooAi0vvd+1Az8
P9lZZdpClNoge8xwbfJ6CVMmmm2TKui+cdr2jp+wz2IOFov421GO+jwOcXOfKtmzQKGBNJvXzyGu
yo1argJOfp11YY9YxCp2agzexlmV3/oxcXxl5ej28NfyJXtMdxN1FBws9MBrZ/1Dq0b92qqx/jEw
1+yh1pdnfV7brd5ZNDMyP3DCaThR1aR69NDINRIwRWvyVpyJoaoibm3ua60+5bmHPDin7rZpZRaZ
btXxvXUsVOKisbeVei7cRWGTKE33T2NRXMpGW+1Culz1q1pX3rfoFG2br4oTTQ2w7Rgq6EblfHBA
oeYQxbv02k+KfHMmuQR6p9tPVI/3G1vArvHtxrKPXWd4F7cwnHBqBpwwBiOF4SloOkBtW8YJe/oW
c2J120yh7TmPhRp0tP2ohw424mnRE+2uDQk1s43h1FHssc5lAKNUNgMpjOuCrvfEGPozlhBqWet6
SZ5GBOBoNLXpqbABifuDq7CV1px542HXOhNx5Nowigx5CloQcv+wLYzESihHUN/cOF67TVtmcmeW
wv2cCgJOgVqUZLJ4iyl3vcD24zjKHzUuJTLDEv8pOzJSZcXSCe+9FmXYqSokiti7eAmqCUWnYzjk
jsvXkll7TKdPks4O3pqVlkVxU2CTJEjApFg72pspYuMJgcfr8BU1QrvYRTGSN49jOl9Q+4MCE0mk
KG6ucc/q9QltA/07t6YQZBI15LUSgqxzb06TLFsZz/lR7fIpqmcsQ4ljOzsXQ9s9FjK7NcwXre6U
F7zj5PbbOf7Jmg4+Zowd9dzU2RPosmWbgrXVqk7djI7BIjdeUYkbXYdv2iTvM0Vyh3y23uiPba+g
WOWTrg8rj2vdiPhYpMeMON4hIg3Htoi198ejcGN5zFB6U5GLUie+BK6Je1Lo1nbpyC9NMuMqMjt1
b5r18mKPNqqLLLXINTDRgInwbmqnjzeUqkZh9b5ks4+f1bPDlPiE4+eKCftXDOWvlE1C7M6mX4py
PsbFMhzAI7TcEWD8SLW5fymwZEtjucOmbtj6cg+xVGlJPvrYzpc/+ZwuZwS5b6jSfCNus/XWiU3y
QDHKUYD+uTi1x/iU9xzvSUCb+5SM286WOpfwbGwXD+dM77l7x6lR/F2H2me1PUB0Lm9NZY5nlpbm
RmvlcjaWfomUQXCPPZpEwMDYdxlX9ll35/G6TJbcQVYpXt06R3FqPBBj2BTkeDHYkrR+DDCM8w75
Gco4CMk/1NhBT+8LDbLXhe929DmcGBHrJGcnUvma5a64wYYaT5PpxG/0GKgobsW7hroQlEpPiboE
bd3RYuxN5rzRpq4BaTCsvzxrfPd01Y0asqgI8YsYX12C0oQX28SWfmsPyEmrMzS7rpVWYMlCP+c5
jJokqdUNxx/2SIKthGuyqFxZkF4Jl2PLKlGB2CQfZTEbl761u6Ar1k+EHvSZepbfMQ7nwBQS78Vs
Uypik++VTbdSeMImnYlhifWoAR7KFI7LuezKGlsGldWRM4Ms4MBAT1XLQaQq+mazjNO+RM0T/kCE
B/HlE3yCZvLAtjENESmFzVZ7xZdW8dXFOsYCo4SSSWPVw3/RyrnB5oXnZGjL+G+VEPBYkP1avDUh
Dm6cPLkIVdoAAlWd1QMXaLHz9Nn5LgsPcyZLySsmDoMf1DlbyN02Wx5NVy6qnvK562IXD2OHApNI
e69SitEi6yaMzssQX7namMuzvhV4neLsPmBs5IjpTnWUg4PYDZw/fH6s+yZE1+9anHW0L2YTX0tC
bm0K+15PKUB0SnnVyUwgGeFiuwCGR1ufK7nPAaVg+aTRIzCdPn8DTSzwfLWZTrdBIulKarOrKVY7
qO2JkaxIZY9q4ckD/lc2Oin/PVrAqRrQTq7btE+FSSCul3QK+GAV1OsilPbPMtTrTwEM7OCtKmQb
J1HYFBjTYwMrk08cGNZV4Um+gXMoDvo0ZTXmGCu9KUtVRaSfh+M8IpPP6aDtVjn1H0OyJiEhVU7T
NMDdvbHNzmhYdVTO2O7TVH4I5gfuxJrKMX/A5PECq3v9EUVenr04nja1WL3S12nLY9hz1GCEqxqu
teyiBQjT3dMt3LEiXdaQnC4+1nJ2u6tMvJ3MASA0vJKoBq20A6wkys1mWZ3bvqmoGVvoGqqx83SZ
c4/ZT4IbM+AQuUVrBxZj63FUxjpUpB11Srp+trFsXvrBw56V16xcHTm8qj0XlS8ztUOgG5wjaD8M
ivPNsJN3FHjMCOrSXUSbG9uh0serVGP20xmR6V+dPTa72hbzdsLeHyn12N8M5fFikJPgLeSUPEmH
dcXLRh89i7PFvZAhTkPuGeWUGpr53SX8MlMAcbw/k5Y1OwiyyGU15MfJOt/gjfV8d7ZKgfIDfxZI
EioRlazaGw+T75Gt4p61MDw0pIVoBl2yqTKZn+Ml5x6Jk5x7YbbW+cv2Fu/mJmfiS9SHHz3rKQZR
f7CTpPtTQr2PWyj01IajZxN1HTgCdPG6cbTH23xVjm2CTmmOFQuXozXhOuwGH489ltryaFbZEA6d
96CrEgHjpndJXLAHovOAA4r1m52E+cGbI97iVRQZyxLH+u21Svw6llW6EwgZbM9Z0UtfdKrCwT63
Q6eBXBIKUdW+Shwi0N10W2rdLimyVxX5byRhoiVPrnFwzG7XxcjrTUfaT9TduqdmA40m6cJGNY/F
Sln5aCW+Uqyn2B1f4Wl1oZHy03SUfGv5+x+m93/a7//FXf6/ff3/bv9/qUv+9++O/n9JAvzfJQS2
f+uHub7/9//U42/z33/6P/92/z/DATqxtv9zOMD/n/8DFtHvf0kHPP6N/0wH2P/AyQ/OwobuSeQa
n/9/hgP0fzyIT2AuVPhIjzIAQk7/DAdY2j/glkCKJZoN0gsU2X+FA7x/ENmDd0cWCUAZwdT/l3DA
v+Wo/iN7QDONRwURpZcQz/41sKKauRRtaVt+YfE2x0fHNPq/2Duz5biVM1u/Sr8AdmBKJHBbM6uK
xZkUdYMgRQrzlIn56fuDtt29Jbut9rk7J0447Iu9JbNYABKZ61/rW91Ll7unsFftzp71/i9fzD9L
I/A11H9J4f35E4ng4ecm4UCg/+efmJB7WzpjBC9E+8m1MtyYCMtG+sic9YFy4ju/7mreDM5L0Ilv
pqPuqZd4nwqYW0u/rOrEZ8wmOWtxXTT6S+VMHNXxtW5d7f+m/4rL88uHJbhIcgi7r0dHionD8OcP
24Ez8FB7ybtHAypfkY9sspsMIwnmgxXXtGTbGaeH1m/tR8XR8y5Lsr2K1cAxaH6aAJmscoBWq96B
hYWzigVvZDZE0lhfcid+FQmGWyxR01o7JNcYTdyRjmDiNOPu7jBvzf5NlPjttsmcnR5GF/+WdLZ9
F/VPJVrNBoQJh5swOdhmwOLMpPB9tNvLyBaNg8/iYzUsFgQLOISNKBdpVH+bNWvdKafZzwGzbGWP
0RkohtzAIGMnIauvxex3m37OEZ90bOVom9rfxKzMd03bG0tY09tBEk92QYk63C2n52aW7jrvzG1g
tBeJKWjpicGeV6aT8xlmRvapsR/susgYN63NIER0Bq7+pSlMJg/aV9hKi/Ilbt3gCm7Zl9mtHwQW
84qXNpggbBUZW+89/qhsL5t5PoMFD67SIXy2xqjHos4624x8QWbACuj6NsMXldQ7E1objjXjGPTN
UzQV5v3c15Q4z325tYyeKAJVEO8g/dJ9ODl7rl9waKqqu4nMJl5zMhXXCbv0Ik4/hoRy2DwIk7Mo
zc7alChqe1qvKqgrcbZnurXHDUBtLEEvcSUCFKIVIBT35E+5xLE6xw+Nje2c4nVFhwNSOwcPkIwh
NnAELJ5A9ynJCsYrWbAUgbxhPC82VmXN6wlhcT3bZbG1cucWzURtu3YuN6VG305iVV2Eweiozyrk
33o5EmUMLuO8w3sy9SRj/PA7Yd/oA33uTU/Qqvo+LyBPwA4+1F5R3c2kEDZFZI1rDFacH32r2jQ4
pyh3ctON6uNoR3L7Wynn5M32jechzp0bh7HWeY4tvbdrwznFmDwltTFfGk+bD9mE2BmbcuHRiFBv
aidyr0G7GFtwzxwDBBjKdSlr5llhfQnwQn5tRt6rHL3jVelHi1FOZlcGNRoosRbZGoWDQ9XeTZxa
zmObyJQvRxRXhcL8VDdUM4QhjlrKCcW7JJyB83wSa7Mb1c4d49tK5JjYwSYzKAgCZLM0emrM8R47
ZcoDGuU71U6EVMJDEuPEqj01bJTVatgqdb7FSnJQqhi3Pkeje0KZ2UV0tdjbpVtdDBr5XidbDq/d
HLp3+bT4tlTMEGXq43BvY6RccQjVpe5OymP0WIhpuEZgdTtmUj7WGRnu244g18oxuvecbaxn4WKs
c5IvbVxxmpiugXE8Ubr94TraPQflIPcAeLutgFnDRgavyh2AV3AdRr1zlO/uzYXlMQyyaVbwN/VW
J26yybqx+ehHNO1Iud5rGOrnYmqTwxSXOM6TOmATW2MHiwbyPm7Zvc12UV8sKjwPUnkvqWOnT5zZ
9J12uvBSaSu6ZglKiB5oa5tFfrnVkPduyjagCK5Cqid35n+djJJpIPfqXd3UzAiSMr+106xfSMLN
OvTEhEZLfLZPSmtth/UbMp+mq7JqvyOmUZs5yehGUBjGyF4CTrLb6gtdc1+nYuS77Nr7djKtfayF
eypEL8l+mDdtNDwatvsyCvNZMHH2OKvX0TWQ0/iQuYhPxFl7C9OWOUIXBbFCtkRvchbIT2sssf3y
AB9IUuMvYb+GSlDWBUAbSG3WFZoqd2LfJSfJ2GjaSMwVB0fWPNe66F1OAo1zoD4CaSA1kDSaMEsE
596mvqkbAZ7GGRuarpq6e5WtspJdHnYu1sKltx3wcGs+VoB7+GZV+d2tu+Iwt6gjJlmc9CzpB2tl
iMMtyT/sdrI3SeNXJ7ceqsMYuBnalwzlu7CiaucYSbjpgyC2V2OOeFS0jjqinoEPz712E1aRuPad
tL4LVZ5xPKP3Ohpd4yri3Oysos7+NidJQ2+s34WPWnYWE664tzbVVA+XsBnjYzvr8i5KO4tZgLqy
/CDNMJHXzsoUatoZZjVvOnpCd5HncNYshBQbgPvGtoWxdVupkN2vLvJjlw4bHGcCTy8ODCfATtzH
NkUKRKe+N5Xb3ypElWBnQcubeWp2ZmdwirdTxhi2y4AFd1/HmIdYV3Duwvj7gCL2XCkdbA3e8W9t
L6uT3bkcwRv01JMdx7QA1J0HaT9PEegqi1zEXPTFTZ2G7rsxYbgNnWE+jG7/YDdleIwnmMkR0Pht
jQS0rYPuMy6i/KLHotp6crCWicaRYE+2TVFYbjUDlJ0WxYvibI70QNqWt0EVH6huNddRztCkHP30
OjdJBU9l77FMTJRiijww7yrDZnQwGljLMt/HglI3yzU0xldRIZQLc153ebALiuYm1nNyyQaMcX0W
nn3eQGQiB4Iao0AYz3tekl2aZptc5cMDxzb4522CYczvZ30Jg+y+LVzSXcoOz0ZLZ63DvmPBQZU3
ApzBYeqYwPUZUJK0HbA3tIYZMw+W0Clyx7rKXCv83kmSLYTmq5OhMWVabq2YH6XfE+07V0RBq1ND
49FzorlJWbKNcYjJxk2NOppp3Y/3nE/x5vuRidoGVfQwtSOVuqEDRiYvNYLYTFslztjx2m0QaG3v
O+K7i0GvAsKdF+PtJHS5eHu0ZPYaXavYwsyV28FGezi/jCIluPpDFa0FCT3S9pdBQT7NO6P+Midj
eGhm7N7aHcJTPIbqHPVj+hLBj95pApDrjNffSfUjnC+QHOPOb1R6xLFQkzpJwtOQefrTGBfFFUJ6
tbWLargeosnbgyBT9y7Ov5YqxE1ZRg+DtsqrHoVuPbumTc3h4kUkK4jwLsyNg7h88Fl+4JyBWpJp
lZ4qailuSCV4a7913DN4fn0saY3dz0LeMtdhzgPCOnX97FO4TbgTBnqijEtG5jhCOmJwq6jFelqq
iQfQmqpN5wzTeuib8tCniXWxxhzbj0jOscsosVTycWDkSvSI0bfb2x9lNVRHjfHQE4XzXCMk3EX9
vEiCFdqk+lBRixUIS3LYD9mKnmm273F6JxmnbJO67+6YSWlebLPvX3iTUiAJlO2inahidWyaUysX
L+QQncsg9T5Dh1mZHpX9nCRR8OIvZRkinYI1gVLsfnVaerexXQ63A6mPZNVH+FBmmHtEMoYOoS5J
65MIUBaqJP0iVcjm0Sbf5SBFIRvn6gIijQ2hkaes3dVtaBWPribCaFulyZAhFXunE0ebsqcHph7X
TQ7JVNhqC5oqPzs4NlONEEZ8KL9KYdbuKgWmLzD7HRUYeJdwiRUyCbZC8ibr4/R7rboZbdb5yDrv
rQjbx6mq72bOYtf4bb4xLX8jDBE/VkGMeTuymbEUjzWbbBzE8ZfcHVuIDyWRhMDKNuhzyTowcnaT
BTffoHW0y5p+uEqTsFnjfgTLl4vukIQtjrtpKjZVamdr2Yz1zVzMDzDi/B2B/xR2/0gwJmKul7i3
XMlFClXXdW7W9yj1mGYL3qBuV9crtwo/DC9JVrUmxrXYKSYfX2k2xfgt6V5aN7zA8Mrhoka4x+Rb
6vrRc7P4nJGL3QuMMRF+DRE1/RWWieI6F1iporrSq7mDf+4QqGMz6tu3ZpK7K0Rfdze0PYb7uT1E
yxQmrQd/hwon7oex/sCMhzF9ajXHJkl8J6U3ThCyoh4Kl2VrXqzAHVYl01LUQflV1oY+jCoZb9wi
Ye6Qt7sIsNepJKmBRdRQ8XliEFMOLgcurcQ6yw1SadLCu8MaWXlw94hanmvlFLdxkhcrq8UCkaZ5
e0Sd7DCMZXn10mrDXJfJfM7G0cdsXb3MefluNvOwcRoOOCsH5XRFEqt/j7Jl78tk5MFuQe+ssHpx
o1KWjIlK+QBluspdV6hxmylvF5eg62BQFFF36JrgEGAQmcq6ItRidkzNinSoufU4Ys5h+z3KTLG1
cFag9VZesp5bpvF2b0wbpc3XRn8fohF3c+Fj8a2T8XUY+uBmBB3yDf1oRuiqmBOyQ1oFmniyhXBL
p2NV7AF53OvCa9fIkHcqC96Z7jzkbRwd3WqRhWeOke0kHxIs0webqdaXsfSSfcORfCy8pzbwK6Q6
4rp5M13MZaWTAamXOCXWFgSy2xaF6xdruBbIzmz1q3NQWFf+VNMLZktmG3b1obu5eMiiJT9fCnPv
RtkNephHs2YwY0wSZIOKLlyphE/WdMGRz/TqTc/5FKEbWtUNh3X7XslxGe6XM+zB6V5UWDWA7urX
ys44JfuRx7gqI/jZMuZ30+WoOcIEbAMm9GrmvMTn63fmsHxNPg9sjdGF4vl2qYbiF9iqKD3WRVbs
uIG2Xpxm+2BkC2yO58HO053mHL6WIX0LWXZNbyqvrADnBdVTT5XMD27UctFDbz4nMyfX2Qwwe7Mu
znR5Pjjggp7ZczN9cbzpiqB6+I1OXrX2MGYdHVNs5jrTLyrrjjLDiQbvfVrLoHI2FefzjSGG+ph6
iP1r16nNJ80wbs/01Lie0TeumIrrHbBqsco5y37OzlR/mx2V7lRKavD/a4j/G8DIovz9Cw0Rxk7y
9h/Tfxw+1fwZVRx1ftYT+dt/o40Ef6AMWs5CBgIgAlD274qiJf6Q8JigAztgSGgw4e/8HTci/rCl
ELbp2K5kpLJUyP4dN4IQ6cGeI82LKmdbvv/vKIpYdn4WzWz46eIHlW+BGtqeWCA5f4HgAFMgMtTD
cFz0Lvo3RvpMwCHkVCmZM0s8mhFzF3Z42WoWkSQsoubOIzoWLQmLEdzsLkX2xDQIcO4tagfrScey
T8lozyUhzUKpdDvOgyS+1HPMIR7fjuyb7bzxr4gng2eze+SgDXEkfC2jh9xyEeZYQoLQk/kd/wnU
x7b3aHns+jzHR5sZ+bPBHpKthmdH87oUiw8MKCQKvN2ypiZ4AJ8Dw01eVBRnZxV0AeP03BcPwxCD
QAoFO+RVNY/QHIjb478XcuAf4J05WAmgTRy8ATM94uLqug0gOe0LW6uT32PNg3eRe9tIduqUuHnw
YBYBcIkpJGuECsBhsfT7y9CFuN2x9VEoDCS2IMjeQyz2OqwebWbaWz59Bs8lUqe8YFjFUHXSFApk
g6BtbJ4g51U0OtZEU9Lmnqhd+5365gLKvsv3vmkySnw2QZEEycYZcmo3ml4HzmF2tRmeM5Ul/XqC
frW1GpPNZOipGG2xDpKvA53E/YqURXDjxJnAqtgOAvcmhbvXRqq9r4Yq/GHVwc74VmWm/Ga49TyR
vsvY+olgJHvPhOsQ0YwKddkvEAT6PIyfJN4rtRpkOWIGMbPsUvhFe9G2NqEr+D0QFxmH3GWx3w50
nOBtOHtZzUxWdRST0zVlP9vKMK+ytK4XwyWAhcKTQhHZmruWytkFkmUVbvKE25RXHs9F/ZTKInov
ye7guAor6dMOW8wvha94ARRRXRh087o/frRpsnoTbMMJZZriliI9uFdVLT0btZTh2w5/iR2ePK+D
g8HpAmOVH3rWibEeVqdaJQgCtKnHiBtocA84CPlojezsFcSM9Cpnt55e1VODGpQWw0V6c/aejCbS
rucxpC76yDrPSJfks4UXPrSBihbuoSa3lIcppwrV5BQIW0lSfBkYBJVbozCWnLRX7qOwmm8nyUXk
xDHIrzpaLNjzqIHJUKo5WevZ1/GDEdjOvOqSyf+WpL3x4qPzO1gHe7jMxTDdldIO+4OYFLsJw+uF
se44WJ5q7ELWtTP0/ogYFRLqqEgiBZsx8qxn0TCBW2W9bh/tIS56oA2z8tfC6CugODaT3nXj4KDE
o0Z06RIMI/C8iT3dB5k3cp1BYMy3WRaUL8mY29+CsFCf6OCNxRy74GubMlS2YfiCP3j4kpt2du8M
5LL2PSY9QsIEf4Z91WfEvmywDfdhbzmkAaSloZOJEePQaE2YwJ3cV/TklGaLyODnw12QmOw7yQY5
a7mgkJ0liaPb+VusJeG8zkwUKTwL6yEB0Tl6DEbBgaM1XffY6jqHbgBY5IOkl/tqtT2F8rTE4N7m
IEiDtupVtKUjqXLWQxzF+RbWEWqhxhBPc9rgLJzTEuBFzwS42QcWgeo84bBmsoRxVbAarMY+hExk
4JiRq3xie7xVY9tMZ55WdluBrMfPGdjt3YxhJcfBa7SQNOLSI/OGPsrOdDlYw+QevvGWoOZOIE5R
6wfe7mQE2ALXPAIyWdse5P6twRH1RVecwpjYJ+ay91tI4/UwJtjI2HgIHLUORg5jTA25xrvZFpci
UiWxTz/laxyG7i4MkBzXSlTi3paN+anHbDFrzLOVbuh4WtIt7WxjnKC2dCFQ4wA6Sh/fwFrWYWqQ
dqWKb1WaM/qaD3RwWgcISKzodNUetBzVsE7QoEAkRJH9TIsMedpY2p57KJ3IfzDyTOGowzIldgYV
HhdurCJYe6pFDmsSSDwbqblIayuKrO/oM3YObqUgZT4DasiPapoN4wmpnD8e87oK1tJoWmsrbdn6
pwV7XW+G2gqMbccr+2sASZm08oB8ucqkbOXO6Az7YnrZfF9V2rA2gUE+HtaIN753ZZm/eJ1bdbTl
hfIUulZOIjPR3bc2Toabnqu3WP4l+B028HhXSwwy1Nr1WDwyOFlhF8e/AeH+iraD6EvBheM5Js0N
TAp/YT26OLFZx/FTBG2qbwsjiq94a0uiRnBl7LQUG6Sm8gSwXv4f7Bf/dwPl/9uQcz6bsP95R3il
8zf9H7tPVX3+FTu3/KU/N4KG94dN3RnPDP1klBTL/9oIGvIPYIcehFeOTEQoFr733zaCnv0HNcM2
Zcs+u0Eal7nQf9sIehb/CjRq4DGfI+QLz/Pf4M79UjdKTSDAYGamNL6yHbWtZfv7130gpsbYwlYB
wUMmzAvSwLpyVfQY0tu77fspvAoUqVG7mzkP1waTFD9NLjg67WOSZuXOYvzi1178EJmZe5iT+MJa
2Z5ZubI7QPq3f/lq/8lc2lnu3/+eS//5afle2FMH8Pps75f7e/BZVCqjdNZjaOnnsMwtZkqV8h9r
p/KGVeXWID/T4Mq2EdqJ13fNPeAbDvXIV9ZVC+Rab9m0FzsIa/7BgX6xmKLbBcnVkboWCUhNRBbj
M6OW5GLi57ykjeQIOaGVoGGn8x39mXQFk6p7qP0wUhyHeTni5CxEszbs8ENHvgegZAw+EcXG+7gR
HRFtz8huLTs0abmUnO5KFeZfg6yofsfP/aUabfmG+K8N+xh2As4Fj/vwr9ezJW3kiqKx1xHcIzbA
+hxnFVkNi/DvIR5MHL51Qpa8wtp3lUQQ1ldaxcN9XUuIzVHJWjrzB5YIVWxtS6+27xJ2xWQ3hSg2
k+s0fy4cuEP+OfnwB3/252vK2J49nSscxoxc258/Mdxa7WuOUFiEI+OhLcP8yqyE/a0FRKZQCkR8
5AUXPiVg3zlqO2F0yDuSk2HVOgxomeJRRqeuZdpFREOjRhqrwTGnZ7Nx2uewqGu8N2E2QBwMdXzf
o5DdjX3XEfGY0Q9GLPNEtCVcVv7amH6d0wxjah7mjD84RTHx5WyjqOdz4o8OVyPVd71Lc4UJgnhN
DhlJTY8jauEAfSs0avKpki3cuBlk/CjLIfzSORZpNy8u7pmG1m+dya+RihkqyRzU3aEcI16XY+Eb
r7HdqcNk+fpD57XBMSuP+fCcpSbm/F5wjfcBcxL7hJuqmBYnXmsld//6EVsWql8eMSF8emtM/rM8
aL8cDI2Gk1toGnA0nCYhERUm5UqmfCXstpaqsEiR6BwYh6+M0vO3pRUtVJHOvU8Hh/mAQRaEufK6
d1V/y/BXYl9zTOuxQQOekdGc5iaCeErbpsN0aVFO0mswzPaANyFUUFWserpmV3+o4wUPruqEi2S6
Yb8e8dmvB6s/T6HO4rXIGRQxJ2rheUzsxpgV5W9laXTPeV/N7S7LsJJXOoqvS/ZwOCSpwXhoPTow
ic5Oau2YKeBK3YPI5ZeaiDe7mNfOsslIfbgk//0QKd6JHXPrmJzRMm0XJ4OwzrXsKkELYm7Xl9kY
zU3bD/GxGoYx5Rjd5nB9clox4oI/sO68xLlNbO/GABa0KRED40MDe6trTEaAc0wMZoIaV4fyxZsQ
9HdeJeIH5Y8q38jEOJlVBAjUEvVNOgKb85p8PLuFk9/bc8DO/TfX/p9cehrHAtQA0/SBvf/8JIKG
yKgKbG2mVtxcCX2j5wyG9aWhhWg/D44HyDDX7xU21N80LPxSdfFj2cJFtVQeOEv9uPmLh4cmRj8s
BoBg2q6rLTaJ8TX1HXkiHnHSfp9fuW3X7AV5Bh48HB8BMTCaVeJrI2jcLWbbYTVwePhNg8FiB/v1
Yfjh71pEHBPy/S8+KGt08TZiFFgTUSD048oeAwl+l3DZIc5LJ4VTcyizaqDKJXtyjDxR/hRVDDSq
mHEK81Rz34FwBmfmmEcjkR6JtxAnj5nT/JuXRP2DoFk3WvwOUr+4z/7hs9OwTkhzca85zi8P8tSR
9srigKSL4aZncETki0PLnspDmFkPZRjTdpOmKvhi5oUBcCJTN1ldf4+LFCsVEgEmSzl0jH1yDlX8
b1EwbIBwne5gl0db7KvJZTKb5lgUFZmtYeANswrLodkqy+q2E3rzxSkBmoQuUADB9/iSCzmtrWCw
tkNlhTwutVmfqAWaPtDc2ejHCEYnrYybNBxuZg/9Y216Mnm0W49Dn5kF6qbguX4dwAVgi0nr8Rq2
BS/6ohtPTsphC/jLeCnKhDvXZJzIYoXqHFknw+MksDIGsoCBi1WVnH+d7Ohymw+KweEtdo3pi936
8QPncutLkVj2iOkn7jn7wpm/dzNdraWirDOfJ+9stqA0vaJ9k1MebIjHeBtaslkk+ymOf9s78fOu
/sfDAQGe5ZjKgWX380tPY5dSo7y0Va2dIQkfbfhRh7wsu40q836rW6nXAJAodeY1eqKyqdlZJkbx
LEJ0SrquYvhqvk2tlYKxi/GmoaZsGOXGCONTu/nXS4jzsxnvz88qF8WTckGx1ML/vIboqJ8YTS8Y
pr7IXprG8U+GQZVQ5Fq7MvW8HXeTg+ulsnABexECSPPa9NlwDPwhxfybBNxvrgOOj9RqSdLkqu36
5jRbkIZ1lO6IU7pQTDlsahmAtpwtdU/zq7ElWiNesx5/EbROnLoSQ4YyGuM3a+Q/rlQ0a/NitJde
E5/6vV8I3kaShH7RwMAarAw2GgllaK/z8AIwKCBmnMmtBTCNV9bGIaUQkNHyPHxjZUfGIOq8D5PX
2u+edesf1qml7pv5JGvU4lP9dRdf+0VIcSRZIKt001sXFW9rTKpbW7K/AjWYg+Yog1UL/NjkTWm5
x7HDp/GvL/1yUvhpH0fziEkNpAvGmuVm4Wv/deeJxa4dG0oO13U9fBOJ6x36oLd2BVLtb5blRQb/
hx9lQwOhLJsjFQeXn3/UqKcUvguNGzoa89ue6NAzvxj7bym5h7rQ+JrM7LjhEogai0cJqUo60bPl
ebgOw5EIcC+EAdLATVosX7n1nnGKD+aFjEqZSu9hX4FFAMMfxFvleCUYTCejYYw189r22BEp7F2k
OKYA4hfcvbcyly0kXTNpjhRXjT51vunNb77fn5sNeLQoPF8Gp4KqC8dDXfn5t+YQR1atbMz1wK4H
WwrtESj75Zkw4PzUTa67HSI53KsKfA9MJnLmenBvKkymmPSihj8uUnVdADFglOqX00OTGzCgvcky
3qMh0Q+WUZ/MTlWPePU0cdGaakwa93z11riz/8y+Qex6I6paRPWMzbYgIzIg0CHrDR4jA7hqG9eq
l+pq9A+nmOuPQRmE6lCsX6PK87/kQ+afHMOW70PrsqtGC8Il3CxQZLIL3gnoHIwwHWdX1kyfGvk7
SfOd7b8Wdp9/Ad9U5tugeuKU1lvkOKnJdK2Un4TkDQTUTv68pf8tI/3/m6LGsrf7n0WNVfLJVFbR
bPj2V1Fj+Ut/ihqO/QcauTB9B3XZcX5Uk/3NL+/8wZmBTdxSy02lw/Js/t0v7/GvbIt3AuvmD5z+
f4kaWOltjvM+hdQwdzkO/luiBm0xy1b1vxcj1iHhWSY/hVcmpxlklJ+flZ5QVZaE3OhWaGc4XIhr
7qyxIZLVzYwxMAwBgJRgVXEIq87wr0Qe3fRDkzjQDub8hCwv96Vbfm1MUGq0qS3wOMEuaTIw/TJb
oGVQbbD+B6tOm3dl1E1gzipqPaiR3+aA/ZitqGOTFZxxlkIObTJbgJvJY6U7YyPwtxw53+69Yh6f
Qt/ogWQQvQ892gSNJaQ1AIdrw3SkBQC6FO7PuiPTXjMTpydxFUtR3I24bQ59Ub/WrsbundJp2ml0
xUjflPmMn3JwNyqMzbNlE3RtOJWyefbjrSlb3FF1vfecGnV2Avxa9CyfdRCA2+MKraImGk5gtD5A
1fvbSpaPUT4G6yIfrm2z1LcMGhqG+5FkaK+qYxmVzhWYcmdXaic7eEFRnbhHqDA0Wa4K1plDFmrs
7wR816UZw+rMOl6PmYzjnY+BdV8NIUBL5czGGh+kh4WlSZ8tn+G7OQ/zY95U3onmrZD4P3EqutMw
SDg/6FLz2RVJ973t/EMLtfy+jPqj67XNOi4s0gi+dU4bEEhjZZ+pTZyOaRFCpOT/P95GSFVbxgyf
TW2TLgS5y4GtAmCN6L10qrofQZYorE8afCC9irQwgoIN5+BNGPMN25F+DU3X3vWQSQiAZ9j8sFyA
jRCLkWKYwT/Cy2gtdTs6fXZt4Nnn5YlZkSTsKqcD62pqKgzgmkZhPNUBUJruiso37MYGLqm+SoZN
nWUCbnheM7FLTomyvgZxY2xrg64FWhcAny4Tj6HYzEZsAC8FAMiITn21zHwG4tzkiD4NBKBGcKRl
Ygf3x++xTnhvKZCtBYTK8n+Ocmvj5s2GzTVTCq6jqDXvlWjdWN45rsQxKosXDx88NxvXgn0ugNZU
WU+jLiF0sZdsKGkl84/RN3IPvesusEtSlJay5kPoFM3WFATLyzEBwFR1SvBY0E3N4+nqZ3QO4WOI
BYWbJ0NzAhemnnrGf/mM75hHCwAx/E6+faLneDnkbIFaITOXdva+R4GMNRFqfJD+gfG9f4NrzfmW
Gm3JGJX2RB11euuaXb1zTQq1oAJNHM8oJztb5ugctWhcvDSqkdsKbMe2WGgP7cBYJQNU7ZapdXTx
hKy00yfXaeh4d3nLi5WbxPsYsukSFO0WGuC+SpxqU+YMCWrf7jemSE14xcyMYbcWT25FFrwg9/Wl
raP0FlmqgZAkpuNAAcc67EmHDk437rN5OXJ1Hfy8WbTjLTf3WWq7e5gZkKw8QNoomDqFsKYXIFt7
aNMOZH/AELGawj3WS+h1DSfmVd/l4tiFFiisGSBBPgz7GB8e2+uoJeafEnyVb9Jr5KnvG8yIScbk
iDTANS+GlntK+gg7FCZvOkvBoPBm4y6xNXnjPmUlwt23jocx3KrEe/Li6XXWMUNw298ja4ZXUS+3
NL0BDPCDezb7qGahNNYkbcsNlle5A5DJApsSakm0Ad/JD4NjA6iDYXlkiUtVh6TyY5aLOBUh22yw
K8QAuShw+xLPgOAcfK8xXhU1BPc+yb4K5TnXMwm+ifXj2pQwaTR0En5uL84G0hVtr7TArrAYiJWL
AHhD7TiDMFG2h3ik4rdviMzj6dtQz9BcYqSOJ7bP/tqwfJzBYStx9tZ4h5Hfto1y6r3jaKa7tpB7
k/cNPCIYn9u+aDsmjS78zjh3t27qYHvrJ6mTVVmxc0IWyzGSazjY5FGHYpvF1k0RFK/T1F3F8/yY
8Z6IlDyOtbnFRslxud+6neQVNq3TwMPgO61hFMCY9fSq8/S7J90VNBM+dnJGkOZn25d89G+jIDkK
wYa273gqqzvGcQ2hHpi8woIqTOCXeX8v6FDuXovEuGn7l8GNH3A2A0Cd7txOtd/IBuSIdgbsf37B
MchvI1kxIMOKDIqYQSnj1I6pb1rjs3zvU/96whEItaIlOwTCJr6TCGg3AUPTMwM5vbD2J8pe7a7d
TCPNCcFYATLCNP5YR/5HVYwF3mDxFNbjsBdN0PNhBwZm5WBD1RNNf+qtHoW/H7CVmPF37jD/EIg0
szeiqRPwsGaxxViX0nLgTsSX2tF4IZhKhj5T4Y2Vgz+MNJ9cj7jYGUifprK9tuPQc1aWHlCW2yy5
tqHNZuw6RbGPJ1zQcmj8+7ryozfDy6xnz0cYWIFIa/euKhIs6JhJr0fHyo4BdrHrmWPalxZG2NhO
znssp2gd6dR7VxnEEI0Bfu8EA3sGZ4TBoVtbHAxivCmm3CG4gl80HZoybx6HsgwukzTrG62pBV6h
4yMZejgDsrpouOeWf4YR5rNSQ7FKiBSrLsCjjIjh3WYpEEZDY0Hz6LBiPTjG1B+9Vp126egZlyhJ
zMOZE/ZQwBm22iR1Ajj12zyT5mZlUmT24644ExvCPcLSv4O7/lBB/4Wp076HZcT5qAS8X+TZhHtx
tq4iEuG7/2TuPJYcR6Ir+kVQJJCwGy1I0BfJsl1mgyjX8MiEN1+vw1FIIS2kCO20mc1MT1WTQOYz
957rqaDZGK5bfg1DEpx5sD4UipQVX1GMfCNwxKFOb+PFxvEfk7L3LgVpJuu5XegXRXqJ/OS9JNj6
MOnlvXLKGzyY9MOmF6umYWU9zrl4HrNJHLo8KPY9lvFt5UzqlSmUsy64nPnSk/psjIMk2ChdIjag
o383sf7dGJorjXQZY4uIv2Pxn8QbXXXLXcyMfTcuWMgxG1yzgEAhsFNMsft+dFc2+r91hhQkA4G+
78APvJKQyYzsBnshPRmsbzpE6r0CH7W1tT8do46Vdei3SDnaBPpjJmE89YFTbCzpP+Sdl2ybtsx3
vdMmmBQCcGlFle56cyz/lKZFfk3H7TWMsPLToYlI8NDlLmAmTKgGJV5zbmOUANhW+nC0nbPRzVCT
O+Q4gvgby3mqVfmBr++pyMUqFfAvO6iILSKsxI3uYzMiSMDv0NvYNnxAmKubRMzPrPic1x5BQDmn
8y4oVPbt4yIKS6evjsTFDveq9a/urDCe5Q58mzLtvrIlGi9LazKqG9FsbRztV/Cz4/uuGfJXD2bH
i4SddHU1PivGv2CtNa01kWbqueBTvAtiqwtTB6GOGrw87IcZB6Q1ooim36W8hBjaDdH0k0c+3Hff
2MoFU0GXAKZi6fYdS5Z7FsReJ9BbLx8vTWABqIe/6Y7g01wI5TykjtaP3rQc7HwmVSA+uGSXUw3Y
m9b1CXa2j1bmv6XT9Do6GpysABDsUNxNMZOqgYw9AbTYn2+oC+JM5kQN+zJK/mTwf2diawC89g9j
D+QuAq3vpMHRnAXWnzEKR0zlu2XpH1mS4povsIcam7r6Fr0Xtok45RVCD36Z5qM0/I9eRYDdGCkM
vnoZfFIoZ2sLsgGnHW9rNfoXQNuYElrjXA3TjqTnI/OCTaLAMVbqKQO2gyYRGvhikn1gPcZjXP4O
Y+GGavKmY933zp3OsX/CpchOLZkQl3aEwlX4dog6/R8cF0VT7FEkeUl7NmI3XeHEuHqxeDda7t+p
BBFj2yg+yA0nemNMi72K7Vf2hvTtJqcYsaHcpSlQd1PtAOwIZNEz6HrQ3xMhQhqKo2AWlSdtHObZ
XJxRYsj9oFPzXuML2OM1BHbCZqSHGGpAl5JxYL6bILk+Ose+II1OV9k4WTvwATnPUTXuQDLGjyVM
qM9xxqG65BkxHqL/lQmcPZRpt9yWuA/NpmeOHXnjFevmvAmyuloHiyOv6Jov0u8fJhAB0Bgz89NL
C72lgEp+szT1YKeK7Ktinj1VA+eXx6szDK+iyqqXgAwy4q6A6yc7AthuMEgmrIxVHODZay/XjKO9
+setTL2RsukA03GTSgHHBVkaYmTH/U1MUBDzQJCI0M52rLEdzAxxkPXjQyM5KpLHtFK/UY9zZpln
6xzI+KW1ECJGtsLs1X5lGQwcoINQS/UMdsnMz1aXxZ9B5utk1QHDXtYKLMs6Mn1g+oinPlkBtZAU
mnQ7+Msml+m4ofS01kNeJDDive3olWgmufbK/dzYe2Lfzq63jE9AWR9cHy6LV9UPt20VYqg3r+jO
qHKgzsbpFyyNGphEuiG5bW9k6sj1xrpQ9Omx4QY+gwTWB46j9JRIxDF+i8xJlMIlt624i0gi3Qd1
tezsAfojPBv5GjWs2UpbuZ8VS913XEWh7NizSSPMBgJPKFg3inCWRBMKXrLAog2CDCH3TLlJeWyC
fcP9syvYH63HAC5af/PijfHLUEMkm/z5wSrSL9eOoHSWfr6DyPs5KLwy+Nh9J//sRsjAepIeJDpL
bB2HMrrVHEXg+lZ2z8jKhG59h07IBQVf3LPsu0aR8FZWJ/em8TmUBl4Q3CcjU9HU0sepNO4dFIif
3cSwsbGy4uDbI9WsUXCfxA5WjAWwTDo68tnxeIBNp/G3rExPTQtWYuXVIAi1KdiiWt992hwksUcn
BCjZxV6KaRN4eY8wrvdPZM89BTltDebeYKU8/eGPUbD3B9/dI9AraHWID6ozk7M1WO6lUb6gwYcN
ZmvUrTBl+PscZVr/QeiEEMwYwPljw0CzSlN3WjCZbmxq/IoFtQ3NlddzFSBJRwEhSorl0n7xHbOA
rWe2lF+WcejaooWH5VV3hoe7q2mRInVe2T10eM1AFC4LeOghAZyb3jDQhYnLqSotUlI1iJLaTBVg
GEqOzqmGO8U1/xuAwcONJshnE+l8VzruC7BKvZdWUX5FymyewQFZm3pJq9+mlHC+7bnaepOdh7MV
kQ4gAaIEwHRCacmIM0fmW0UGz1sNF+Rdy7L/RJeNait1fjOrR6zqF0hTCRvYoitjpuIzNknY36+G
RNwMagT3ETeMuWlM9FH4s9pGhcw3mHuWrzzRxq42XKLisGdGK3QG+pGvBnhPEeh1HKXwxmd3GtY9
cdkrUQ3eE7Z3ZH8wDB6AkMnHTnpg6BpjKvcdYkOIR1PFN8NOmwlyfy+HWt/Tjft3qhIjTnuQMpOB
zwDZZbHO/b5fzxl4l3pqKUDYXSAxZJ9XLVhBC89ND35qiGfw/+kZmQ8xTYaXnzOSaeYSk78fZe0x
i2JS0RqjHN7qga+hm4L5YAslDrNwiLW77Z14WuKhG7bYNTTvzsjRWk2EGfWVdbVIlF05A6QEHFvY
HleC9VSoMeJ82V6td5QwFftUPIwesNvHPlnepCjP8djXJG1rfyNVzpMZ33wiqjN/6qiJxpWZcf27
DmtPQsaRYq7V1BZPUzF96ZwweGyY8VPRyluelRcg5Yujd+LVSMsiR2cMmUEbt54ejFhilJuyUjMz
wpYRDLg17zLbmDSsPH63UjbVMJYIw6PBOQdI63DOG/LGqcus96gv2n3sdgMnlOZzs1MS4jRow0h8
Rc6sVhYfz4l6M1nNNi79jihgzMnvBtFkkIpMBkdDGdYDO4rYnY9onZZQtJ6kFB1Mm54KKioj+Rvy
NANslxsoY+H2Iu5tDHs61GMRB6sRJ+IqIlE0NPF+h2hc0nM3CH/vqr54lb2Z7CuU0Hxi5nJqeLhP
EZLFax7b2DxRurz6hbg2tSamp9URB3O9oN33W8FIEonQxnB01K406NpRLANP4TJfHC936Omq5EGp
ujyKBcy+HQMDSfAF4aUKiBZWY/fLlCYi+WhajqSUWvuoN5owgw7mZtLYCSj215kYMhhR6xofnJT5
tFLTFD3rSv3Fruojm6ROWGdjDtQoIM+0WayMMAWSXBgqQisVrXFoTBrff6bTiFFkvbaMuEJAEmkC
SUwaSbBW+INS8jVveRNp549EmgbbqHGJTIQokRFJUguPejsnDK8OJEQoNAlPhcnuvp0ia9sbUXxY
rII4JvqQd5eQp6KTbJOrpDmhu6aMsp17RAWXPPGKZ+209Es6ZXyiR//gOgWF5+RJKHS1PFl2xPU5
teLYdfN0Tot0vqqZQpIm1ILa0JVhZsUMPwENYanu5hUEo60DEjQ0y+FTWN5PNDOZS1IqXBySJXGf
ICiMvQ7wTnsTIq86MZlLtBEY8WxAo1TkBRZuO/mYLAczP3FnaRgtx3hUIXYNm5TNbDEf7EndctOW
LYhrdph1EOykiU2sNWvE1h1j6e5KeMBZLPo6BlTCs4DxUneURIxaICxZnFu637hl/4dHmt4xcR5K
lLGrKBBvNGbHYKQIx2/OcTPsFNLVv8wwwjYwnqrSi6lb6/gngsSe4r7YVolN+M7SgI3mCH81RXDs
BvtROFjZof/+JeopAMJSVn+gCXsQQCvo+gt8lFpOX2aVRdtozB/B8iLELaLxlbyA/NJZyK+RkEED
HYCCuWbyjhwHWbD9aPhYH8ujMsAtGnyQQRGAVlRbZiNrvHgW2AoXq3vSnjxXNrT1eri4nemGKDrL
o2zQ0vnOHTkTCAyz3ljX/fw0L2a3meP5zW4cYOui+ms2LXwyEe1S7RV3xWzBWRv93cg4ep9mVX2a
dGVsBp0cCZDpz3Nbjnt27JwpRBqc8sB799wx+rGYco5EeZnMtp9jt4AKl2L+PgFp+KI1x3Fww7K2
ucddMqfk2jnzWlH/ElQ74C8FYMW/xvGQENRjONV81/YibxjeZgBr+9HAeul16VWkC0dOM5uyPQN0
UNt2aAAhFwjsGcTlPRiyWQ9J+QUvLSeopERqTjxrLy0C6NFG8sMX7zaQRhAGbDJdCCR2DLqCMXKi
9VIX+sftAvuistjIj5GfoZiH0eK/mwOmYzIoTfUNuDnww9pq0q8uq6aj1cbjejBMIEVTb9HT51X3
ZyYICaX69NHFSDt5Vl4FMvqbmTZLjr4hMRYuK+okPLCiZdaGC+BO0Jo8VV4dr+1Jih1AHMG72gWX
OG7Lp7HKk9OC+6aDEeCgsE8iEQ4RSeLSsNneVHlmbnsQrveBSZvnizg5Cd1lhCBk7iGQZugkGRQe
Ao0eephmjmd/6MQpmKgsR4yE4Eykt5u9n87mVZpgu3Ri/u3TrHztGSlfvRZGpWFQjMu+8rYaPiDb
W5IjgplkomiBF7Lc6CtBov31TPLjTrTjB2i9h84cssOiYSDE8xg/wmolyIjGxjE4hoxqyV+iKKMY
0UjeI7ZkFhUYpyuKjMVpN7kH/SW3i+OQ0+mZGJL7OhtChLTzxoxIOZos9hxFyYQ76yI/dPAumbXL
zC15MCcRfA9DO322s4E3auH+w8LgDKt5IaDarXjlrLFbSJirov6h7Od75PscG/JWrOTuZe6acWMr
hH8cesVILWftZLokB9QgL/Q3Lzyk1roBV6ykQEEZbUhWeu795YDk4aFKRvmXoVfNV+aQsyJq3qCk
yotND3AgwRLWPPvzRMKtED/xCNC9GHzG3aPM9spG81VEQCQnT19AE//aC7cxURDyiiNiZbspuBIY
iszvF8CxK5K2173vLB9M3eEWTZBFIhJ9Q0U1smotDBtun7CyyU1nz5qd0JcW9o4NbpF0pMfG6A5R
G7ErCmiaOe4JLhhgauopsSEhoWwwxiUlqkD57n1Xjv26jMp+6w5x/M4UHNPQ1OQwdDz3LTCUyxkj
gD7glOYSL403QTAz9wnX+bzCJFI95nVfvLF2q8KFgpYWucLRn/5dNA6nwvgmQ8PZSL9K3/H0wC2M
+p1W1Y/P0821DtTDWC01UYdWyvYkr1S9jxR9dLfUwY7W/zkwmf7bDaWPSv0frr8CzgD0TnMhkCqq
zpl0ZiJaKvjUom2ebHih59s32HlEOTiNtOE4Fo9CiJSnbbGJXmEsORYR6FmjIGibgCgkmsu1zHS1
023bht5A2sQSD4fWzdKVKvNvpA8v7lQdxwTpqZHvYxTfCL6hryAuLgACN398tkMgccDzAo+qtzKI
2M3Wxr1nA2/mhbDLqzWVA612uidjbV6RejUTyeuPH+0ovCdTduLPmGUu/IbaCy0ahMeqBEQ/5bl9
G51nGwClyR2rxuSxnjOsKqyoHoQlSTXolEd4XnBDWQVbdMAmoT/CYNqz6OK5pVAMS4JHw6kMjIPf
BehXod9see767hbUNK2xis7b0it1yLknQQ+4BF26dRdS2H5zW1rAG0bu94Zl5i2hJgPxDcOoTp+k
b7gnWWKrcZv8TicDnFKdUM8W7Z94uU3fCGwDo/Zrmd3BJBpwO5epfmkS/0y4nMR0T/0CvcqC1asi
1MGO9dmjrsXR5JPsGpsXKxbqu3J6IHL46NeAF0GUefSCnRbqwMNYXXw3dU7RzIWvBdmVZfwY8Ysf
4zZYz/lth9WSBBAKdse0l5V9CgqMlgMOb4Y0rx1xKyyzPO4v2Z3VZNjH2q3HvYbzbUxd9UxbeBP1
Ws8G2a4r7aj7ymxJvgLlvIqD1iG9GYd+j8chToC32w1uJikjZrsl8sWMUpYrJqJHMqZvDIJIhaqq
ix5cRUSNNiqxa5j55q7xY/RxyV8NxJjqUd1kWR2craqp/8lAsdkR1zcmCntcIjX/dH3/241ASlRF
j94WtARKvfnxNHPtM4m1CtneJwuK8CY5BtG46dpoA7cpCUtGxmtVW891Uq6rLjvVCHMhGiNDfYiX
zL1w6avNYoEDywSxwvkImd1EyGtynkbNzf1fxqRL9FHouTxlecc+ogGJMBiyxVxe0Jv1D8Hg5se0
VXfpQIBZ7abnFEI4W9EyJ/gONPN2HEsWwZ79MrAsITfKyK5RXRkhCHlGt0beMBWtpH/sJmbKAe3R
lM7vJSuLmDf0wCcEKMU21x4ZZTQlcp1aZUBQCqs/myXNfmwje2cmWf8zZ6R+tFPcPebBoqlZcUii
O52YmFpRt3EqReDvaGYoNRfvw2EgeDLbgYF1525bYL8TjwyDbYkLjerDV4395KskY3s96b3dKZdc
4eqWt9Znlzo1OyokhN6kFmSMwCtzJWpmvx1k8b0uzXtcEM2pn7mvEqKYwwBUHF9iK3wC5+0OlBMG
GNgo7+PtqMsjsiZd5Ezr0WXfWFYWoSY4LDc4IOJT5DVHc6mMXZUwoMz99xZMKb8VPlNswyReRP2m
TjllCRmT5xFIGkFM+zhpflowzy1cdqR2u6wrHj0Xp9pwYsC2Tqz5Wda84inrXtOF6qzfTL4gMAVU
n8XZ8QviUc23ArvOyq+fDLJrEHnzfBot/RnT387F64ixe7SYrtbWrsPC6g7mpZv8casGQhGsYCQ6
vjmOglwRvye/T1uHvHUZqA0bMQ9hCbAv4z2q6nyjYbBPo7i9/iyDcSRWXT4TUCeZJHCPtZpTeoGt
UZfWQROvmxrmFzadtcWbkvksB2MYXE3LS0mIRQ2gjnRM8sw6iIgjKOxgAJgnD7QDjBeMY2J6Hvvn
ktk+C8Ko2JkUmodF2ebVAj7GM4PbBoLDlK96TAMb+MS4ccz8fqBZ3uU5uuGkI0VrxJKROWyHGCvx
GQrxsozGLlFTdQ9rqFubvc9xZfvJ1SIUJtQBMm+0N3NodT2I8IhZVM5Y8WyO1ofnpQhDlJkfeDfs
/C6Ny/oe7JS97ohUOnR1T+WvuM1E235NrmPsOBqvC67o0GApyr1tv3Q+ixOdJsUbtwUigUrhfM+i
YJc05Gq37AShThX4dfQSeq349St7vqY3k1GKY4LmMZ0R5fUxI2vPfV3Knhe4YK/HLL2exQ7i1aqB
KpkZ8l3SohBKvQssclvpLyqfAYQcddjXpPsxeF7nHIsbR5n7yKtD24U1YvrpD33LpqnVzsMUvUcF
fgQ8X2/8fFqA1fW4+9sIZb8r8VtI5mJvwWweZApwbRjDTGGmXnwd4EykdWzye5XezsXsd66DbUJq
5oh1hqM2XdaLkGePvHUfhHDZ4n1GhYIjDVwjud/pcMZtt3UEk31lPXqmYWJnY+VsD/5jTlKZYZOv
UExMZTFewuFhXZMRsUTLE9zzTRhXTaPwLs2WRruLGn/XwxXG69+m1gVHKL8FAywt+tBD8aX/Sto6
Vojl5O+HQbRrY55tbOygpZ2Eyf8UEHzJAviFTfipjVniWybXWiZvqT2FH99BCHoKxqg89ZGDlNL1
6ZV6JI9ZlBpUMeRkyeIU0+GrLFqLzL13Sfr20vpxMdI/xM/tpjbe+Y17n9reo5WWErlqYhB3Cb06
NoOn2KpZV3WDuzEzwg2wUcHTsWt0ToLvCxxPIv56pg+ZxzS85tVUSQm7LiGRxJF+9gKMBdjmkCRo
rllE9wHOfqbeSy1BwwgUYrH3gLtmHRENUeqegYzJrQdiKSYY2SE5iBKUbNLEEQyhvVohPIfjSg7Q
wBsZYhle3OcA42+ITyI5NEMsXia40VlIn+8E4FAyXmdH4f52CjxXqJsh6HSLegC9FB+pJJGeBfI2
wxKcSwMUnN+E3GEyNvzV3Cyh6grrQFNahENtlxvvNtgktw2x9kxBZNjDxWm9Yt0K8+opeEmocDSk
IZIYg+jGlLodsRIslW3FBy+Jm3OC2pFkHuJ2JsjpaOMS8sS6V+RjtASyXw6qKeOHmbTZymfrkJH4
hbjrVxDwt4xWSuiYP29kWzPkXyTOkGDQG9/NIL62WgCWdmBOJffYQi7ANR4yHjhg1s1RF+oiJlD6
uXq5zT+3rWeqgw0mBDcAySxYBiJ8fh07LpUGL/M0NcQWG5cmtzgUXEYMJFiC0mqaR2RmrDOXzcS4
faWKeGvHy9XP4/Xi3lbDN7+7MuWjaczg+JSH1qZ4zivkCsJRJApGC1tiL9h4hBkB6aoZcdGyN9zh
DMwg/xoX3XbJzkiC3oBHD/ErUfNXibs8JOonIDIJ/xZ+KiYAXX03eNSrVb0QVN6iQRy9WT1ST94k
wKLn9qmMOxJYnF1h/fNKDfFW27VFEHMWr/tgeqpmurdOMGn2p2njRQLiRkLoBNS2geosZgc+YPdW
PYCPwgRY4MmU9IhFWts5JbQ08OqT1srYNbnqyIcuYb/KonyP4fmuPTJh76qUiq/W4xv4r3Gf2UKv
jahVoYjJWeuXZtmxrfMvaVv/DiwTVpWOxw0hF+m9MbTWyuF8Jq1PbNog+i6rnpouiYmEatu9MQTj
thxulatNVcaAJroLxPjB4rXdo+nk+oSrERpyCMDRiZiAeZfZ/DLG9z3z2BCTrhPmPfuWSNnigpgO
wJClp+eWquXIz3pJZQpqKJmJN5t9RNxMkSIyBe1m42ScD41F7ofrDfkzlf60nhkdA2WUwX2TpM1D
raA+zTDv+VYj+ytuxHiCMbCcCU8Au+JCUN8EfuQcbFdTGgU9AT1mD+MUtsMDHkDrhGFoPGtUmnI1
oW8hrXP2utB34Ugy+ZofyjbvfsbS0fTPWeQ/O4N1TxkJAanqoONSMHYsSQkngPw3JzASNjnCtiIk
pkeEBkth1hXsQEOD3z4cGuBPM/Eyf5W2kvpDRwTgrAtEwX+toXY41JByrZJgRsOnHRslb5JM5qmV
raI+0u256ZIh3XbzTfUBmC32wXLJ+D631PKgrYqxDBwfijFFHkCyjutE3yLECNSh3ADcQb1VCv92
RKNdbeqNltrb8j43IVCEb+0AAXSWZFg1pYdmA8dB8QiNut0TbEXEmn9vVUCVPfqVtF+Ch9412xDh
qzjZDfuxjZ1WxE/k9mhijPHRgxjM98Ign06RtJ61CoprMlIOzUN+N9qBfjAHq99mRf+pavtK0qGE
1saWuPQtnFo5Sbikj/C+KotaL2Zsltj8n12GiKQ2mGezS4k/VbBsffNeZtO8HxQuyMq7Vj6jd294
S6hpyYrcSHj3bTecBN9OmtWfKohfcZOtRZK0IZOAu8gNDlNfbHCrcIHNDDKyCaqIORj5tud2xCzm
yvhYxz2E2cnBbs6E6LTgVAizLrF3VEE+iaqjPMWZw89EwXvbGQ0fVjtvtRLRslpGb2sm4DfdG48D
3KI4DlPsPNakElKbJ5H52eILRtego+HPAubiBvTKPjtwM2EyE8MQNjIisVyKft1R3CZIRprozix0
90YB9gCQEIwHOhAi0uJ22OV0LoCJVcbN1me/bpnCEXX1o5I2idzOfE0s8Yt5mU20cYB6dycyteUh
vdR6WLdjg4rPvjNU8xRVzhcObq5oDDvUIIG0t4kfGdspM/SLa7EbXqHhvuRZCvWwhnsGCQ+wduls
YHFyaSOyB2LT+1PhfxaNx2JAgo3F01wRxWU05fvUUdklcUr0RmMN0PuM4iDHytlYFmk+qjKv/dj0
IzGAiXPnjoyeVzT38XtCOCEB6cr9A5RoWeVTVRyYmBBklErqYe5Eb+yuZSKslzIvKOyTFLFPTaSD
lwSkjg5mtJWGYb0zZn0U7IKOXsHrQYNg/JS9Y6B8TlXwUuLeCHM1l0dL+9l+cip4RaVc3pLUYuzB
zvgXBYU62+WcPafIZVlLGMahsmo+D21+DjjEdUD16xPBdSVv+L3HEHymXZlfhWVFeyTUzcOM+GfX
omL5cukRDr2u66sQ2r5HXW+d4KRkdy0f7pVTmd1FU0Dczvkm86YaD16W51+kSqAIRpkRTBBP7J4p
n8RYdVdZS3IB1VNu4rIJZzfONk1jBqR6BuIVq+5XlgzdaRiZN7sFqm5Sos1L5swBccT2Q9nF+bjP
YbN+xFU74fRVyRPv65otKRy91BUH1NF3eTn+rZzxgC+pO80ESKMqGTLo170mo8Oxp98Rv3OYFnCD
bGJZVdQ3odPPP4Y3dJs21eoh6DWS/hyTdL+YxYM3zMwWhU/QoIJgS5s2u0+Z4n9MXJe7LoRqQ8vL
4SK2zkdn5/kcanKM287vfzCB82QsCJBppXm9GPIzpMKAp3epZ1kXDXl9Y8rsS8UY/prRJi0xaX9b
4KvdngFUuVVG7z3RgVlk68ZAOQESs1TXH9nAinE0Ul4b3xehLucXdYMqBIyH1jiEDpbhqwvzIBuT
J0NM//buz9ny7iUIMlkeBy2KxeoJiDlXQVu4874d3Y+kD4K78rbm8KeqeikLPEpLjGlgGfhSqxzp
iefFnN/p8KtcCe3KKsGHKYbASyWsLZM9pFg9wWk7GXVpWElj2eIyRnVfJoW375TD+GWSbbVBLVbu
5TA4LNRNtlPe4r3Te7Ax7tyDKftTV1vorHRk93tXONHJJNxt53VGfkhpZJl+mNFhLvGl9jdcaR1k
pL96/sVSYGr8RJdrCFC7tvLBXQjGOk6eE4WdJf59tHQmMhOCS3kjFlZQCw5R8PfflR8A6k2QVVIu
FPtl8bP1CHRuJyi4PtEAooS0mPV6TNWp+0woROilNg5AdNIQzNchcuOdtALUvCNTRs5tEX8wM6Ew
chvxVLK8X8dGHKxb120fizY4BlIq8JrTWXnJd7oQkMIyMrtjGUpycz7KTYZagnSlin5HwinfE10E
ohlZxHqY8m+nGP/olD4Y5hwyubo/tIDH9p1BIta0OOZWtfOza/rznykxriiwGUgTgdOnFkFdSrwP
EJCIpCDyLRU38XAdHNyqulSF/RQEgBNHryU4Iy9byGXEE6eDAxhIxruqisRmqNWjxTX9MLZ5uysN
G4ZaQja4NFwlVj5SKJKNi/HFqvQDagNnnTFBRDV728DOTGMF8Fsy0fILK4TNiIfwuf7n4agq51Gi
2gD5My8blVCpWRYTqCBj0rjqfP8WjN6OoSCdyxC0rymwzKCXxC+bojug4Uz31NocOy4OPJxYNndZ
zThPGfW+HlN/Hbh5dcOM4yMxDGfvNJlzh02x2vgx9gIUt90/mcuy+kY/4+1T2FZADGiZVH4WRiou
fQ/sIantiM/FmiHeVcRGAGxaK4eKBlkIbTke3I2DBHeSdR7GmG95SulxAT2ABzX1/WjV8opP/6bW
m29IKciBf5CNj/tm0NMdpReglMn4XobkNhsy5ZqH+qrbmlpnzkrmSrdaKy4BjS5yvCM7ff73mJD/
k5XvfyUP/dc4m3/9H01/t5/3/yz1RmLE/V+sfH0Rfzb/3cd3+xP/7uOz/H9xBSY9Xs1/bHdQJf8j
9wYCkeOZdmBaNoggrH7/6eOz7X/B/Qz7BDQLkTj4AP/Tx2fj45OOy58CQOO7Hrih/wOciHyb/27j
s6Bj8kxLOPbk72D1vxmB/wul0sbvDlKRR22M4+yKB9cKHYMaHtCZEiSMJOikNDQ1Vg6e7f4y5sH9
ksseyl8qaNNdv3ZNVudOfmnsNGrXM1oqYruW0oyA1nbLm2kbOEOcRmHQMHM0CuxUusVb55NjKWrC
qUGTT/zm4yLpBLibYxsk/z+rlCQx/YfecDxjZU4W4KGILAVkulaBXFwGMbokky+Hmm36kyVzdNdF
Cz+WvXcOAVdrTxw8p/DIvY/YsoDJ7nNSW1lJ16jDx+p1KMkd9ZyrJctr4nRvBslY0+ifDYeVNUPv
oGzRF+fb2wLawRNmxQAerHKT6GkfVRgYWnPPf4ewP5PDhrgKpKs+DRy6O9ndTzAjvhzrTxMolrEi
IcuPwSYS9rWOmg1OzT1Trs+68y6RAfbfz066Dli2ThRVN7tu1m0Wkz/ZeyOKYQ3ZEv/zRB80kebZ
osa8/WODRgs0RuIL6I9y5o9ADI0YU2loD14v37CTbOeqPDS1XU3bkjWtxIHT+SD9Uy6dInE+rHoK
3gsu6W3aZewaFbgdJ1SK9tc1/PiVCWX8ZtYKXXAiC+N3tGbW5CaT7TPoJ7pYm5p6NQkLvzEKXOwp
ZpLSM2hdMgfDU52/pNjKLplvgGNKY0lCKdc7WWvaOxU5NkUrx2M15kMDZtBNyOVzkdqneAnmMIeS
R154WzONcCF+bhuTSBEEi1Te4PBk+hgHmpsfq1B6QnLCaIPrko16Vz4ItyemfpZiO86UxaKZnuC9
F+wTCHj7K9IAkKI7RPvcrIjyLkgz2ziWXf2dEzLPePK5G2PSt3OHFaGPGvLQeard121Bq1G1yffc
VSjlDQd5KpVNfo1ZFG3iSH/HNuzTbIr6v+DmSXivbW/bRiWSrsAs/425M2muVMmy9V8pe3PScHDA
GVQNDqdRH6HopIgJJilC9K3T//r60K336upIqWN39iY5yLQMBAfcfe+91rdmdeFNFdR4NVXYF/Dj
rQCgDgY13Yaw+t1RxN3HY1ffoeLrSfFtyYnDEmT71P7piDS/0vzAviuAziMF/TEtfn6HDCJHvDE4
zueJhhxYcci5v+g5AkOGe/M4l1x6g3Z55pyV6vLKsVO6/022cryRMznoadPZYX5R+k82Rwresdii
3+UXgwiKwgPTGOaxftTR0quAoOIxIXu8taodkjk/2eecloYgqf2R8OEuHXfTZJJ2JD2UvbRO2iss
feC5MOdy64M5z5yCanwFV1Uuiz9MbcYnz24JsRdFUrWPWZoJRi6jLg8NpkIE1B7op0OscFHuvZa+
5RkqEvSr5Uy7H2uNDNvLSc/2PS8P98jqRNu7ofW7mScJXjdhG6cQGIeiusqLPk3OkQa5+rzqvAwm
b1k48G6XTNzmfYt5iqgS9nCwYgpNoEfmFNRLhkWcVwAhXi0pHrnDOHUFNEOoSiijqUtCfBoc4Jgj
mobcTahiQrzCnM7XqTUnXdqB+Jp6MdBbLPMRZUisbbRWJbYivS1ioFF0wMcovokEn/WWR9V4YHe0
fZbavHYXeP85hskKxgQlWGLuaumv5bOrejTpmafag7SNadz3I+d/ZJe97e5JP0caH9Neq3d4WWBl
0kAYPyWgDgVK9WKetqywLlH0RMfaZ2pBWroVIwOwy4kz7hOggBbxbF+jqCSNkkEfs1/dbcdcMERN
XZPmB2Ixv7lqfK2687oPO3g+eZnG+2ryvXu/wn9zFsMtoTE2qlDvmyYfxDlGZzQ9gK4gQhk+JImN
oxwDWddMp+yCJNJyvCqiHiJBiEHmEPVa9Z8nDv03c0UwCQKcFuhizhyvOnPHESkuQDxh7NumY4ii
RFhbO4vIMXEgBBkgbJKYuYUzIyJ027Fdp76aui75g8ii1UxVdT1/8tyqAAY6WCLeMTNJzzEeTmYg
IGA4Wy+qldzRM3SdPbIKToppmxE4MlJbP+AdGq7ChsDRjeWDIicTxSWk1ASas+H/CKdjHjTa82Wi
pUNflEqEyGk+SQ3qZgq6ljrqHPhwn6/CNxyHhTtByKWAkb/aMpXwgKLBJBnVnFtGOSU+Pjsd3Mt+
qhGOjUbmXo3aydOtGcb4m9nUUeEbos9Q8Q8Yosk9b5nBM4FC2e6wturAZ9/hv8FhVW+byeumva1G
ywO+2qpVJ05UzQb4sf419x6eQL8OR+JsE2x5gQLt5W3prJD7GkoUdxukITFCCjumY+CGLiNkryI4
axflS/W70M3w2Nv0oFDo9dA+bB06Vwm18x/dRDi8BuArMz6hIQRwQX9KC+tr4/OPiwKGzdZMY4K0
HLtnhJ/nxRmhL45NZymfr+jmjncSZYOiSJvQveq02up0tB4dWlgFk8NxNXmPIkFcFenLfEDygCoK
tOGhqIokIU3XMW5nq1gwakRV9NPxfkQEs2Jvl/1vkpXmnMpYTt/ZnuwVM4UIdKPcyH+SyEMlZUM3
f5pnoyuCuB8tPEuiDRl0ww/YGHD0wg0P2P3q1RIUVdWh2rZGB8I90vH6SZVKtzvifyr7UIQMYjaj
GYLCZm5knscIyBesqAWtMtSRXoCnDhwCTDqXE7Syn51wJAfLi2j9Gs1k/7JG2yFOTXrE1lWzixUT
qOLI0keOJyhhV4lnWus02Ox6oJtB4Z/hTFgqsodrROyw/5yGFu2SVd6XSiN6BqCW6Scs6L27oqr4
+brGHRBgVCY/ku1a7EYE7nU7EL3I6om+wWmQ51/stmmKgG4PupWKgHlYAd4S8jZ5PgIGRDoMIK1i
rYt1OTVABBaIOUNtIwhHcxC5+KuzcT/XHkEfbNBk5Y121dzGTO7QggOS/MU36/9e9DIihlvcNRyF
PI6RohEoBOvhOKR7etXTF1BH5W2X2DiOfIdWrb/gqNox0qaon0wIdDvyb5sLhAOcPRCkCAa0RY3H
IqzSlne4wC2HMV0vcreYNJCIhFisR9SSdK74zw4/gQfbNy9a1KA+GGD5Fw7pH5VV/7ZY+nut9F8f
Fl//H5ZVKznz35dVW8D/xUP7Ok10/b/8VVcJ51/CcQAYuHCwHNP3/h/0Vf3L9BTJ5xLSgwC1t1Zc
/5eP4v0LnhT/mwVeCiasBTvrf6CvjvwX/xxkvNVL41OQiX9UV72qql5AUVyZK5Ey4Eo+1tdVFcIj
hnKoRMjBXZOqG2jyRPKh202a6uxvT+XzX8SV/yj7gql82en//D+vOSwvl1IQSbmKKQQMuiMcWJZ4
Iam9yBwtG8URl7Ow3ursavKG8io2I5K92iL/ntbM2+tkiM8/vry9Avr+lwPz1/U9isg14QC+oDwC
+DH9m8ltWrogkVkUg2CNFf5wPo09NRFpVEZCCAKPYI5TMhSBITAcisRXzx68pyj1ws+W9FsMZvnM
Yo3rtUF/LlqcP4RlFoLo1bQoDx4SrOdmbIg6LF0Ya6wPPNLWyAvmwENljZu4bcrnCaA7THgr9Rif
j038jfdHQUAjD+oRD/FwR//Q+o59obz2B1bs3Vjm8fePH4gQK0nxzRORZElIwtfBdFG8/72knmsT
lwPKqmBMfE7YvSmJsBwc0m/m2oFJAHxG3nESEQ+5dpnRkkiRjNgA0bmymdjN74XQbfS5cYh2MM7x
B+skqp+0mF6qqboIA6dMFYBzfGzpgbOs/UR57IgD21b3Lewgym/jNM8fnT5u8r2B3nY6U11d3U+9
ooOYuCGhL2gzMVKqeFoD4Q0y130FjyDtZ6acmaeLncFdjDc03+KbYdKNRfgVk4xPnC7SbG+iidTn
lA0lp4yUBPpN4dduv51cCzd5NjK9w04u43YbF8nkBT6C8QczR+O2Kd2ZAbvuLc+9Xmh0w5jTtvoV
Chb9MzqbI4fVAarJPmknzwNg4iccNQgr+Ir1KIo+20AtLA5PKn7wWs9ygd5YDj4lXBhD4JI8Z6Fq
LJdml3UrU6HWSGO35oKKNojbxMy2qZNwqKdQZm7aLIPse7Il/F4GRISaEByWMbOvBiP0vUtNMiRD
YOnmXxKkgOaOyX8pthbWWQ4qirnQWSIm33rihl3nEs2lyyCcLTm5xU7tjddhRPTpfkkUMMSE0Q1o
Ct4Kus0mXYzz0LbRbIYD6NNdxzi3/JQK6PNIa2mdoGUfc3ubp6L9BIVsqeDdeaMfjCR0YF8MBx0+
9ouMk73sbC+ixUsHdAODAiLkggkz3nqZj5TWLAmeYKCZtjWcC/w0RhZOCXWxMocTcML3FiPmJors
E4w3pnPUTdLMX7LBhCsDG9k/uDHlmXZ18ynDcU+EAjXFbhmMaj/As9iovA+fP/74XgPcXhYjX3qw
u2FXv+CxXn96nTCiBN0xLas0KnfkOMlLgCrJhSULcaiEn159fD2xfstH37rvCPUyC2TncI6IcS6m
HwCFkizOElFBJ9FrtVOJb7it1EPfTLg7rEVuOweNxtxgbc6b2n6sRuZy+2kmEAwWKH5q3G1A29Lo
f5jxbPvvo5/Fa0Tp+kCkSXKzjx2G/p60j8CWwKf9iWILL6sRVp8rf2Z+QkWyG80M8S+YCsGRacKs
tiL+mL9bIDA7iRsJYOkBjJZ5Yrd6u1uwV5sONkmffRu4+usfqDR0aTKtMQOEdyC0h3TETOetDeoT
P8zbRdjhfCDZj3yI/Y5ztAiLOnNGjKFmEFfj8DlGd5ruWM7sdFNI7f0xaL0wWUodl2EdQdViQzQM
W7V0YySZoh+RG2btPN43zmJjOXHbhrAuQ1IzGDRywJODEj7xN799eR1486QWWTZPhkPI62ejHM/x
hnD9k4elfhR2pQ/hFBb7xCvjrwnaksOJZ/SaJOqZJrhDC+apBQEfhq159LXiOq3IobZWeXIuf6BE
8ckwa118DzQx7a3bjFjuCzqs8Dqy7Mc4tvQnRnRIf0EA/+1b+vql4NzCycW0BckywgGlux7l/r5h
xotTi1qkTSCVMd7mSlkbc8jmbydu973LkG+xdtpd5fFpvL6MGDGcpUPSBKDlKUFFjBOpIPX9S9Ln
81Mv63Df6XZhcL5W8lEJh2GCQEDYbupm2R5KEbJM7HIPUY+AdPPxX/d65VyfAeBO5DrSshQwPf9o
IWFCb+E9IvQH1Ex43jjK2BFVGx9AGHyP+izdKcz627DBH4XSQ3/951enolSm47oMAeTRITJp8XdJ
wCzosjqSpLq8AvWfJQZD4DjS22WqCAgfLCBoNKD6XQul4ESuxuvv9a/7tywLMZ29oupfcIN/m0Mo
z4w55PEODDAflqCrQzFuurRBSEGWFVbbnDHdrIfdxzd+tECu13VMGIKW77BK0gY8evdssHdWW6M3
gyNVJXT3kSPnUcPRiChsiHKp6+0MDV7FKdyUDuEEkmufOLhWtwRpL/WeYXM8bT/+q16vBC9/lAfc
kY3Ud3xp+UerNu+IaWMu7YMlzBGiEIh33pvM+2Qul0tAZuru4+utb/7/7mIv14OEhnz75QxvH5/h
7WmB/JWxi4nS9rcZU85dJmgNGK3qvtLDVxB34xlFg++eeP5vv0mWIMKC/7qydTx+QjFR5opxUkB7
v92Sj57tQg/448f3d7RN/3WDlEgscoR6eNjQXn/6GPTc3GnaIcjruDiLEExc262d0YwS5bc+99p1
r3vstfD2stCkdyZe9N2n+X8tCV260EWVnaetLB+cwVEnvj1pvj5EvPx1gikfC4AroFCro3cQ6yaC
K99tAl2PnyOAzreJMWnEsmZOzCiGtq2HXAr9YLeCyshbL3Yg4DABGgcVZ1MWoLLJoHx7TsuE3CbU
iSkM25u94H2GJNu5TwU6hwRSEnK1LXQ828O8IuJ7N8Y1vkOKMh0AL+YHXvwF85l/l0ZmdOWxZYS7
zFDIR3sz8dhGyY7fcOztn53Yj++lMdHOKXG2L9AHa8TKBRROcFFTPT/h3YQA2Y3KOqdzVNCaK4Ap
0FeHeNCWLo0qRbLlT9mM5icDyHOB5sMdmk2HABVsD8yUNQlTDN7W7MLkk2WMTIB0Da/arPAEYIqw
asz+voWMX2U1EXQVau+gH0FtbFpJGlRQzvMA4cFz8UxQHWAgLjGh6It5nro9UwaRbzk+q+clUiYJ
eWPnf3dF7xN6QOE2bSOdYWN3uqb9Q5PaKwLbKZxlWwP1vWCEwmk6wtmJrL7vvk2OXd3nYaL/qMhu
FpxbBVlAjm7TP/SU/PCcd1Mq+p4zQDgYgOMjx7aEuFJORN9MyWB+7zLGQWSW26AFUjPMon2qrJDR
ZyXmT2Wfiz+I0aZHJeL4huJ4sL9xM/6PQZcZJQCp0tfoDIivb4HFM2ZLKuI524nZZlAYPTqasAPt
HliEp2U710Mutakj1rDNWC/8ZewMjbrJazu5R8fj47YAuh4FELxQlHTonprtZMX+AagrcICqxk8A
LHheAN449jkJEDiFsCkjbIXllv2e+2z5IcnUNIFsOeE5XT6BdWkEQxFk9TxggXSIAd9YuU5/KKa6
D+mAKTlgKGX+tDiX/qaMmBvQiMXy7IJXuY+zuCuxc09iOp/z2YEjC7vhW2tkDdQ1cG+VJfxbI0ez
vWXml14gIoxqjJM889VWQxJi6S7TDSwFBFYGzUbvnPvynlb1Kl3Vwsv4xippXziZckMsltbqjqns
vt1ZtRMNl5EcKA8NV4MM0BNzIMA+wlsHN2T8bvFqkYIHU6Ci8MzIl01RYBAkisGI2+iVmVzYLgmC
2wQPN+9m2EgYJ2FMWSrcqnlwi4y8AMcj6YxGaoJ6dKKBTXpyPTXPMp/iB1XZyImcaZ2/zQn2PTxj
0FQ3ES5MJErMrbJdhttSXcytK8npyjLjfJgthoVZnAMw69jnHwkrAB3oMfWoL7hz8En97ETikMUz
B6+eCFW6MfUEW7NDM0Vjf7Gp3Rndc4Y+yFqvEy/Hqc0g61yptz121/KQaN6TTWboyN7nFoQ6YGmV
dU/BPqbgJEP7JuNlnTYtXNTizHIHs9u2HcLO3WrstbYSo9E3v0e2x7Ak828qfiO1pY42kZbycdf8
gkl31RhVpreRi2IXoo5U/INFZN1HtGPBMAIoa6ilUvfHiKtx2LpdT6soR496L22wiGRHqN44hyrn
/aqrzlh13pV4Ytxa3xpDw7ivN2bPPRiJAWLPmsPyssUnUuxov9AQd9uE2YxigL8BROH/tAxbPXe+
H5KyVy7fqiLv1+c6rZ+d7etv87yQT2KhdF+tyvjZST+K2GG0RxCNcFZqS2eDttiAbLBhxqGZ2LMN
OkQH28K67iJAdzt34dEg/M4Zy9RDQxOhhscA544JvdcqjQ+DAo/kJMgcX+uZ7QXKm9DzTs4pciLL
clpekGUorpJEOCC3VBfXBDhV5qVtNstn5PT5V5OonXlT5yh18Sy2Dm0cAHMVZrsOP1aPlZZxmlMz
/OzKIQ705Iqbukpt9AQERZ6JZX3zS51GvwFbRHkwZZN5kfBG+Nsib4W8FsBdcgYXhd8T/DsYxl51
LgctnUuq0Ewvt8ZolX9AmqR3/AvyWTO6xLo0NeVPVbQjyuwlSxjqhokJvslmfLWdlcQqwHSIaVJs
giJMNFIwBpyxfTkNJtJdYEPlJ2XVXRhUDQiiwGx998sUNvMPmAaDF1DWT3dDXk31xax5Wc6IWp2z
HcwuMFbg+4TaMhTM87NJLC79GGTePYP4cXlm5RQ3fhpSwTeaiB04n6seYUntDj5obeLCHInFhs7b
YNremBUSVZSNVYb8hEi8zEIbjEbgKo5dTfA40BAmV5WLrgBRI5OTdgK+W5d18atcFg+9R87Eywvm
aTHS7SBaOR8SYvjsa4FpcsXMVKmDFUx6xs62mPcFc+yQXqOQZYf7yuyHNbNaxKwbIoYutPLvtwXa
h9uscvo90hj3B/pJ48tSMe09X/ICvNmk2QljKybRKrX7vj8AYN7lY2VcMVyskzMZZg3s3/YLKYGM
8MBNIPxs9HXhl/pPkef1nWjGz+1ArcWZ5gLxGbOvEwe7t2UTFPI1lYFBqrApUF8f7PKKzzNpc1jC
VgagoESSHQUw6uoqwLORPSVO2ruBlabLp9SamLbCquNgUMez1cECg+gRzHM5G5s+Hvs0WLy4/9XW
Of6DrjEk+Y8+gQB4mGaclHRq8v7ESf+d+mMNHeFPp8u76sSOavBmEnWRT8CqQBJocl9tWBZzgQ6q
r0X32/SarzJxsHDGImvPaSqZ+B3k9C2xJ7rFgwni9NQjNe031QBdCElzwFbSWk+nr59pF1MqlBkT
Ot9nVb4YTOZ4Z9NY2Q+ucum8+nXiY/SxcMl5poLNULdZowJCHdMfhWnjVBuVGG79suJQNUYm/VI+
ZFdt6Mm8sKNF/MdB5lNsfZLdUWrGqp2p8KyB7Eq/nDnuGkb8e+yQ++zgaQOmtnqL7yGy6/yxaZHy
XizIDdZgS884601+r80gDEaDA3l6X9GmYVgbq5mQPV73B5J7JxusUm8/06U1f+ZLJJNN5jd98YKx
whwKTGfaxovs4kCGys9QufLGneF+QFREMo77PU8mPI1xaLc/8XOQQy4AzwdFOTRIuuCeHXAcWpzv
ug5jpqS5blzaVYoWi8R6RP6um0WbfJqz50SnDXqmhLPAZuQ84WylLfEMaihQ0FHYmtTQLg+o0FNs
E1jeqo2nfdPYWrKLaPtytitwwHjpzDrTcnzj7FMhRwCxiIynCnd51Dd3vU9U77Z3vNoOio6ebFBq
P/8VYaTnIOhUOQY0ZxAH5ensGSxfSOBNP8h9x6GRpQiCIqhprl2TAUSacIDiu/vkL6vblrZQfsUW
hp2yQVICTT/DwrihjK2vOZ86xCFVRkZEnB9X/okuydvCGIepdMG28PgdiuPXryY5Q6o39RpV1qpq
L178w6nNXkBSNcslWUQfry9vKzN6EXRPkWIyLHRfRj1/60rgnzKdsVUsy1bpXPpQDu4gbBV7AS4l
OnGtt0uZwxCNa9CttLw3rdq+MjC8h1UXZAKBAncKdjVdOIHXnnFJT7vcWR3mrCxNzRu37KwTTbi3
jxbJC5NUGg7MR6W9rgp/u1UBhxrCiqGDFiPXzRKH9QHgnQSo0uNkc+GGfvxo3zZ8HJsmB2u3t0pj
jyOX6mlRY6Y5XiAAiO4V+Y9BKfpprziwfEclQHY43Y/bjy/63jMm4YUWoGX6jhRH2wVjoXZANAPX
3U/qq9yHXZ1qc7hYEoi5E4aWc9JnQ5QeKIdweYt/fs+rbxQCMWMpnyX29TM24JLQekB5oytsqRqK
ws4fx+GMuMOZGG/0buYMD+njez6K9HxpL/AOWy/NJNJRj4cymRw8YJCDDuxcD79LXgGJoKlljxkT
2Mz7jijRFNwLmrpD6U6gV8kknh/iDiwqfZkugV9TW22JrXWJ9g3gN7xied9f+xYmqsDyWqoSCRGP
SMBaGD9NW3MutgCsLHONmD1OJd6YbN5llW9f+w7cT1yI+PFAXLSVGzh6qNCulmqqycKROaRdq4y2
ipE1UdXNHLrbiMmhPuAc0YzhTGPajGYCGR/pXmif+Azf6Uh5Nkpopo/K5Ds86hKnBYhJyokx6Nsy
vGPfz4Be5yWo849/lnd6bh7NVhj/DERM+p5H7wJXJmI57GHjCZw4nGapIwRaaoCRt6EcWXo5xrfJ
xmrHU/f49lt3OUmgHmcEoNw3ou8lIqDInVBrulYsDr4zjbtIpiqo/ZVHkPrjiVPOO9eT6C4krW1p
mfJ46kPyXLXItuiImvCXG7bxBgtHOYWfOr74BKvknBgnHu/bn5EBoM8Tthl9ESd2tFN4PUx0r+4Y
wruY9uJOIUXgfQbN9vHP+HZFoW0De85m0/cEH/frn1H0ldatZNX2Zp185ptPwSpT8EWiNe77gg6H
w0H8nL7ksLMLI/388eXf2aAcSd+W/jWHL+rC15c3Efst5oD6Ypg6te97HMair6egMM3q/uNLvfMj
AsL1GaCwS9GzPVo7TThOOcsyd+ot89e4j6xwU6Eu32GDIkQgzvSPf35B8Errj8eUCnXO63vLO8M0
2molomI626PuKs6gvhffGs/FSuWO6YnrWevB9nUbHPCBazGOYjzE93f0SVbl7GrX5J1pC4qqIGtK
myKhwDDYELh0EFr4yyEb+/lbDUkEm2Xjyx8GiG3gLl4D04YA1Ljeh87Q32iErwB70kiSGe9M/Ze0
MxzEmTWI2M1c+bW5HSMtTs0z3nkdHX+dfbNSEEx5/NoXfazFbNNYiugAX7T9lMHeTugDNA78J8+J
ootpNGy8BKkNWQzX14nv4e22zqImUb8460CB6crrHy2ildaXwDYDT4cAbFVhHyZzrp+7MHNpH0QT
CGHkGB+/Ke987KykxHjbaGlQ6B+t2bUPtVG3xIBM+FI3C5OrCztOlxMRqu9dBaUVQ1q+9XWWcHRr
ldcJjH9d4EJFum05IWHT9uoT0XvinfKLDErPY0hps0xbR58035VHUwU4D+2LX7SS20vMDzTBqTXO
k7rD2QdO5DP9XxrmXQOuKYmtm6EsAP+YLj7TaMhb88Sv+lLzHX0aSrh8/VR06Joc6/W9D0vrN0k2
4eGOjPATgVL1mZrT6kcn6rkPXHN0dySHF+YG5FD6k5egpFKBg/zx7/xetQwJgHEdezN6muPo5LKL
7BhkH6Vpj6UCmKO0vuusQCtM2pfHvEobP70MfjAdl2n6o9rBh4yfxOKJszPS+ypTKtp9/Ee988Yr
RspiHSBaPKKjR6MHrQrP1khAjPChlNF8bmvXvkA4vuz8hMoQC4N54kG8PTysWhNGRfTvGJ3Jo8O6
yg2VE2qN/7Nc0vMojPKtkCDx6A0Tjs1esFuw/F7FYCGf/vHdYlhjW7U5uvMXHC3K0cSanPqQocYq
Mz/HTFc/GRZWjgjDwdnstN0juv/q4eOLWm+fMRmUnuBO1brPHX96VVJEa4+MT8+tWniaTm91N5xr
AI5o9lfQLFnXL3gsfQY2IWfDHtooxukryEXdHX7odGBkIeMymPFhESESSQIZpOpzoAJZOaa0M2tx
g+xsvu0zJf/EncPyZYuQpkzkTM5+aWRB/BYnXvcQjwnZtVWk5+tiCfWJffbtlo7AgU3dRAjDp37c
fjFycgkqRe/Q6HE7txKSJgcrnENhUp1//FzfXOql3PQ4m/keitdVKfv3mi8LUwidlUJjbnXflsaY
DnC6sQDFsfNPX9g10RWVOZNrxibq+CNJVAHbfKTNRUc/2Y6iCc8x+5UBMeiQFbUIIfzU+ottlXr/
8T0exclyUV5WJVY1mEO8NH/D65sMU9t2QhxUGKZy8ytxJ1geZvrhLSa7s2Ve3M95iQLQWBjlMUix
b3Sqq1uBX3fTd5EHcarRN7pal4+P/7I3+4nLX0bvnG94FR67R/uJ6Rc2/HSxBFA7wutYkc7pRJl9
8fFVMI5yg6/Wbk74yKFXPbJH/18eHWucrLeKprLgHVZo/vaJ8I046LwaLwyuM3WPYr+6Nyfcx4F2
1lj0sExHRqV2RX4VVkS4iSNjyhzqLa2ZDTCX9pc/ZeqxghQodnE5luraolovd2Nmml8Noxk+FUp3
DWZrM402nJAaTIkWGATahqtdSMDnj8/l2FhwjauoA/aMjJmJE52neDfpomn3YujVNREiIbl0Hl1u
0qljGoqzTEzCHjHF2cSuaZqF0Mx+aiGQfVpFi5pJekXfbpgpLn/6pocgW8U5QTBtTMDCRdSsIU9j
2+thJWSb+nzMXBIiXEIg5/PaN0JGdqz1BpYRu9dnPWNR70uhZjKClogX4tluRue730zDb0dVS3kW
F0UKMcGza3SGbTvH4L+m2t5TuDIwa9EkY4ofBhKdQKv+YpKk/c1gRAVHy36iLw/YoIE2CxAN6CIp
wwePiPM/jheR8qJNzE2MZhv5lDTSqvCgNf3PrArlMwNn63KZSJRn28tqf+eSF1OCVczLawZAIr1Y
0gwzh4v2CgWPHXVfGfxBqzKp8miJzy+kT/Qt/cZ059xGJqqpjrzEdY3tNNqwk7Ss26+lA54IMC00
ra0zdMhYx65cfpR1aX6vOqkAnmKRAejAy6A2THWgVqEybcJtr8f6UySn8Ql0xGTuoDvOv7olXLl0
TV18N/qGeJ846xQZdG5mA7mlpCsA2VtmiAhuBDo3ovAlo2ARGZRQKyrPTARI7RnNA+iyWVMDHJap
ianVMzhwkxcQr/6SbMZiiHbFegYG1OogpJTvKZFY4qDGGgpIkinIky+x+Wz80aquEeWByIRBxMCz
KLIxwv1TruOCojLq86aryW9AwDbO6IT6XuKwLU14a2Hk2QeCkqbHmmmvfQUc2d+bZMbJXT+3TUp8
hkv6RprI9r5llftcubGqSG9q+msER+VdGkMb7ZnOVzud4xfd9vA2YIVYrf/FJ5PjW+pPRNIRYRg+
mowTH/UyjFA80BnfF5zVXBIhxYJwHnEpep0EEgRZZI2z4t6JpNhA5De2raDti9LUsL5jLa/hqCzN
EwVAf15kto0DrYBttI2heTzRUYXkqgcA86VcSib/juTBDBrcAMQRTzX7mGkwP/FsVDnQOGapG18h
h4bNzSe5iYvG/+1UbnOfL7S7iZGyiXEuLVFfCnBAf+ZxiFgL3Hjgg9ZunAGiAwG0GZISkAy9X2i3
NoooyKXKGcw9DGoHXy+HzxuO/yG5VkaFMI/ecGSd2KPersdrr8xCoOoixiGg4vVGkXTwJ5KRZi8G
tGE1lGKYMOrl1H705uxG2wULik/nBZEnmrPXl+lCZFRMLRkS9ziemYj37i+clARChYa64F3Sn61c
4RGU9XzI46r5idaAd4a8IvAxqyhssZqzaUYwg3c+PTBJ/glmzfhe8TO0J/ao93ZPj0hhm2KSidCb
IlzTdxuY7poBwCiv3EdW6X0vXcXAImXMdsngL4Xx7k7TFxae8EvDePkcNGlyO5ZR1l+uuieXEYVo
7xiDEGv58eb2zgGGIheLPn+d8NnnXz9LzqB5iSmEHLIitR+71VtfyVL/rKr4xBH0bQXEz8aBF90y
cTrr0PH1pVBRVBjENTgvxr3EjiLa59Sp0j90RdxP/eQ3h6qfVcC0KLrG/l5dDkx4TxSHb7dykBD0
7F6OMoKx5+s/AkejzabJuLMoLOMwzrC6VTP9tJ1O3gx9LU6UNu9ejvEHwwjBG3t8z9NAF1J59EKH
eLBvIrMoHie5ZFBfVmuTn4Qnvo033QueMbMWTDkc1/D9HE0eM3YZA3YmXiYDS73KirrdGEU5X5No
HO1CP/TOyF9QXzSTqF0Lmzw78T69qTPWP4D+FkpUy+f5Hp0VCaCcx2XCTGVWXrVN+sIjY2LxHpw0
/TOkxXgPKd65+6fvMNfkWEa/Rlqoa45u2jTyuLB0NQVhkqVM0JL6fEIWghQ18k6scM47P6gQUAHR
eVLAWd76Pf1tyBP6sxFLhq4BQ60kCRLEK9OmbyVM5dH3egBjg/5J3yGPDjJ16NKS95RcLWHI1s6X
Lb+AZOjvEiO1vnYEvnQbHCdLDxipFt9dQ4QNYEHnZg15uTWZtAPBdAr8S3bV0hAwltp8hJ4m8XSi
MTzktNq+l7UfP5AAEKHOok6+HIfSv16SQcV7Sw7QL+YuLT6TiTQPGxcjqretRbMcJsfPk22ak3ex
a9q0fJg9mBO7wrDrR4dsE5CU0ygp2CQKmc6Ai7RJYH9bwQj93Tl4djQ803smEMzS8HeCbvTb6Bps
0dTcDkWsioAulecz+BoSdlTMhKfaBu/9FLxlLmWtxY9xXJYweuhcx26oiKYcdrdrXU0Fd2cMI1Is
FB7liVf7netR/tDYpNBjCPUyJfrbT0/OfELyaMUBxhcdVjQZGgizPMBXhBTmW15s89SS+XZ1xgbE
KFFxgz60vKPVCt+WYwi+J1S3y3IzsaFtotqublDK6Ieqi7N9jC1/67li3tMSa1EZIzb3Mve+9s35
DN2a2g0pgZspSRLtibXt3T+OjR70DtW2UkeNDKMZyVSTVEWNmJI7O2bon3aDRwfLdZcTdfY7ywqq
W75tZB7MVo+dB11fjLFhe1zLByyYNE1zVfeLeYnKlNBG0L2HEH31iRu03vvFqbRtZn6cMzx1tLD0
VRonhsMdDrGPJaqZXTe8LDM3lvtaWlDcew2cYu+NuXVH4jn2SRDx5kbAwwB1BQ6GgJoSIwYgOBpa
mzYi76FWoZ0zCEybOyRa3VdygWAFtcR/TPulaNQn/k3p7ejL9buB1GCyvuq0ekYazIywN4ZOnVjS
3rYEKewtSyhsX9K1+SlfL2kDH+5EpBvp5G7f/kjoSO1p4JJovIJMgLEQs8uw3SAqDeVanGOQR6bY
Saw1rr5qG789+3g5f+cUyd+jADNRc5vmsZmlFXXoI55Gt1nWWcIplvnMhtFRdKKux5B8XNavji7O
Pkx98DofS+cJ4wZGqscxMKM5OeuFWZF6hFD2dvZKbPluiYiT6VcaP0CTIEdCuNMIC6UvACZNCBjI
qrfjc2CccDdk5RZfTM4W3kUjOX5TlGsB79f7b/bOozluLd2yf6Wjxo0X8GZQkwSQSe8lUpogKJGE
dwf24Nf3AtX9WplkM+PWuG+ZqKgqXSSAg2O+b++15XxL5Wh+TAtFJWspncD6mNBnUgRXCYC7iCbj
eR7ni0nIjV2/cPLVXnN9djiMq1Z1h4U3u3Ckl9zkBVLija0QtrB1iVHU2EBG7aO2NOi2cgcdm4+M
yH6DBFUsWwlThk9Dz6xjjcH3+vleOQRVH61I1ng6WSZO8f0BE/cO8Iq0IbMj8QgAshV8sYCfjAlJ
zDKiPHS0R4pz+h10NQ/RH9iH8gw9cflAwLp9l49mFd+y9ejMLez6erhQorl8riRO6KAhyAcpMb9+
CJ0O8MG942TE3rOipuKP9/D/gwH+hRHlr28ueO6f/8drhdJUXj2Xr//+1xW08NeYxejPf3n68u8/
f+IPGMDQAANwjls3OHgf380s02vX//tf5n/Z61rEgYFZAlekof83GMDhDyFDoVa4+kOwIPFV/x8w
gPNfGBURV2LOQK+y9hz+AXBtfyUgbZmtnrYCCGj6k7p9KECJbK1DQEQipD7n6m+2TM2NXVsO21wd
9DOw+768gMY1HZkl9yel9bI2lre1U0wHfrU57Y/5xXCkCv7FDsxCqb41HHB2CaXWY8vc+un830/r
z2XoD7Pqe/RosF7uX8argMtUSUxKIblJj1pnKveWVMR1nRYD8t/U0h+MfsKq3Ko96Iyk7M37oqe9
tUF9zZRdJ7BwdoBwXCOgieKt1Ku67kJB6ee3+v6EbEABfVDMMxm0HcrPnOSPlI1mpZYacarE6BA+
idyA+IJanVncxuQhFxBHIO6ifPYxImuxX6s50WS0ZUk/IHOOwCzcXlp0NWfd8MKWt0wDfaqHLkDN
rz1nyZIhTk9006+7LI/P6ehM94kg0idsk1T9DgmkJqlAqyvEenZNga80pnxN5rPK8SyanPz+D7lL
iwgy4i1T+72pJTT03eKSXniywAG0qa/m2pnonJxAREmyZliOubH4WlrEp7JtqBFpzSSuFBnDm88K
VHx+GSMT9/9nVUAW8Nh3B2rRmjcYQmx9U7ZTfZ4vM3QlcM88KYqxKS1oI03/mWHt/cXTtPijH1NZ
9w4Ox6Mqa0NLIaq3BjllQ6Sw/lg4RmDOATjDOnRkpB0sfu8X5ANalXLrcPsg5KKIBn+Iwja8eSRM
AM3qwrlwxDwmoUWC93UX63ob9oup3HljD1U3HvM02fUDlSd/4AgC+QxEHfQwAjeeLEAJv4wldjJq
ocM0nQC80N4Au/fpVmllsRWK24Dwa0b9jnafWF8VXm3S94gmWeZJnMZjSfbzRFZbDMN+TT3qCoV4
jShrEkISUjTaLtYAWg9eCwjM0GrlO53DZt5oiH2HoG17cZaXbVbhAJEDyooiTn8SOZ79s3PAnyen
eQhVAKdQgXIOlj+SQcibhksZlKCqCMow411azMpWV8v+BHqbdqRrfrDe/rkgR3kUI6umAhno/qSg
5c5gFWyIAiLAnF/UUzPifaBQKF4zXXUiRR5exFkeukMaP2C/IZhjLErSTVAZfwf4WnEisMS3xRIw
2BDcC8QmGBYKQsmL9smI0GyTPFvD+HP5U55pVcFfq8vNn/nrb8KK/nH2pJLqaBjKTYu93aE0Mq7I
u6vYIQRE1rqwmuMuPS8rOFQbCvicG7peRnSZS5JAaHgs1SZaFkwbaV7ynWI3x/tWJTNZN/gFUJO1
S5/QPsR7bXIeSlpC3ttuwGjWjANiY9OdINBGA/k4sOGuoWewb+rdbqB5mSnFMQfm/jlofT0OJQGU
PetGkkrEwSGNUnWlmaKwgoZbv+wjtQpzaGsnCzGnRx7kQQ1tvRbCR4sqB0+T2udheSXnZyBJWdAy
I+0ZsCDOADeX3KkzRIAdXh2CwKYXDBzNT7Kk03PXNrF+5EaVa0cWxI/rsIvydG2gI0FFgreenf46
Ddfj4rYClF/otMRpxp1ubWgOrHOmq5c4jqhRkBtcHbnq+wK4v0BSqHSRdpicWPDCHBzJemqibUlO
XWiClSr8vjSJrs7oLlwZkYJRRyV0Nw+s0iVFBSohIOU8wUvV55Z5UbSiATKuDwoEE4w/IAuAaEJZ
8WqsLLkeW9fYczJCZPGaE3OlVHl0gchfF6iXI5N83dyIH8eWGLVNourZuZHGtH3cKC+52qCN14NL
rtIWKI1VnuF7Sx8tKgNgPOsF/KJDZrYKujwdmEyJtwRVjFLkO5q4irQURYnwqCyOmt5mckhPtDIy
55Co5OYUXCI9rDLLyuuysXrQxa1cdh2H72FjEzQCXpHDcHPk9Lt/+GWooeJapTq8YDqetH/3X3Cf
LHHkCTIL9HL0XtO+zU7aBTH/DFZnq+Zm/R9dz6IHxA4RaQp7y78H1MyyQLGnJIKxgwePMwsUi916
ij9Smw0Tif34yGD68OHSq0CpBo+b0yZW3IN5Vc56bGsxSn7DJKd8yVFyyi6R52sK08PXM6C2f9Z8
f5pIYg3dRR3uoLtZf8tfnwsMCKxL7ENCbZonqImpsRvMjGC9fBj6xwbEK5B8xZovsipq7peErCU6
PxQ9gIAP+tuRX/NhPubO0f+z6nt45PVD00+f2JAdcemEfKtkJxaeLq+mpkg3wiKjoyFdw6+zfHmZ
XUg0qSW6bzqqknDp7TQwpBZf1CJtdxgwj/rM133O3vfNL1u9Agw5mjwIzPefk6JB5COGMA+NOSXX
sMtr7daFv01knOypPES5bOhPTqwPPtjXaPE5/ZY/F0Wk5M423mIT9xRpmA8txcn8dhzTGzVJG1in
Vg1In9jQoj8vpKOI3dcP9ZPRxOvFg05FEsnsoeokmlu8awCrcP9L+6QhBuucb1i9UxUi2L6+1Mdl
AKcTUp5VcYLPCBHR/lOye7BX6hwriAG67huFhYrwn7h8lnGqXbnYXH4m9mKfNuWwbMdOd3+lVW0e
Ifd8Mj+s50MGEa+LPeTB10NJZB5jCmJBxoqbbmdUCQ+DTQCIZa+2NxzhyzG9x7sW+GB0cNPUPeCd
uPSRDuYIKpltroDvClCkNdau70o1CwAUthVBcGn5rTLK/jp+d5kVFo0+r2taijBYYohZqsqZ2AOP
iLkAg09tgF+V7VYOOqsUpm3nW7YAg/LbRs2+oQYkzOvIW1s3hoe/noMw225adjaWtf23VnM+X2cc
8lRpYa6BkHVZ+nZEF5OUKjujLykaSNWsL+YYmH0K7hHZ+0g/nV/zu8MrX24ddTIErMlJH4/8PGd9
eAc/j80Z0xN/03cZ6P7PMxuqYKKBFsD6uERnE0oMJaBtPl1PEED1DaJO98YyocwGozop59MASZi9
mJGL3ZyBX9kkBGRkAE+87oL8F2KjrBFGGh5+Fzga0dfKmmMvmqsCpXdHS74SYIQ0HMuNgpAn6PXF
Kn2NkwNBjV6HEb7zGpKijFjMczAMSfJgq0mT4MX2uvHHFKdzcpkuNocEXIr5FRns08PQ9fpvs3SL
NxTCCaHy7OMRXTY6jjUAvMD9CtWDxNw1Co7nIrbcawAVy32kj/MrTve0u7TihHPN6Cg944XyOWtv
nK6WM2EAVmGoiBv4zNGPJXNGEsvaxCaCwBpPuszm+LpEcfkjbRT7JTfm7lWz1uwGVU1QVzrLUDwn
XQF1QXYVS5sTG3QSqLAWDObelcTdK5mh7JwomZ9ichDubHMYjvXoPvly4U64wB3XEg9C4/0XHce0
OaiWIBOw1O4Sa7niW9QeN3nSVafSnvT/YLpidWWXTC2dFffdL/nX4tc3Y1alslQIIrfEvZikGQxN
2m8T6enbRZjgDWPpGCTMO91vq3eGbaK1xwR063x0MLxpVWAOw8aDUO+92P/Xj2A3Y2YECStBNmnm
tmhKsRFABU/1GaiyJr2XGQDrndZZEkNykhx5Bh+2y5Qf1oWWbRWLG2mg+8/crZbSy3UXcMdUrkGE
bo1ITFt+91a9M7VV8or05MgMzZfxyT277HCQfqI2/TBfWkJRPGYNJUhij54l/UCIVf5QEUoQwDLm
yMTRanA39lRgotKy0kYSrZrigVYtaXPuTL12JytVOadPj+wPIoEOnNt2ZzNceYAPmL3yDNHZrP5C
SQDpqVIk6XHWgvkcPqBgDkBHjv9ZkDc9EzCYwOxPyE/yI8tLyfcGN4u52KsUv0XwBuYSwCEHuXJp
V89AjroeQFz3oFkUnEibmt3rKVa6b3WLxLTPIdT3WCpuujyNVAL9Mk/H8gf2adfgxbot6rFJdo6y
LC9wD5UCR/OUX5mDkvwaCkNmoZbPiQEhI2MnPfUFmqcJF22zmYeluNQmlXXNTQkh99nXuTAWFmXM
No63LN7ZOCXTT4AxirIxSlP9GU0uwIdUz3uKNiDTfqltNABIk8K9wyC9MiK7DLZmbzfD3dIRruPP
EHnvkNr3ZJ63Xfqzsc1a44jaTET6GKQaO0QpqDD7V2WX06TWdd0NGMZtVV1A/YCaI5QQ6SXFMjnM
DugNhbZC29vk0LZjZCrk4BnFBaHCYgDB7yhPuP+Tl9ZySog3MACvclk1TwSWTdjU6X68IrnGBDvY
ZA+LSLXetNxF8QsirryRSW9/a4aaAD5zaO8p8k/fJemWtD76CLVXhqppZsKeIKFMK2rGRwgVP0pN
J5M5GxWSAjqLlvemoNRFuRJC/WMCILMjMgHZst97KCR9I63chwwPXY4crlEuTWtoockt7LoCcCzI
6JAK5me2LVX1JAPyeJ07FtxAhMnaqenWpMJZ+VqrhGkdD1TA/xufe/Nnrvi7jPFx3iRoBLaXZq5n
cONw1wyvfsDUTItZjlkSsjKiHRtqeWUlJqUtfIjh19f7+PXS2GbK0N7DTeCg7s8ZZVLDpFFKFuSS
FMIMk9uNxXJ7i1RTHDkKfbw1fHRsSijPsJOjLHhwqbHILUJtmZ5y4X7HZJlfuROZO7EYiTKeqSH8
01ujvUD5EUoC/QQ2+vvX00ZjcGpkBgEgItsHUFGdVTEJEmVlH2PjfbZZZp1jz4hYAOXjiiz+++il
E1INoyHzoLEIuO4zHIjLanaVUxCFWuikvfltMSEV7eBaT+fsarvbKR/aY+7kT1YA11gfLrJ0VOPu
we7PqE1rgZ5HDoY+k0HcCRr7oQ7whaJN0o+EOfVDZYQlRozxyNP+7NImwmsqiBhi+An7T8AVhVYa
HvrbRObl2VTaw7aj9gdSaKzOllK2J4ky50fOQ5+c5FxkEtgsVKqWH85DOEkmixx0hhQEpWmX0ENg
4VuyGb0roBmyYRpkX+U4kLzl9emRte+TAc145l75AfyI95Xxr9Ver21N1HmtBLHjIP0V/cRBsYfL
WGc2ztSma358PaI5f/AUDzYYdKboV3P2Wr2hB2NaV4kMz8nLCMCvw5PSxKI+o+DrJvRBiyCl0pOz
G9hWEZOfN7uRRi4k4r5boPhJH3gY4l+IOyfUVupD/bxw5OpQ9aqKR7d3ncArkrAgBMkFSkgx6Ubq
x/GS3DiRyH5Vw8g5QVAivSzQEygBYPX4KWW3X4eTGYt4U0NTEdvaa+0n1dHhF0FuYaWb1KwzmFs8
+7Jkl07IAeavx9rrofMyA3oG4pYeUgLkR4vU4qyMz0eHikyIqZMyKwq2/kxrDRlvuiEumJmnTD2R
ilbPZD1P1OlSyj2/qw4pdzim+vRzQvtI/yyCqDpx+z03lLDeeZ5ePzsOBN6trYOsCpDLA2NLwaZ4
mznOiSNqG5doWzt2p2/ExrbXVYJumF+AtMk3jSUfNqA4lYfCWxExSTWDQiSsB0VtNyTKMytIT0Bk
Isng6MD1mRsh86XfIIZGrl2BxnqFc2rdCUPL3tjIpkRCtHEc36eZ2mfBhFntzZVpBKm+KwYZFLUx
3dt9moOZBNbW+lOnkfwDyQqGUdknEN+ypkwVP0NpH180k6relpHXDAFgnu5kokZIqYJSIcdBAVxq
t4xO9+qlWptusF6pjxUtE8qXpuz7Tc3u4ixqV10B2rIGtOIS6fTssHy0j3PRTr+ZedaYjJxwGL9M
5ubUaNizcLAiaHqjsdMQaF1r84VZB1NZTpLRtCP5siyuDZkQ80wPkZQIEOv8Xco0IgKU/s+inWox
0hW/j+JI34LAW6aN6dV5G6p9TLWV9qNr+bWecs9W3I4/p7IANt7hKCDYcx6cpzlVgE8W8KBY89mC
txtW1sLyNbUyb0ekgfOJPSnzrzQW0Ry4ijb/Bhxn/Y49vqZNYyreG5szyzmDcVjXJCkPTnoC6dxq
z1LKPMrGrt36zUCY1VGIKLMLXNTYsi2x7vQRraPprhZT/iA1az5vLLVKkZYa+oClwcweMTWbpLNE
DannLYg3wN4zbT6vpYF+oqet1W+lK2GQOMogNUIfrIUUapB4YWsJaQQk5qjcVzfFPZkUNbH3ra0p
lm+RmdFBZE9GC2x0VT3wS4o60FOyN3xNWWbjVFN7Mz0XGZVzxER9/M8PHMgUNVoSHOkRHnsHs5HM
PKAzrmIHqagoj7Q9rA+/oc8abwxgPKddjGgqr4+iaD+bBfHkcMDCePkRwhEXjjW7ci1NsYOiW5cQ
HOQQ/rEjuIPOnkWzwGnt+VYtR4s0nJpC/dcT8Xpjh9MwdiXi3ShxssM4qI05vYpRuMv5plOrOltZ
CZcxgP9N6iX/iLi6HuU41DlwANZNzJqisL+s9k3fxc5suoFH8BAHD2D9ISD6+EWxFrGzGsvYjjI+
5g/+eH/sQtFGcXHer3aI/aihrJnqANadHKDllKVBUjqY69vFVfMjj/LjEs6l1q0TgjvUG4dtOzkb
hdqOFKx0kjsucxuJqY5JgesZ+bVT8kTZeNvDE8itI6vpJzdpsEfCDeXRYcVhs/9osxRQTSZUHq09
aVdEvnIeSEz3+8IDPXIyPxDov79GDsco0/HXYV04bAPA34/Vwey9QOmLePzRyFQNhrEnIM9Liv7V
EZmZ7tLKsZHpcU4O2FZEU8jvhnXkLo0ifKOJ4SXJhKj00zypxJFzxycPg5qnbuGQRVHN2N5/GA5a
fKCpThRMeTZdEsO3nFSF0gemh+Tr64/n405RQ50GOHO1nbCcHAzpJLP6bFzMKHAEiQq6InMCkIFn
te2kXIHMGUP+h/4YTePjnMFVKSXjXOMIQk99/walQf6wVEwvMOh3xTtywKlnk6tFQqKumLMfE3t3
SrsXkoGu9+qtI9C4H7nzzx4yxx96TKtV48OGkWZBSTyEGpGU1JZvFcWUHySsoXsoaRTe/uOnTCMc
byquC1QEh60CQdnPtPPaDZJatt02wfpALBOTdbZFKlhw14n63eqj9sim+JO3S3mZuWole/AfzP3n
3MQWKlOpu4HwsjrEaZa9gRUB/9eVMe84nvpd2qfLPz/ssQ6t3pe1Pb4ykvcvizdTsWGjpyyaAAF3
jmTYsteq6hCtb39ELfHJnMUdUmxb3SxEqhxcrFIdBQgwuG+S9YbQrVQX7QnsuHCMZfEiZW+eGtbk
kDrlCSUNv36xnwwiQpDg0DE185APm+JOPpJmYGLAjKUb30MMGk6p7quXCtnDRy71ybvkmM46Z5om
p43D9iw2fBIQDNQ62iJr7QKPmBJGuJ6isKSQXAE2zZ3QzLroH38n4D1Ui+oxCoRVkb3/MokrKTDW
06bVOsN5c9S2flRdNzvVCE48+fpprsNxfyXfv9TBqzQmUugmnZ5pGnO2JyEqI6fNQnx15LP4eFbU
aSqZa9mDqjjbhv1bokw56IQj52FWJdUFobHdNdZq6wI0MeI2RGbbr+/rQ76NpWHRQdynqi7psWA+
9i84cNLKdIEt3RvbESFLVnpg4XBhmE3oLGZzFaVium+9xIPmVQ/9LaDY5pHmmthFNH7wsyqakm0r
+jgJgrGssjblFMGllkV2amkR7duvf/EBPmBdI5FbsD5ylIcsT/Vr/xdz5Mk47CvJmiuTVuhL4+Ib
MTNJf91SZ6M5Gw1jCsjY9IgEYmf5NjhljxcDDky2GUkyzHexnjhPKgKePujrbKLs29bOTwEvWdkZ
eRfdj6WR/FT1rr2d0QplG4H5dtoiEhq/lQvq9QBAnwvNybRKnfqhJ/VNo/cUEr6+14/f8GoqIYGF
wYdn70PuhVPioydCNTRnHcihXrpXs5s/A/jTH76+0ic7D4Q8LDqrlxE96+H+KhukUzpKHodk/k3b
qey0bW6M7k3vZsYVtezlplbb6W7gyHRlrkhg8I8EBJdJA+yMyNUwyaoSzWvk0Mz5+rd9nF4odSJI
ZL7WkAiaB5/50owFlMqUF46RZkfg+rL1GsLLob8t1xopwacpUeRHhtmB0f59mGGeWSUSHts/tML7
w4ywdZnNWMgDbZSmRTMg1y+JnFzaoKmmWQU2qbUQrs1cA5KcS915gMfTvejq0HqXxPnAvRfeRAkl
khNcXORszhNOnrTclQN5g7uvn9HHbQuHK6aOtYipIlg5KCwi0YrjARdO2DlUN8xe4ukU7VyQtjhG
qXtGPuy40arB6EKz8rIrzobe69c/4ZMpkp9AXREtNv98H2F/lblY4t3c1WI0m0tSbkWljK9ASZfH
r6/yyQRJnspKQFjPk1it9l9LKzs0BYC2wzpeinZTTJoSgqNLA8cZeoWNA6f9r6/48dNYJW6uuaIu
0Oaoh1EupWz0uhWpFaqDrHGLpsDwLCgGlyiko61SJ9pNgjpoZxFheupRcINXEFsqLePcEfdTEqsX
/ZLmu1Sjj/X1b/vw2vE+UM5EIkkz0wQZdvA0oEKPrcB47y4dpaOBvf/TAnQ1DtXOaElJmgnW8tlo
xG+zYk5RoBN8kR35ER++T34EUnidwBE+Tw67+z9Cxr1SlvXohvVcTcjgyuUUOTViHaDcGyIX87M4
G7Pw6zs/ACHyfXIcZB3gyzQ4WdNN3b8qQccTAdRZFA4dHpZNZ5pLu2XfCmdAN8acANzKzoxtjDHm
Ts+j5BW1ZfcbUO30a+qihmqb4bZvMJhh0SIe9KJN6roUvBZZRM96rcJEV9qFyIW5L6Y3Z0Iiz3xf
CHcbZ9F4O42muGUTmyIVzyRukapE2QyDr3R3bjpn5CHPxvzLsknXDLs+1m4KAl8df1GneDkdzczR
saZLCxS7bVW+we9Mbtgpj9ZZAQfRPrJ/+eQdefi0aDhTC2VLeviOTJDojSFEmDpZQ8pyKa5724i3
eJHOOb8lW07U3rGB8WFGWN1xNgdF/qWtq8v+K5LdbMm2brqwhVN9UlM1JhmPFLjpyAD82FZZd0xA
ODkr8g/WsP0LDZPdNI22cHeuoV0OLKq+Mlur7VWYYQstEDZ8J0+8RGAosAYcwcmsff96QH72hNkA
U9/nC2ASPLhZJGJG6zqmCIUGFKdKUxkyH0z+LDsjzG2zPUFSnJRHbv3DEYMvDwgP+leeL5yxg6uS
Lzcg2py7cK46ghsWzCilqqSndhIVYYJ9YSdF9yyqTj3iWPt4u6uuDMEGXUhwN4fLY6IAYxqA24bI
v70fOt0kPx9ka2ykl5UwITo984WWKf87QfX/GS/1Yf7nhtcBxYTMXzgh91+1IEHSsaIWKbYm8qsZ
r+RuNMCsjn2pnU9lNvz6+rV+VEuuF2T/weNdCZ+Haglh4owkTbgLCZhXZSCy0goigt7aVTThvhEO
mAV2JkrHB/3Zdn7hYH1qp5nufKrDgzjywt8l/XsnkfX3AM2isGmjsrAPHkCtOMnMmtKFipT1GhAS
CaMFb1gOMRnSRD9ukoVElg0B8pYXTgkweRImS1P367KNAIpRGTpXRT0WZ25rGHmIR6WbNg6rg82W
2i6UDTOn1uwAsdPN1pUleV3I9bDPEHtn1xM7xZ+KidSfLbauUHtaAXUippobtLPKdjivU3O56IYl
+6EMKDE2U+qMY0BSePct1ycJQcVU+VEFNJ/rZCiiB4aN8WQYc95vLII+v6tKDj22gI4Ct9HUasuf
Y7U9XbFN3a6J2+QJx4V1tUyllIFG++rEW1QjX2HWbR5iyTCiwGpJAniBFZOLcELKu9PpTRD0hW6Y
rh9eVi99EF6X7pwibTW/SqekPolSQ7an7I5jkrG7uTw1OB58w4BJ/R8T0GKc4CpAHDQafatj7B6c
Exq6qouCpJRv0hMCXHibIp/7ehCue83Ddw6lgiivtTaIZmd/0Dcx3STwvnUoFDmeIFpyfNXMlhOL
av2RdZXawMeLUeGjUM/xk4bYIZaiXdPM4bGUIfgnt38aIef/KNxK02gurFo5ZVKcXxxRI7xBczr/
YHdk6PdVpxSSPItC/Z1Z3TyidyxqlXS2Ubxpeg+4xlWVRZ4PUdx/yymoOqdi1Sae4UWd9YupqiCw
Q6NralxAzvgAhhSysLClbQaZuqgslH1e3WeFaiR+06JQ2swzx9JgRJH3zetsEN6rAt+9EfA8y3Am
0rWE7JOpImhVA5vO4ODeGYeuAR6kYsDyPVBSRMV3BQIocxos68IiPLA94cDrXc9V3r4UaYXhPdeH
XN0UyB1vNSlVB9K9HhNM0JvIDy1vUO6J33FJE42T+oI+J1B2zgBde+a0pCQBaqa85M+MO8uPrbL+
iWMZldnQ2zU+ojIh0sCabOfEq7t43OYznWjmHCtmW5too1+hMjT9Nep0CmTBSSmwyekwttFQsrgt
S+tQHIbadZKWNhQdjD/aS+okbflkxqNhBXMP5M+nnKyegsYaEPXMVtZskCoihsmVRHlhOwMh25Lx
ykzo3UeQUAxpr9JS88qEU2X4JiocoGqmJaNbGbeNhkIJl6+PxqH/gf7eHOnhGOlrp+etez/nUT/v
ktVojpRnAvNDmI2Jt4o+mHXWGFPk+UXML9qKpIvyzRD3U0H0D0HH12LsCQ2MHa0IZYS9Iegzb6FJ
CG9g22XpNAZS65Tp0tPi/PtsEJKxQ6rQWDh/bRk4k6jwLtsVZBc1Mkfh6znVOVKzbOrmnqWAt5Gq
7LIdsY84yKNGRmwd+Qs2n0crauc1ORwSdupDHpSAnt7oOWbuFhtmK/y6sKxnwJneTOVbo8UZJQYE
5MhZ7rpWVZ8EIo7ON8eYfIlJ99InSyG1KLDmrnvICZbN2ewN/Chc9TVzRu7IK+Qt8S8b90S88Yao
pADTjfFL7IxQyPi3huQ+rFTeBkZsX9+u0N7i1hjsRd9Y2YiWuhc5RIVikk9DOlgPX087n8wEq8EF
ewuyGPbY+v60Y7SAPmy9G0IqjNPd5EXJKTE6L0RdJbfUEI5pjD7Zy6ylvLVJyN6exXb/cjFx9bJI
jCGsIh1sFl0OznKz0ubUH/IhRFTTbvF7FqcVirXrr2/18NoA+3iEwHjWUxTex4MdZKpO4CYHpA02
HtPbtJnmEL9R48uWJCx2lkBW6MYGXc3U+/WVDxCxpLpyaWct9nOaRfH04bYrQU4DmwwfeZ72POh1
8hpFE4nLpsSV3vaWYZ+NiZG+RKVYvk80+jyyXhvvKsqEJUNmXNvcVF0k7r7+YYc7vPfftZJJqQq6
wLcP3r7j0oRQeoCwIuvRXrSEOK4O3DSIxwq9atdY4SjxwB7Z4Kw71r/XOi4LaoFjtudRSobetT8K
nAj4p5fwOOwyyh+ryk2YbRSzMYJ/fHuEI4CsoiGAi+2waE1ZpBUMBq4zq+Rum4nL5wmwx8DLId1v
haTVtVHAdv76+rqfjLS1pgQCG5YHI/3g3Jp7sL7GnusSRgVnrRM9us7axC6tgZhdNFKWUtfc5Aix
j5xQPj5ZnI/r9oF2NHjx98LqXwUadmccV8nE8ePMGS4pzcr7NiWl7Ov7O5w0OAvQ7We/zFPl8Hf4
/oYkk9w48yAJUkgZutE86az0eVn68SSZ+2PZwB9HKVtyBguVOg6AgHb2hwvSXW8wTCqRUEmrghL5
0G1zvY9PMkChd5E16WdCyZojnZ3DDdl6k5xrkf9TOGecHkwXZTMCHIEa7i9drm/jGlNoXaKCYnE4
Vn769FLMSPTnKPBxAtm/wR5uUpa6BNAP1ER+JfUcvcxZoV1nHEUfv351nz5Ljuq4wqACc2LfvxSu
iIlHXUOxbAj6+Fayy0lCO069KqzYfrDplEW6oxBUeUcGzac3SbuV10ihm8lw/8qSVD1hipyPEany
DvFxfu6i+t4ZjXPM1vXx+0OoYKxsGUrra9j3/qVgmqCT1gkNjKYIJqCJlXzniWXcGZzfXyHa1mjL
pOVcmlViH1FpfChUrOMGoMI6UDm2M70dXByKj8DL0SFmFTq0A5f4RtZ2ssV9ETfLY2raU7kl4U08
WOj037yB1oJvQbLS7r9+159MBrQ/6deBsECb8uFdR0k+zZHe+XnZlddE5UWRT36raxx5s59dh02E
u0LkIVgeHl1ijcYCAlbGlFmK81hXsDnp6TEu8GeTzt9XWX/FX1ObU5Au1aRcxZmH3Ne0lJzCLkI3
W6OM2Q5eNL5+/fje9z77yxR1FWov8EWwnqEZ2L/iauhVECF0CDNK/QHUpJkEUaE7KBPc5cfIHHyG
J0DLNrM7Gac6iUsk1BjpHUzY8sxJjK44sm5++ghQxqDGgT3HjHjwg2YFewCeM58jd/fdBuh5BkBI
+9G6qLZRMRAj8PUj+OybZQ9EPZHPFkfHwYdkDX0pqGuTA5IrKSg/8gHZT+dhT/ni9D+4lIVThbAf
ZqdDzMHSO8tku5KMqkbpt4tTFaeJJHQy06Zjjd7PpgfOvrREKZci0j6YA23SVbM+Ru04qATtBJab
Da99shr4lZZjjtOX44XKaWy7xhvu/vFt4id8nyMQvRiHLfslk9JYM3v8EdfrJdU09TaeHPoI/Vxt
v76UiXGaAXEwgulosBVg80nl8FC8BcmgxDafkuGIw1Cco7p2Gw6utoDijMDxTgCGUrexnejLTmjD
8LD0+uwFwhVks5kJZP6tVveAiHNbeSaEN7qvRYQPgdooahmpRu0UdG6reRuppVLuJGzTMUjhZ2Cd
GKzmBc++2WwxhPS/7aqaif9chM1xbEy7W6k2moMEsjFfYGLmL8SNZvWJRHhVYIlq5ps5xgBCBIC5
btIzo/jNnl77XrkCbIpdNO7T1Dljt5NLnT1xvtFrH1EqB1IgifldahrsW4UepTcASboEI01vqpcd
kvjmBCHzaK9bzkmQ3LuIl3EUdnFV2I6ylTbaSU6DNiJTsJVRRLZmKuzdNKAj7Yyc/nziLW56At7S
K/3MrZwxUHVZ0YSpJRAYoo4gkyu1ls7bTq+LE68pph4Dh+IasIplG9+KMaaJ0xrxcyWqgVTnwapD
vS6JMfQyIKmBOS7W5VjH4+Q7kz1eLUWvKQFSXgrbikcw4jko+MbcMElkvyurT5RLlzyqO7EYrY6t
xYnuNdGw0RyILJoxNRGBvOlUUAJ340LgcuiONT6gwqrko3Qc4odROg2S/0ubfV/mZTQ4Eanm1lpq
CwXnmHSX1aIUtb9oFb9poOtPAqKzpK8YVGLXn7UcSo9Jjmh33fTE8AWVF1fNNp4aT/hMHvoV1MI2
PesWq7pKHSfiThOsNbGllNa2dBn+PguU+VRjdnmeatV8ygrXy/wo40wHczuTu5IF1QhTjUPkSTGD
xtlEZmxRaIAmwzbbisQlrQNJNlLtUKU2Um0mezQRVnwG30uWu74xmtu4iqPHsVw0C0ljtzrTJgxZ
WwKIvMIn/qHJL/8XRefVHSmuRtFfxFrk8Eplu5w9drtfWO0OZJAQIKFfP7te750Z21UgfeGcfdKe
jW9+Gx/cSSb9Ysdf4R3LGefNHQKxmISYcg7hiJBRKvJ0TcBvRKAInf28KH85F6kilqkq0r91bdkP
iMryJXh2zvSla5dGESXjJr9gZcjoGMOobfLuJpPLEduN2evCYGo71Rn2s8uwRV6zh/g6RqeggPa/
cxyz3WlCJp2zD7jmJUXY8FR0Deuuzp3UtWFi8ao1aa77EI7hT6LgkH77OgySEzlrXQupe46jOy8t
EKsbQ4t5QIG9LEerUiAV0Rqp6HmrU/7MLllNd3HjMZjvqbWHIE/wyL5GTonqOHXLeTx2YLPrfF1k
8XuJk609h7KYf4+FP3yayLfVXjs63PJZmHo8buXm/auauLluLtxUrF+VBLaHVSAEt1OSEDIwkHhT
Jc6yHLFai2Mw6Nuz4VkccydeupeiFKBkWAosd6BtdXLqbEwnOYz+8E+RfUZYT7zO267vYoTrIMvV
JUmgCOYThfdwBAmsLeGhXb+cNVu4feZtQ3hoq7TwL+0GNeH2Uqy/Y/KqMem5Wfua2TJO90Dl9AX7
rv5vWp3RhcfZFl+x4VEhpboKpstamuovY4DtC9lbLPfoSzQ35RYZ51zwTbt7kWYOXop0yV7nGFr6
wS+rtrw4ldWGnaqDVMUfhESfkWrXwy67gM9Xkw7dcxtAMTowCYLYOmI28XZ688TAImpwSFa2rm0O
WAZK8m/dcWBYP1QNkxRod80jnPBGn1S9bEzWELms57poTHFP3qeeSP31S5VXiXSyXTmbdb2MqdNl
JzWrlqxVU2IecjYjsARWBLn9rOrSdO90uOEf8OpViZu6mkZibVO/q/LWjpN9Ufw6+pAGxBGe4rEz
/RXPRmJOs+3L9J4P3/PP8SaZ8pGi2jXz05biir0v8DsW7PKSZvwTB2vc/yirbuBM3Dbp3ChDcdom
8wlQVZZ8x3Wp0u8SRjmymbkgCCQ9FCX5HJ8+9KFbSnpkGdvKECvW341yUexT/IeTc3KrwnhOzqCT
tVZuPF9p/+gIIum3fCiZvDPSdtu4PdkkUdWvchvZ88+BTe0fx1tXGeHXjIU8F2UE8fee+FHOLKBf
2ey+Q133zAd22wLkFDnw+hHyRD3/gXxV+Z8OArnu3uFWCXZKxGXxbwpGXS1HKJ1Ng+4lnLbmBTei
rx+MqTaSxknmmVMHxaTHnPG2CHLGv3Vm/QEPC5uL5W1o+xpqGKjIpNu3qWWjMZHK/WPEI+4KHh93
KR8bLUV4xuplxisOJWqwfOkjFbynvkN+RLKGywrVSEPier3t0NEIjX4bNNxXWFpScZAhcNc3Pjfg
rgFLBfWUMvcundwSL87nhuK9DLcd7WU0rp94gsiqaNwh3cTOKDpm+LUYaYrzHLdz9Tj3hBP87ZF+
MmXSAY/+Yyj1BgiUdwOHgxvNrYPll4lN8zfgNC2n/Rps9Xyp6KBvMO+4f1x9M8/niYwMGG5kJor7
dHRKmHxZn5V+sIvZchRPmz8KBDoeEWg4RQfBjh8BXBXilRVEXM8PIZmH2QNgnqQkzBAaKqkCwZbB
YNMTgcvvvar5UnZl50D6yWeTLeJk2qwx57ZfQv88ppEKL+3IHvwau2PWHEXs8SaE3a2YHZ0A3IPt
l8Ut906VldUfsGJr+ShY/fk5AIJ+3eFk2cLcXZaaO9qpMEj5wbY9KV7Mbk+mJoUpUd+jf4x8TT5j
MCZuf1zMGECP0IWJZN6UMyQQN2x78iMIbnfB4w1T+0x4SnC7JRHTQAKqQAtE3tI9FXpqMExhRP6o
5ikAr7fOEbI4GW5PjIPL4ObtBXK2rv786VpvXm+WGh3uHbfUl8L3CSofpsQUAEZZ9uzrNg6ets6o
H4GJtd0toUNaA71QYe7gRTO1XzomfnlbSx9EdZ9WxS5OZogL+Ir454GDld99NDYuiYZrOZBLZLtr
0NZ9sw+MGO9nx3OrhwJ00Xawa1E9rZx7fHDkbP0X+U1KSWlZA8DbpxBmSzvIjiVWwr+7Y11McZCg
xRjg6jJT3TUT9vWdKJd2hEKolPtTtKrHkjxneIwoFVNJdg9BvEc3TtfslM4sBXIQgiLdJ/PIyTwJ
WfVwiBe17QoUQ/O76GctT3AIrf6mdPTDPCjDrvkLg4JFTB8iaD8VylkX81jqKmiPtrRktOSatY78
kQ6wVpMjkJkb0aqDWnCQbLs6RBWQm769dXK/BPYED3r8ILeLqyeNi75S7Cy3uqmTgzuZAXh2FUki
vZvUn+8HFTVnt4jq4W6dYGfkHniY5cVzcYZRfyNkIqSzGOwBNg+5ANtsNnNi3ebPFLYJSctU43O4
r8se2wXMO4azcW9wsMXeCpa2j1J7WQZV2X02DpGH226iLoMgkkzlI4ex1z76mriIl3oevOFpGxFo
HhqMYeNudlLz1sNR686oK5NLLbtK7ASMV3sKa4Zs14zv8RR2NuLZYFG2HKaW3uVljLcgOFRCpneq
cezfRPjOi5G3unRgj/fYRv302aVJrHLi/ShRJEqUeCdDPKh5GtR2gYkREEnNwuo78jTviS+tiK/C
zmI5jG4f/4sJZVCHINayvwvaMfm3rmiP9iWHJxiihDwW1F8BrjUKXOghMB3rPUvK/k1zTLyGCufT
XsUTz9DY1wOEymyAoKIWoF37RK4+KiL4R69G1M2IbVyMz2CYnfKiKp+bVpDOUNxxD08ab99AFTtP
ZcmRRVpltU+jSpqHDFPVQyuGTNFYOeCeOVLluEOuMaCArXv1MxV9+8JZntocwlj/YdqWoR5vQvVW
iIj/6AL+hfC9oa+pzFZMewfd1IoyrgQJd4jnjR+vsqw9O76nk5wFkpbHtiWvZk9iG+2YP6TZTsmo
83aVKdyXqm6gJS0VmeI39N14X5rV7T8ZzymkrNBvdhhGxXTHO5mcnMWLgq+46srq3IaAxvKGW+Zj
JemXEAETWbXP2IIBLAtt/XOOyTYBzUi2CShQN323pFkgPkCBXu+YAs/zXWcW8b0GmeUXZo2XEDxe
pfo8h5wCfTNmy1EmE2KIuE7sBWNw1r+ORVpdvZWT8bBNOA/veDWL4cK0Y+zzULqlc9WLleqUhqwQ
SK4ZJu9E4DNisWib1+AwJ5nofygfrMwP0A1AEYdKDs2H7p042zmWDTs5SoPs99UQZAX7bDn/Agrh
DphIKwJmdr1eRLKDHRu6zK99Ctx0ED4EJXZ96V01BW0L1KBypx9NwLoiL5O6+OFztiZ5jHPovxBI
KJtZqz9TG8oPCUb6kTgY+4v1VtNdUo4OqD8rTzKSwGjtb8zy4b+kmgtGoDUfHhvtav7lLEmgyQ6P
i3cdy/QDvky2nstZZd9pMVt1wl24hq8kPIfRQW5++BtaqIn3GTrw9MIxzpF6oyjS2redd43wD12r
mKIq56JIJU+JcF/Xnob93MGACx4rPc04UtOCT5o84HF4QAaytGcdisZDe72I6RnVUTpdxVqbU9Mb
5GxxvTp3fJPmNxrAVZxCZ9TDc09hGlzDJVz+VX0XTnggo4hNajonNcXQqKCPQBZLcrgnzoYVs5sS
oPWwsp8KP3XaCy6S9I/rmuy923w7Xxhm1FB4mm5wHxY32y66bqGoRE6YrqdVAf1jUhN1pz4YdHmu
R7d+dtZem/t48Gd9VqlXHCtGMvOVjLqIbfxN2VJqDG33PZ+OzhsQHsNpMN5wCf0kJgtwCIL3oJT4
QOdgbusdRITg03PtKAh3Z3CbOzOTxN0URh0zAhX4LT89QvvLhpWmYgR08mOBzA19LOIZbTAV+Qfp
e+LV1zIYdtyZzr2ckPvvdRJMAU83PximmZz++r1TULUVcx3ucZ/V4AqWOfyKjGn7C8S2iclfPAV3
PqbsZIdMxATPRi14XPwkLU6R7X00yAi25sOaFfx5a8/DhEZVcbhR/5nfXlgRRz3KFf5gWqb137GZ
tvIAI8vckd2DCzfvvDJgdlwhErl2Y4F1OFxmRkU4LyIuFIiq49HdYNKeaPLmlD8cvRKyJW+Q831E
8sT4CH2tNWdHskrI4ckkHCZxn00PHaqDe9820T1W8sTNoZou3kszKmmPDL386LjG0/QZGIh0JGfD
0D+6TArKO78ZZrtP47IbeYzr5i9UJfhYsxwd0h4a4pFOKzVKfzahkdElLO1W3zcwgIscMEsR5h3M
aABEvVOlQADaTJ4l3tTTsoHdBexSeKhSMrNGx7JYKrlLuTbsw1Ru60zs1ugvH7NDnXiw/DoHatag
YJBRMOFaRUAEFvvcBF3SnJVYm6XL7ETxo+GvO0nyBhd5SPK6KrGel+PCpCWtSgmxuh2IkPCB1j7V
zgAnsg2iYHoKqy05t27XTHvmVt4zh3j3I97Ijst9Ew7flRP2d+niq5JoFyQqF6GpE5E5oGjZQ+0L
Scqd25/8to0LL8/L1KlhRvE1aRG897x966nzpSQUETHN55BttcyDQE8Pc8jl9E/Pbvif6PhAYFHQ
raJvTjFArzGzH0Zo209sIqHKw9X41U43vltfnYkPK6/WUV/I11Hjoah872VpWtc5V5NIimvENgBc
aT/G98PUWzKrBuC0x4wwhNe0d6YMMZjfTDnRaQWxYhRCfLdWZ84fpnQCIGLqCfWUhK3LkbeEpT6g
qEu7/TJ56g2+mPxrVyrVHdjePrrcYtr/cye/NgfRljY7pFw3Hqd/ul6NUDNPPu/JCVFJR+jT0C7f
1k/0uJ9RQkgseBo4AVxf+zRLobrLmvgJ4farG3z0Hg7wfUpKcHEOSAB5sT4C7P3oOtTI2nHlflyr
asyXpmiJ8lJVRtrsbEoyYuwsA77Wkq9tAbn7JJKZ2SGPD5SxTsLI3284Cs56xYeT+yJgQmkGFyVV
2ErOLHi2Q4DrY9x+rU7kiF1TdBrVTDKiVOkADrxuui3a3Yrkzz3rhtIGu4hqX6BvBeGRae30PkVt
R1gdXzOB3pXDfrOupvQPvY25QEkiUI9Zgjj1uC6zXTZ34/I9Zz4OxVG5gbi/Bdk5gCm24F+GC7TY
qa4KrwUWnj8pg2H8U7gu/luWor5Yn0TVAyVDVCMvrNo+Txkh/gtahmeHakEJuZuk0nJHRcY2Pufb
b5fXiYxFe5wnYi72lpPiElJMk2bPEfieFeTR7piPq48sGMyribl6uo050U6Wk/c+gjEI73ojuhez
abiLMUXBcnRczXJzs2k6ndh4qifkjJxYHK3DEz78bEE7OA2XlCWgj16MGvIhMr09aVjM9AkWuOTB
r5r50x/kqC6d7rpH0aliyJMymteTh5TtnBoQCHf9TUBCk4PcjGFXB+Qo5Y6YclPo/s/GMH1j5Dz1
/m6dA8p5oHqmyvvYzsUeT6b5TFs6lLwlB/HZiWsAx9ak7oOEsT4f0O+YX9SmXbNzZ1q3fUKN3+3A
nRmiXoro2Rll05/KNgn/m9KQYd0ax43dFSRHMAYGuvwLg9btq/ZtdIgdM3zd1h6o+uzQoHRzFvsy
hD0tHCbkxe4tsehrrmwpnz2n6gtqo2ThRRB9ckx1WOjHFfcFeiFlb0m5S6wel9ShYipT2T5Q1mAO
UXXtr3uT4ODOM0bn77hH5PLRyrbnY7Lkor25NGBfCPIJUBVBKKNHzNfLNRwdDQE/lfxuHHkCGVtb
TfZfN7JmO20bBME1LWLLNsBP66egjnngGDaLvPGbWzFdajmeykGpA6VcGx78oCcV1W9a721G3jyQ
EloXZ8WN8kb+pH8d/XG7AVGWcTjcKPD2xckq/9iAjPThBVkAgp7rCP+hXJzom+FgJC708dGDlSOh
vdpKt87rXgc/o1W23wUnFlNsKdrr5nWARCi41EcXEAHCDgchXaxHh1e/SIjKmzcZIvbr01oh1y1d
AOq65/3kVUXsRZAlvR2/XXLFUZqEuC6NfGqGMmqfvChiPrFlREWiU1AprMOkI7HJr1L7LqaIykJu
GzqCwgnYx6DgK3YALi1UJ0+ASGHqwctDp8UMlJpzE3kSjDalfGCRcYmaTaDwLq3fnBlSr2/c0Y63
b7dk3A5xZdf6ShQD946hbpOPTCi35roSckmUO+J5cemxJQX7qPG3p6Kx/U9SPOYjwgqCZoLU0e5j
qBo+tsH3gaS0Yu7sg+mD/nONqMA+uj6ef3VrHUWvXRAof+/O0eJdU9kPd5sJ6/Wgx6LkjSoC5Iiq
HuI/XZuVyA6XZaweKuHqh1kp9ihqypYffokHgwmkCl6IZrVJPvVK3ouYcS22wso8jkWzLm8oIesU
VWZHeBQcdcHmpiibu9IAaPkvg1a43L7WuNmvyLS/gkT2qFvphJ1DsEbtuzQ3BbpfhyL7DiaGcaVh
QPOhdZd+GmJX1wMxzBH7sLgwpHuOZoFnY4JCnGVvEnPfpe3wsvGAbneBEMV/aedN4fsw9oncVayg
zVcsmuluCvHFHVFf986un3zDfG5FSYnYVq4z9RJ/CidKJ0hslrGTnQvGxM4ZsXDgPABObWEIMEr8
FTdBbE7lFFOWrEL5dg/pb9J7vUbrdnAAUf4Mllk5uedkA6HQZpX1UWq2aXsbBtMHI53MOc/tNn17
A+uMRxH0058Y/sbT3OEP2HG5c6jO/ua2R6SYWuzA+MsXFvENoqGyyi5bbWv/HVcjyyQv8DcYyGuS
ZJ+GLVp7ZqJs1ivYNfXW9WzNvhUwzObGcRo56OMeCA9dwEb/d6OarNbE0b2f8T6dy7Uuw2ttRSQY
O2ZVfdlCs3XvoAenOqeIkcSbBfB6c0WDlwEUXQOwO2uyMcyO20cd6XB4ycgZ+RdxNYi8ReDFadqX
znSe2ROKc7EU/EHc+4qPBhlZdEZ+gix4nKIaABJqU8gvCWMe3yuKe1Y+Ef1ATTRbiCgSlHhNkNXO
zaT8F4R0HPtgAFN0iC06012QLeNLERjzJJtuMjuBT7XgBhVZvY9ZUd0ogtpb9mU6+ueb8mshICxZ
6mdWri2x1zIsfrt07GqH+40kNzXHk92lsTc91vHMiLfyavuL9S8rwsIsEenfjBeZbbNLvk2SInM/
xusYnJVom094mpwcfWPL36ofi/5Az80/rMO4INPOi32bi4Xp+bHp0+KPxaX8N6wlxbYGeE2dPkQv
IcAQ+QiumdG6wvB7oJx0qqOs5TC/RKsWZ4/6zjJ9JJMjryo6piOz90ic+FtIQppNv70FK57RV0n/
LU+r0c5H1s1AebZVZt6p9qnVLrdcKpW3OI2eU7YuzQGk7Nge6dM3DanW0rIwTZrdQ2A9zkGrlLf9
CDYjWSZmA/jHJe0GtTOTaAyZycZ9XSqT/FpgUDa4yG7Px1A6mrA3dx7YgVvttfsVad4Pd7Lgw6G8
dr8Hr4j1YXTGOSCgxY1Pa4qKes9/snkrpSO9t2xYhxW1surUMZtkoE7+nGxMeJaANQIcxSg+si4L
G8b87i3MFpkWYStjIYY71k8wF4uJnOljKurQ3bflWG4P2JPTJxtsSHE4nNx/ZBF3EO+Z1RET2Cz7
oo1NfGg4Um6jyB5y99jymleZuFUBk8Y6ZLqAEZZY5vTaRqlwLoHwxuYgmAiIB1rPckEvbWjkgz5u
92zzjLjL2pT1s09ryq469dfxsHIJMEAuHQZzaz//mvC7sPVNh1mQdO1DuvAWX5A3swrztepJce8B
mjkh+yTXdpJ9WJ+zumzUXch+k8/Buz2wnTAl7C9Kr0uE+rbeBYlmPqbGQoGtGglV3AVBMYR5M/rx
eCwqvPO4YuDy3GVcUChJAstL7wy6cw+dXMQjEavsI9GWVCmZu6P4on4GdEaj3sW5l1CSYdkbx9eh
VkV63+iELshRkdF7cgCDo4gm0MZ2SDTMqUiK/pCVBYmyc2TK+yxz2u3qrGV9HZW2KHdnnxVeaG7m
B1XKZTxzTRH/7Pfu38jf1oVQVBSqTHJgQt/FndfyvBGLBX+AhkYcUPqrI4Gpw/BlyM0g7beN3Ecs
jv2ElnYgoTn0J4/5KoL+W3I3DnHcRdK51FiC4K7qqMP9EITVW1uHnXckxoVdFuXNcs8qW1cn4GWs
7Sy4LxBwCh3OxSDihSC6hTPGhWnoJjac2/pasozCcNWXC/9DsbKLD+y23G190tRHamYdM8MfaOLo
s/Ql2+CO7liztRIenLWvawtgc1/eDPhnYjtr70KITPQBO13faTtvgOfZ1ZeUTIvujpsY4Kt2NBMx
bbUn/gNzID8GMufxreibRGFN427eF7W6JUCxt5d3DgvqN1gmMvyPblCJ5zAwMvnL3L1CJkD6ArHh
DITMvoM/x4wHLSJVb6nH73aZlDiVmfIp3QO3uGA5KxMSOgmzuASeURifEKUFe7bmxfYvdogRzlea
oDeUGqDzbKAsKeB4dmmNZJYd67SKEs7TfvPPXSfat6aU9c9yYY+8q9RYIljwstXuQHQ1f9lpYMCQ
ll1czXFuUnXcrJh92L0SIQT1OLJFdlWxyatszu5xHBvG6pXcUEj1EZqidRTim06BUsCmSfd7ZG+2
3vJEJ+/g9d5q77e2DQ5b6uv1aCtf7iNE7+JCr7GoQ1cui0PGfBLf+RAxluNacZbvkF9s3HAR8Sv8
VtHgkqMcWhKpNqxdzMaIes9HwdEmOzQH53UZOa8J+BmeUfPI8MX1+Z5+xsJ29rxwlqe5ctcqfmtS
4ScHp2xYYZuOpvmRvQdnHZtlhnC+IgYnF23RTQQPOSFva9yR+hP1HrHPYRd8sDni6u/nppw+Ys2x
/9mFoEKoWrnzud+Dbbdks3ovh6loD0Z7cQUPrhGfUi/J8lAPBHhcmLKw9SfxnT/FumkX8gVT67yU
dYDYwAjbfG6CLLq87c1U7jNRNvLa1HUT7AcSNy7GUPLcpNZtuvNl4XHVTk7yI2SUwZOFOKTfmZZS
4ujhkvLyhP/zl9RQiJmqp+57PJr6j7tVTZkjOnG/R5XE1X0xyaQnoEvF89HbhHjX09b/TUU32QPu
sEYTfdkvsOqCVMqDDqpt3dlF18Gd56nyX+8o7OcGpMScN2nvvtIDoT+fmXcDaXRpslY41Aw+I2/m
/lYc6buhKIQ+dHoqfy9Io95nlPSaP6Dx4n2KuY7k8hBk+B5vSql/ikSNb6tDfHHuW+wxRxNuPrqC
qoYNPaoZDT/zpc3du96EfsBK8J77KrRVfVVd4hucgOnM2rRUDO8lo8krMIEBZREuqX8yWXV7nGsh
/5vxTmNcJAnkrY+F5+XcPcRC0CKX/tUKjsR9QiSFvZsZDxcPclKM+JU0TnIQYezon8tKxvxubabF
fWD9DnouHIStD75TdE+pGnzDpKrjFitwTq4vgAjjeD9Nm5Z3jXEoGaDhhg9xESzbAVjWXO2taTIX
r8wkXIBN0RzvJeuaw5iKiZTcConbbT67XYdUefFx3VYv3NWjFNthcJo4Zs+3dR/OijyQEcHCZ95q
FIAvRZ1kHNiLiO8L6oS3IggRfAUZstWVOQ2Gk0LG+phlU/JEGTJ+sfAKpsdUtc15dn2jz2DhuM23
FnAvyZTrcMAxJp5IsEn+xbajSmDhmt7Sx4PwaaL0/WJZMEY5/hgENlHn+3InsYmnOYk1uroUIRMm
p/RT/bcNKrvlDeoQtqNamHZPlYn0RVlWIKJXN66THAiar6Kl/hm5ZZOy8HBpmXJ0N9SgrkD6fVhY
AoK6L7aZSrRjWXMYSDZGAcY6/1X6IyOuWQfqT7FxjN03M/KMfeF13roXt06SVrYhFWcjb/VpwSU6
vUMrzoorccXu+01UavM03Ow5Zqqs8MAm6ptVbR88zh3hkntUM0V0cKhcr3Zkj7rztGOv2E1NmKOH
yCIMvKNYrsaY6a2Kogid+Kg4gggd4fhL10g8jjbewKPLeSPsTm/9z7hfIoinIHO+Nazvxy2OzDse
xLjlqoxQuyOXaP+rqmItdqHLxBUlk5s+M+MP54cq5uLJxVRlcb4s8foHnDojee0EpT13ftU+bITN
oZJil89gA8NwSVJ5B1VkKqD+VB4bkP1GVvq7XkFpHFFET+5TA5+n5T0x059hM80TmWoOj+TAaQ/E
s2uPHoTPhgUik9jPbehnla+kPSTo4YvtcdRWT7+j0ZqnBZ5DeqK4L7zDXMxrhobRyX5a0ZIn6nVu
ylQJVZH3OwnQCh7aNRhPbjjrZbeA8aH001lW7TiKtLpvgtLMbA80q+Y1roMn4UTLL65dve1aHkBz
8En++ywb26I/UhkjlSFzTXknoOey8ZR99uiJJQ53W5GyWl47v/PPEO2H/+i9e1bSpi6fOARksq/Q
+H6LLWm+grVkGH8bjn2GvazIHh2DZFcyM+JvBs/Gw9i26bEgPrCGuuSW/3VuNXrnGLKpRj3UFZhb
xciBWholX1l9ZHkB45Od7qgChk8KVSvlQ1r9wFXdqUObZuK9AIgb71EMRM+IYxFyefx9L72Ksoij
ogRRsUwyVA9L75RfDFiJ0XPreixyomg5ZuOyVXcAfM22M2Otl6NWxFIw1WspKWao9LuFoL760Pbs
8g+eBGJ260US97VdutFHrma8amd9p3+0WRv8WPBX+Hdr6uk7mjafO41bZT35oQ3sCwmOw68m3Yyz
E/CamP9kaRkf62VNPiwm+ObR1NYv6WC74SvanGQ5mJiPhDO2tnQltQKzkWzJzOCn6prl3CzYe1FS
BOWFWXQzHAcvbu7jAOUxO/GOK7XbNqb81nb+L8eEmXMqO2L6Dqxj/IeGIbPDU6onsbdVGvBzNt//
Acqhi0/o+vXZpwm4tfuTfIZO7gPeiSKezBQR1tfc9oxFdRkMSMe76rWeEvzCclmi332coDjqlyH6
z+sH7w1m7+qgkotvPvlsxe0iE0qPo9PP0Veyzt3vuvbWDwKy4ngXj3y81GmOZYLVZGsOjNb+W5Ga
LCc/ltA1FISfa4dm8EeNik8eNWucBHXHbe3MUm7Byyjx0iHwpmqrhxB4E+IsoumdQXT3wJs0wb2g
G/4Li8DbsDgnxjnZ/rbyz9hsv/Roo9idFEn3gYInHFEjeHxQfh1HrIzpI57raC6hfNSZ/rW6DaeN
gxzgWrgoLI960ymZMllZfhXt4qKihcHaA1bu+i13GjbvFI8Zao+yFs2BGWn/o0fIiDRr9rptb8JR
IClXNpnPDEiBFUae8pkaNkT48lgjLq8dBhVqGlIkLSEomJ1ZAv9cLSB+z9KLzFPMSqPZzYh9klyi
Pmxyx1PTdDYDl31eRhtLFxeqV/actIXzilwKUUapZmJ4VnZ0Q77Std4VI/sy9FW6RvQ8u9S7RG7z
EQ+OCE92msNtP08JmOEyKpHToX8goBR2ZTbn1VSII8P/iaUS0cIhvcRarj+zLpa/m7BI/qIHSu6D
KWKQ7GnqenQ6dQypncjS+VAGxvdPCZ/Be5LVfnhABLdcFhd56KNi3vlbS6dyHxFjROudAnm+PFWe
SF/Yd44kC62T/9zASBB3oGj7n1BBBiRXoTuDiXb08uhjk9R5uwT1FZHJLHO6SOeDDWGF7hih+s4X
MTeFD1r5ZRRgADRBQtlvxIbBfGxQnYfsM3XzgGCe4aNYwuwPXCDGSgHKssOEpbTK0Q6O9S5d59A5
t6QXWPSrm4WOOxfGnOCO9f1+Ql0YXlmGFM8L4XjL0Uw3j/cWlIV7JLuC5b4jZXsEBVMzDqJrfXPR
v3ZHGov4OG0VYbFQ70ocIlakK4q1hcViy9JtOJgUKcjrKhfzVapxfVritBTHpVgkC4J4kgVOQpdt
Oil9IZOA1QmmI21YdF9qpH+5q7Jx+Z+j89qOVMfC8BOxlshwW9lVzrHdN6z2sU0QIBAS6ennq7md
0LarQNr7jwdZc/q8T20g9Rchj9xzC3Wfzm5F1ibvfEIP++ewoWCbmlGGBYT7o6TFT852F/UsuTRD
OCW1qgZG+2ArdBcH7LUxTEwX1vd5UuN5RxQnDp43evggrFkueTty1JPjjDRMqyb/LmkSihi6gWcu
PBf+nhQAzkII2M5Dd9xzhfeaht3NEof91+QleI4yNelgG4mJOLApGS1llNAE/ZtrKDghZTyAXZyu
XgOk5L1pjpQwK3miCLV9zmUZylsdlLZlpq6mCxqX7n1xwv6y1LnvAliVHGuixxIJJbVMs7sL/Clx
93ShxcFdYifRHo1rySroVEmWSmuYhEGaAII3bhTFXNi45059iIwbg7EvEWYpV36xFBHImml3Ggg1
RvuCFL8g4w+lZXEJawdOqIiLiich8ee7ptW02iNEa/eijJRi3U06fpV61p/BsKD36cZG3aQewUQN
TwR8+MS3MTwNHVXvqESC7i7tuC02ubMU0QbhqM4ekpFEkG2TLUH6WKRBHu+lLcLyLh7ZhbbuolP/
hkiDpmXciOpxV8wR26hEvHQL3UxcOBusfQptgD4tJ/s13bhZ4ukbjq3BsKop9ZPEAFuI7o3hIF/T
hPZY1EzZIUzUtf2pFsq9saATB0YPTpKxsOurLmv5HcfwZPtuBondxP1g/zjA7D6nIQvfBhVmvhwU
UrPxmHTVgFbLHes38r+n4kCLpHDJeOFy3TtFF0JM9+PETdPmK+UuVUfMMcoJBvI0ov+vrsiwgD21
GfuEQphbIs8FMsuIL0DMICR1JBk5HlO4jA+Gv2fe404v6Zpf7QJBMJq2vmshjzoisL1K7eQaMd6u
fO4z77Vc5mtrDVoM40TOceRUGw/D5HvFoViDq8ZgnrL7YKZJZ0/Te0EOv5jGjyps9dOk6FXY160p
ym2H9J4K0BmjzCZsZDlvfWlJJZt4mgFzmyX7E/IjH30/Ni/NQEDevuWDgDGMR4TGuo51d/ZBSu5A
siyNO4HuaSzi6njQ0yqrQ1J0cUxbQDljwUH9qLf5LKh/u/r4oU05Nb9iTAP+PurMJLca4op13M6E
BicqRz5cBgrxbEp4IK/StaehpuqDqxENDoVTZMe/OGMZ6xubheK29WwCtObiZBzQPYIdhMqPLiLG
hIW3YaqebenTXdzH7XCZ5RjzUoNSfclMqOgAAM1/l1FEUG4BJ8yLYe7INr5JywcAhZBq2zm8ZmiH
nX2ZWl/MH5Vf5N6NsRKZVztG8009+MTbiyArxPcCU6bvWz2XZof6PejIPZK1OWaUoB89xPrVj5v0
U/QrOjErAvpk4Vwqb3D7LcJH8ejrBKCuW4fwZdV+07xHrMkaOLbU10d9vT4y3dIAvTs6OfJb+ssJ
J4Q9136TR6fIrz1EtvHa7F0QsXmPS7ehOltPo7zJsTnN/D0atp3Wp/pPnrecLQ7K+t82D8R3NvWI
jzyqnx4yPExA7dQUGvQLXpweLSUh0JKl4xho2toiIxdV8AF6RodjF3dqhoYdw+/UdNhJkE2innYR
RH+arqN0Ses0utP1uNoPyouLP1wja7ojOgX5EGqOnEJYlG5fOGOAafUU6vJ+ZGPN95Xb18vWL0In
4WuR0ynooItQRBUy2rV9D+7RDp14IS0lWI78MighWVi6jxpJ8LADzfWGvVdSFrFnEah/BuyK1a8T
EdUhWxQcx2qIfbMjql08hyVsW6VX9n8f2CQ0UM3F8i54rO2WWqecrYdOqYcKme9y5u3uu/dyjhFx
baZRjX+BSXpzDCDIZxbUwFAEH8WLeatt7lXPpgtDy1Qaoa0P1rT5lzUBecB6AiKSMYPrjjJcgL18
Ak12F+EuFySI9UoXS22fTdxi9ODunM5tMLZ2szgNEkkYQ95VnQacyL6tOXu0NdFjEdUzUnYnT+4G
X5nk+sAYmB4RrZXc5r5Oiz9NteTVhhFSomrqiedD2ci3EXoiv5RICvWNGeMeLfsQsRBkScscGlCk
wJjcNcu0cwIcKpvEunphYvGZLfglvMcZdskcx1LMr7xcejxVlanEkd4e7wRThpDK9Ma7IxvaXb5I
gxmyPR8yQtFgCBy0TtZ2t6kcpNm5MfvQzYzVMEDx01I/OCuiXi9V5a7rPxNUiO69fGmz4whLF9x2
c5Mc6mr03IM3VMX3hFv9DqgJMfYMArQPqyvTw8crII3j6f9HcUXQTRIr+2tEsr5JjZR142pbvgQy
4m8U9aAfnIXu4mMb1cB/pPQ1zTahQwNz38qLfrAGvcBuRZRMGJJLJ/dXGw89GKTbZ7+ALBJzideP
8tAPOEa2suQhY8KR+Z+iFpBozKxTum3aFbylisGdt7lCsHKeFnAi2wygtLNbCWiGDlyevbBq6lMF
l+U/amdaHzBZ4C6bTLRcanZ0rmTy7rm1B1EYGqdZ2PdIhTFTlqCJ0f08YvLAbceBkPSeeEYYQZC5
y+0c342dbvubhc4brGUBj+Se/Wp+YCat5KYqwY1ZrHEjgv3WLApkpvu0pHhYB3ehATLeSZOPr9Sr
mfnsyoJFyZ+c7NJxX94IP7If3ZDByfkRQpsDKzYCNJNwUhwyxxMfxBPRL9NUvX2hdaZ6xAkPftKO
Wf1JJlT2SrsLcjK5GJrx+l7n32B7bFPSEEPyJpgJ/hM+6CrQHZM8lGu9PPbrMvLQS8wxx0S0IqIm
M46fgF1C4G2LffeYJFn4thDN7LyllZ8xDjdx8qFUt/5RzI2oLNaSqWskp2jLRkCqrTMKpIXabYZ7
KmywrcY5Fkj2sikqb0m5XeCM+J0AJQqHPYMQF3EIbCLsWx02cX4japNfv5+mwDJSzD4DLJMdpEjo
16S0xeULYGRWnkiVKD6xx4gZHK7V8IchlqUDZ0TbPrSNCO/LairRj6p5eW3Ij/zDV9MuW2RyzZu6
crpb5efxzzha+au0YLy3fkfolVkpmvq2ranC6wlKHwqkcSfetDc24Rlt89q+wL+HdMWtFK+8ycoR
5lvzZsLUZRExfk5VuAxqUnjbchIjgqzFqSo4HikvWTz68zPSW/9stUh5KSKUBae27Zz+RLmL3zC9
JpbEKkHeL4wXiiGo1CqFkdbBlxF+zT0Te1F5ksVkHollxuVZYUt/HUoh/vOHfDkPuSsBNWu4cySC
6/yI9bd7Qq6WK2AN8mWegiLo30rlOe+2qbW/tcwdD+4gnOzUDY5zh8YzM2+0ZKwMWk49nsjABMR2
mrF6Zkr0e76+fKQq9apATnoVI8tNeYI2HugTkQHhLE5xY2N1pFx86Y/B0o/zPq8s8tCkM2H1mM6Z
LD994qDTB4CBebzTmuFy183RMXVI8zDW+xuslfcCrSMGZu5hCY9FJrzyNGBsUFeyy/s1ZZmBoXaV
eQIek8UJUWP5QLvUWDwCPiQF/bTR9FPPkuOpwK0+OxtKg0p7CEo3VuB0bbmSqhVzQ7ct7rBtF5RB
fFxmgKZT2IRxt68XPzg2pnOCQ5Enef/peWlY0FBYaTjnCu0Y+BZQwM7SshNdFQ6siLtlUoW8qTvb
/3B056+rb5xx79YVVFXnD/hkKtf1fh2m8Auy+WW6qJitdxuUU1zsrbv6+8nrQrmjUZIYsdWVJW4K
uh1AYPhcHXhSMg/DpSGcOW6IFEMj7vo3ONXLDzQkicRkmcAVMgBl/auzOO0Xng3oH2rcZ4IBFtv5
GEU0Ps+SwsFLnfcuKU0mjvzjNODVfl/ceDJQYWDYcPeqjBjiw4BBuaaZ0GuClEcdPeh/Oej5zMre
SvTlmJaBxz0HcSIeAyS5PdWJ5FPNSXlwSIsLUV6PaQ5WJvBpMY7aPxCL9V+fS8DlAWOhRoRc5Yew
n/EZohCIX6EhivsZU05Bd2YfqGMSdohvx4jS3k2cdMGty2T+67Xx4h7WBH5h0xMU89/Ael/cQM7J
H68MUSXm4zh+cYh0Mxp7xtADNjn1r3TLOMHnwqFDfJvw9GZZMcTuavZCnDxhm0EsEyr9F5ssOeWq
bBJKyrg1vuIYz7QGb423FQPfhYDCpNjVOtD/MQqgIVNTEKakXLSqvfFRSjy3sgOuS+p5pk8olep3
tCL5DCyWB4KRIHW9fOa9Tylv510Yhi456kUgac2jdv6C1q76E+K56B7/ebk8rAbpyYllHoLRGLHS
diaM+MZ3BjiGTyE/NwIvCUJIl8omWkJnd4+BFVNmbKLk4oK+1Yd6TbEakkCAxi9wE++nW934w+rO
3sPTApG3STu+0STTN7zlUUOzfIrYrbW4pKrGh7MQiywfpoFylMMy5AFHCcmKELyIu89OyI1D8Hmo
H8Zh7L6S0g1+l66Xl3XBDwBdFigYPUyPv429ehbYS2FLk4BOpzI24nmVIyijR2lxsxttoFf0ijni
G35BdlskE+sjb7X+D8VjFgJjwkSdpNtFJwYAghRa5eBGcigqvlKDXrUret8LP6mUA2it8rAlTLlN
i+Xkm9Ubb6ZaUuIYirLY5g4V1ie4b9WQvkgqLrCfWAei+RbPvUFODu9OukGDeAnB3IAUhAd/M8Xt
fMuWV6ZnlxVpuBuRID+pOWgikgiakvs8YbbdJ8J3k01VjcudP10hGLeaUuqQhiDgH3HiVv4tSS/J
jgDjPOaJdB39TCZRoLZBVqWXwnGugBuN2w+hM7U/AhGJ4P9exhdRJPlfNoF03cRTVkc3RLW19aWr
QbOf3ZIETOJ+dUnULop+BK5t6wIRYXOJq6qTj1pOlbsBplF/mzSFdgraFhZxcsM62RNHPRY7idv8
HhModkXWygCzdjTNt3gs4d5jBo9rp0FjkaTaWBZPg2wCOpfcWYZcmgv3TTfY8dbLhvLbS0ygPgmm
df/N8EJttRNkzbakkgfFfQK8VR8ntaSo+uJeplvDQf2AGMP3/uN9arIL9aLePedkweGswsncKg4E
DI01f597WwOt+WdJEBWNEnCCD1Nhxn8xaqRvwS75bDSM8J5w2uFPMpT5uC8C007PLYLvXYHtFtd+
nwS7lr42unK9JT8J1UywnrmmE9DLyHSPUVTnBz8LkuYGzLUlWD5LOX35/fXMuDXJN5sOwjzUsqwu
Mc/OAm/VgzVkYyqyowUEJjCqllSqoajHk5ckWL2nq/ARJXr61ib4eOk2jvu/+VgEVw66IjpcRRXR
eikscrkJQpn/Uy2UDOoJsM9NKqArdlwq84uqIt4v0s7R0jica/omI7XzT8i8+pi7tWJ6CDw6G109
vc5VhsEQQ59/SLFo/a10OTQ7xGPOSbSD/Jdow0Iu/dZsYLO8eXeVLvu7AhJ7PFCNU6idywD4B8WT
+ueE1XDhiei5EYsqfm66UmQXT07ehViT2b/JE1I6DyhnsUQSE2Sf2yDuCKGmVYSBkTyR7ML2hOQm
biD8NwvEw7DRXmR99iAVfkLKpcXJ5bHnCpRx8w6MNIy3OfK8+hAtqPMPxCO0vwzuob9VWeoJbimv
HXe4HZLgpNmAsNENPYnCSPZJQK2qq1qNaHi3uSV9bpwOMjU+DG5bq6cGFhJoyK0SZP1zFq53bcUI
zTxjI/Kzey9VTC2ezA5LCFCxn2LXO5DZlbAXw0Egjssa0pax+44Yy6lZYI31qG+dGFD2k4Ge2gjw
ERQFiyoImhgnxbZFUpK+mPEqCPdoXD1TTz7EyKkybGDoM6uHNQzhsvxq1kTRTGMc3FIwsh6CHJvr
RtTkvmyInNN/p2moX7OB/PZzvbTLwyAze88cDFnpBx7Nj/jN+9sM3SgWayej533yHfvg4fT38FWF
42VoVbq+4/5f72NhuoLV30M5zTCrAdzWBCM5r8TzHBOEdHAigq/v+VSSmIgXTqFzlXDbH0PT1NPB
gWrkskVIV12ra5uHrGx4abn6gmd25aA9ZR2pJmRw9e0fXWfxZXU57jcMts07VTHN3ehEodoRfW8O
bGEJRjZAnhsGXRRMUqk6wVVAaVLIGB6x4KprfWNMqu53pwJUE90a9jtTZtk9gSYmvwUqDAtixxuR
8mf14zt9JgTOYvLmU4VCO871Eoz7ARGh3SjgUoD5Mvaab28KluJiKwxv48Ypg1l91ESs/Nf0Puox
x7izh6fdrR+mMQjnTat8FR8Y6Rh+KkIEaGmEfoMukwu6RAh6N983YyYuyo2uViGMfhWCesdHhnBV
PRJni+wcDxwxqLvSkDS40d28hLv4CsMAzAQZ/jl86uumR4lk7h26sdeHTsbRV2c6H40+A4Ler8Gc
ig9uuC45z6sku4Qcc3wKxaw09rA5olSqD6v1HEn4mHbjTKNxDl3PRLgzoucEb9F0bgXe/pw05GzA
PszduJ3LZLwHL095sXrmugOloBh+SASe/QtyqmQiliDvkRyWlf7OImvyN5SjxXAIeY6yrVE96UIJ
7Bbmfmk1zlsMhMWjzbzuGRnRiB+WXTDZktWR/hdMNpE3sSrG72ZeijubjBGhPl0TPjh+GHr/JDlI
qKMLlCqbDnbDEgqsC5aCQmI81ONCi24UT1cX2ZJHT5FYLHI2z+kAQj07DE+NxD3PD6P4BOXxTJZ7
UvbBc3a1wjJxi6DZs8MGuJPphg1xMBVKPCGuQBo3ilzdX31HN3OD1ANopQHhaHSBvYkI8X5g9W7j
8sjYhK/Bj5aXiAK+9u+S4wAbxzShrVzRCH5TZIVuf+ixRqiMhQJyn/Tpajihz43v0LMbmLHew9uQ
AqsBA2Upb36DdPAJ9p/BRhNCjSKcQJ4PHeMe2fhLuLyChQdP2mpKS2FBP6Ns7fx7X1YrYTZswIAz
XUs1axXXvxTELD8CDifDzWaHFyoxSPdwDezvTha4E9nFSvFnUHHmkdUc6IRXs+KvHaHMuiaFKDUq
RLTPnAR9m0tuNiIzYCRAMvZuHqFCQrRrDjiHxDlfI7dUR84MXZw5SkS4LRAxR3sPHSG3pvDXLzRF
47ore+o9zlICQW6DQM+XvuH+2ksigHvCqYiffonqvtDnpM3sPwXzgReKQJX3q6O1JEqhnO85EZm3
aHplMKMfCNhZD2zrpG2gs9ijtiqav4XTceZaUen0phom96lYiF08ubw3+SZf5Hjv2HSx25ToBZaM
cGDyH3ptSeBur9ZROIEJ66ZL0SFaf9X+uAWRg5smlTQQ+61HQ3mFSQAwgMhr4C8vym+p4RSfMYQG
pEBJe9E2MHGR7nKyUuifltX8qKht+HCaZR1ejc8TwlPKG48qtGvsGwt8ZT/iCGk6FtjVvNH8On4A
9Vy9+32hHrNc8tdAk9pbkjl6scWhj0InbU34Qi4hGQRTWa3cCiz36CExHpDrXYnkIXWNxgBOfawd
4Q1KNdySa5+g1HBz8+hncaQPLhkVHzEc9D8+bj88BRnNm8Qq4ls9CC3n6ITEtjq7WZGprT+ELqAZ
4ADBUAa175b0cgjknLU3uUvrmXV4VAn/7BJFS3Lp1TLdqjzvh/NEkTEMGg2iwRYQKQEaAXnAAst/
AkQER68O+ABwCY0DSXJbLCAWF5cU67RjgiW6o1g83rbl2um7k0OBQNfqHAkAUCoja0dsMloB8tJc
UuGFe0Rt0Ud7BysfQwEon9hhsPSazdoGmMl95YmnfshwYnNEqj3e18LZWotGYVsO6+rhI0oqfZrI
bC82Va3y6r+G3cqQueN64WZcpu6zWNZUndD2BdFGmD5/LaMxfxsxwcNdEpoe7vOSbk6gKj6vpJDD
51ALATuEqSTe4CPSt9DysAJGLwRxef5cJEe8hf1/0hJTTZhHsmQbW7b4PjKcosvBqnF6WgM+zI1o
UeySedLIF1JlVveYJj6GtCziazjX2ehNNeeauMYbkz5Xo0tywnOCO7g7l3VMBEHLND8c2dqrl2Xg
eN/maNgM/wBQ8j7Gyk8VWkvoyiYpCYPb+UWavdhGVO6Dq5roBjWAJV0/9/IDCcyyPi1tYcoLojsu
tAElqzinhNoqWtd9gz8jJT8QUVJ0hI3U+tYlYM3dJnpUr8MUpK8uJurgoHlxrqZ35RxtV/b5kcfz
espbR3NK204eYHUt6qHZiz+GqEFmOMwOAqYx4J1MrRccp96i16hLj4qeUQ022k1YSg9XuhafC/bT
K0IZAIVicBTdYTZT8uxoheijDFpTE/vf28+F5K54V6MVfkaJDtuU4ThGir4EiN1t54UNgSgFGuZZ
azw9DkxJisgUWxbjV8miRi8N19JiZ3LZrmLCondpIDLEsX2P3Klvs1rJGkCA5PUPEz/r3l3xT+wJ
z3Byfm49nBYsU84FiNaPtjMu9AlprgxvMgyqdle3BYApJ8eUbnCv/f8M7pPysak8gM8edmrjwjVm
l2mxrTjYmgz/az6OH/wMcZDcJ73RE3Q86Tlo5qqBrH/cy7HYlllqn/jyxhoyo1VfaVqGfzoEPfE5
9jOa1olKXlLGZs9rb/3ZrhFvW+j9xd4Vv3PDS3dvUXyy7ZZu+uVqx30hHIDtd1ATOEeDspeO9eY7
7YfV2zbEydjzmuVufgTETn86Kn6KG9cXOcHngPDOdvJtt+57H2vCLaETfklPhMccTBWV/lh1FhQb
assVBmancBGwJCEzu0SDMd64UWN4fdK6mQ8+hb7DrstB9/dRSKoHeXurzxSVZ078QlID5osoR317
WIEWAfXCOaBhMh47iJiA4LWQLMWzTXL2YvLGyDmY52HONp4IEo4QBItPVT9TZb4Cgc4IFVbi8hKM
7eTB8oruKhgjgvs8Z/5Hwkr25kdOS614kHhfkEUEczKeTcRwWs+7ViJ0dEwlA+XzIgoxD0uarrh4
8clwl4sxkNtwvGZQIxxm4IvRe7cbIoDbXwp6e3WOQ2azbdVw9e8JgI6vKX4FPk3eK5ruYvJH7BvD
Ft+SmuZ53QVL7Fafoo+GGdFaRyBKXqzNo5/SgXWcmYJ5wsEFmmcyOmkdntcALEFyLPxxajTnJ+Sx
A3mSTQygmDCbosNuvYjOBaSxfOmTy0f9UGuoiRsGk9q7YZua5RnRjhiwA46S6NGwLhJ8vQnBCZiy
of/Wpucm57BY10tcW0pdsHPUyT3WWdPeA0BHn3EPJffqkAKT7BdwO36gg6yLYIu1wxrl19V6jHCo
gpXZMu+/UmSP5wbz1nKLzE2sR3/CN3wcE63HB/jU7MGqSH6J1gzlMyJwdIs8gwsQJU5jtojeF8tW
2DGM//pA/tUZxxy9QEOTM1FIvkCFwdNDCkZjtnHOhZeJd7kUTnSSdq5ehTJEHIxKTdgIZI5PKEnK
+sIHMz6mg1LlnutHNV/VwMyzH5xy7Y82LJc79OREjy+ujv4UEnnhzPvNa5vroUACG+fzQ3tVV4JA
Jc+CeCrsvp5fHXrQ/gnKBQLhuc3p0j7gI5D2Vqb+HB+E07THVbAB4dEVPZEUfBsX1+3GfkseWhrt
xyoYk8NIlip6/ZC0fmwXlW1vJj/Rn6R/dlAUPvzVqZ1JhtxPA4vNqSIUYk8XvFEPaWjaP2G5yo+E
yEB2IDdbXpe1qtStNyOn2zPWJN4+99Av7/J5zbMdRbKoMAsCmXg3crRaIMsuTBGLIPz+nHjICJs2
3xbEB62XmQAhe1RpLoMtn58c8fbmMw+r0u1z7VST84a8eOAKqqI1vo3Lysv2qI+LFM5MsCS509TW
J3Y4qe8Gpx8exex34552krFEpVAV4d4l/vKPRJlVHuIhNZamrbg4k1vHwjV3HioPSJKGi3B1qnFv
07679X3VBeTIxGtNA8ns8RaHqHjZO5zG/qM/FPVVF5IBiAU9TY4rcsZiwz7hsU+ubuMT/iiN+pi5
k5B7uI5pNhiEWtgzMPkZl1VQNcRexLbbIGn150fmQa/bkgkJkEtJb3j2KgTeN6NWU3nT8V0AEyB9
7W5Rgk7TfkXFdCeTMQ8fKHhJ5d1EwQ9ktBzmI/LR8ntynFgc6qziS3O91bsBPSPsyYva6ws+OOFv
W4z9fA/3G+vDUDdDep4dnICQBxMmcKg1k+9d4j4JwhoC8e6o0IKErJHh+o8XwB5ycypso1GZ4FYI
m6tHzUnENqGUhrzAFTYS5M3L3YehS/OJnLIoDvcdOd8cCYap6+B2YEYkFhHMt/rO9I1aI/yVSuO/
TqjtvSMtTy13+N6Kb6aQrrna3s0unWb0f9ezfMfqM8PKFnP+rHQFvot4A0RQaOFXkGyt/iGvrPxi
yYJAypj3jjEYQHGLW2xIdwr1maWVw9T2pZyo5IRl87Mn2bvqezL4j0lywFi4l+4QZLj9VkANN3HJ
hKfOnL7rOKcAbJ9waHARYW94L5peJecsV/Z9bdf1hRAN8heYxn8wSykOnzgdOkIYhvTkD6i3COtZ
l1ch+/AqZlhQBEY8XU+DX1Sn0onyR9YmCKjIYJw/1+HAnnRNHVNb4sGIUQi061SbxIxufNMZqb9t
P2GR9DS2evJoe7xLCejDchK4Ebr3riaE9tD4a/YvlLOxZwq30iNu5cxcZtPKXxDFQSAuM8ElRKZh
iB/Fg/KbjrilQPJQ+vL+5gzeY9L4/Z5QOpVSyJg1x7RKc73FZd/X57mqahfSb/XAbalpSlHNdPKe
rLK8viekhqNYjZIpN/KBfHd9zcp4XWLH7JwIiMW98NZY7YVOyawNW3x0m4A4WfSZuNvNveJN+xvo
1Hz3scpuCf4RqJongx5k6Hr3miPPZsNsH8l1vyaF+0QONNInndbdE+oIKO6Br/k0EAUGgc+O+Feg
f5c7ZLwEO5McS/z6mnWu3DvSj375sjSlY2RwFzdBOdNlv3bEINIjVsvwwlVn8yN5REFxxEXJV8D/
cjwlVVtzM4V+PNxmSKIHaHn6i7Zsv8lHwYyiT7kgxtptW+cnFJlcT2trS+8wV3alrbpQzROKV7DY
YHLMP0FCkI9Mw6y/TUPM3h3xLdo/FKMw/xFkX/ywz8z3JdLGp2BS2P7a2u3eqXj13zj00vvSNuZP
ik/S7nMnTbDINwFurcn7yBkk38N1naZNTg6CYU1bK2cPaN7eSFRNKOJKEXCdi8UMO8megas9SVD9
m84Sy5wFWfhQI7N3OEIr+x/7MuxlPZXuvxKN5t/R+vGn6Eb6ItyKsCOW7Tx8qT2LMEr5NW7SRUbT
hXysyN/WABNKfEKJNdmNUnky7Rtgr2BbYV7WB1Au52XNyvWvJ7TWOz8z4ScwOY855dNsSgTP6seF
HAMiDAhsgfpGjvQQ5ADhG4YYj1GJpqx7p0ePuUlNrqZ96kQ1yBlc0G7QZWIh1GEgkKt600+wVPXj
oKoMlTNXGElVWTAgnMuist6G8TRXt2RxijczMhc4Y53VW2wXQJcigWebwrh1tlnqp9F9sqYuqZtD
KD4jfA5PqHeKYiuRoyboNxMEvgmO6xOMCDb+tneSD4orY3fnMAMeADPJIrL1SNgIve5zcWi58dAN
oMXb4o7S1R5PGDhm2BDF9ozcXuCVI00E91lnYa7nKxXRQvJitajxF02r55pjgazgmggw1OxcJRzw
ZgjhBkkOQzx2Jr7QO/p1PfUPQ1wR+IA8x/GOtTvTr5QBQPqow7uoebcR0VlomvnZTzoartG5Db/R
0mvznZcE6EDcTW53ZpZSt9VkXAI25qn7WSJH3HpgNED5EOR3vvQ6e0iWFGW15IX1b4EJ12oX+l3K
qetzY9+7dHaJ/dqUTnPoapt8sBvUzVZo4hY3EEvcpeWyEuHXV9oQFsMEOB2aZGXszvxE6Su3nJe7
cMLRsAsq70rzOmH2tkRL/WtapvRfGs3RrZNE6tpL0xNwsyHkj4z8sYdF3FDkp6J92/InwTEAnWyK
MgjfpqJT8A2JB7Zf9SUWcvig7nuJ1mYmnVEO067E7DpuSCPrwy0TTPTToPG76GUQv1dhUb5xR3YC
Th/Qh40lXfDqOUKyTyTskr64TT7Kx8lJbHEphy7CyIeJn9dRY3rtlaqwRdHreGyUwF0XBSll0rWz
rl8lkA7hd0q7B5VHJgDSSQL0gYYg5busJ0dnE86kD5ymOATRwo8m9CYzTvhSEhf8bSIykYlwSacH
meos34b+wAmblby/h7BAqnCodUgz7uJ36p60Xfh7h3wW8mNn8REN/vBliCFHUeMxhh6TaBQ/FW1G
9T23rbrHzETL6pAJ1+4dnQmE0jUGRf6AvAL/JKX7nEymeiX+BD6KyDz91gW9IaB/qcb/SOjq1WYM
YvGjAyWyHbETEBkknlGFXkcF0wGnLVl2fVD9pryCpP96YwXrFEzR7cQAjEepsPF/DRG2I3lTZOds
albBeEMKE4dAW4tpwnGv8dOl0K7ntWfcYPWamQzI5om+owGJ91BpnW29OuP2UL6O71CfY3BBiZR+
oCkvTp4uSePRzfQ/zs5kR24cCNOvMphzC0OtlIDBHDKlXKrK5bW8XYS2u6193/X088lzcSpzUqhu
+NZAMUmRwWDEv0BFjk0EuT2+B5AQBMtbADujLZc2WwjaQtWrJH8rslL7WYAJKM8OgpEZGuWN+Adn
D0XfT0GuQxnNrTY+CtDqz4Y9Zu3R0fy536c1vU1vwklHHEHdTc+WPXbQVsZAHd0sMcu/0yCIvvkA
GV8MyxkRehtrDtM/ThKK7Ij2U9fsrEwEArBN172P8IvwT3GdJNEZrAM5NSC79mwbhYqIFPDxL2Me
2V9spPXJX/p+BPaS9ahMq3P/d5TpZOtz24DeSw2enAAizU+zbUiKmchyQUM0sVqhB9Mm4VtFUc0X
xUnhAiuJkSK8bFPj7lAwsMBKZLUFnpiS05IGFKDRP5rtTFAsS5h2dDubvjlYfW5+64LSgl6uzfon
awZQiGNCILyYPjVIDbQ1NHrPBq9TzlBoojcK0cIFjiwhXWJdr+0EDdHIUydJmcnokbzdBRmh1Q2p
gXkD+kwd0YZO/b6XgL6fwYG06JXRBELZGltTS4swiGydyhPdkKSfApRGMPL2R5qPYCed3kNvF96B
byUj7TjfnjJcSZGtcCmHGOlJ10HTeaXW6z/Q/q2jUylCwNihbPUn1Oz7xO1A8BPdDfwg2GyK/lWt
A+uTz9vW9vRMnVMgStDbXF2C5XBB7ZCmwmAsnkbsUj5n4CF+dEWt5LT+bOMla6YelQy415QnglL9
ivZ8+sHu64npg/J6g0Em+Ocyf0zS6aES1mKiQxH+V05snUC8FaGNmGJfUnNHAhtfDWmPL1nfjV+r
GbC7YscJEGTcYR/raKTGrBsiQgsXfPdLCg5PexzxIIAXRo61yApAszriyVS/U3uNDTIAqfs0lXqh
PtIKjXgxwvB5RqRxAE+FtjgUDAskp3IAYISuVCt19SPyc4H23bQaauYD1l/PIVH8p6EG2nSwMAQu
3iiwS6gVT46N92OMwjvFwEy33xlpCP2gg8BRebMWQquMw0mf3AAI5pkbpUsRJC1ATjeKYX7oMrPj
Jku5nEo4pN0u0iolIZ+06gerjxzHjfNQkqSgEKN7cmz777Oc9M9qOOWa29CVxaOrr2y2dYChnctK
T1SPc0g1OrCj7HEyhS4osjh++y0coG8/ka9MD/CXtfZQ69T0A0ICFHva9+iBQ+ct3oH95IlK6zZ8
6QdJOHO6QI9d2kE2hXmfmofLkyr5qqD3Ue2RrJzkoaTH+zUPG2tEfEYZH/6qeJjwGqLLJFOTW0YU
CHX0dYWI+V9V6AxDlac40dh6Jp5qfER+6GoYUwXOBL2T3oebgDR3pf8MWkin0NCAr6FTMAQfSpOO
Dq4uMeW+PEOjgTKMaAG6dOgCfl/sJO13VR3m3Rta2Ro5fFEH/ie1G8XsatFsnOEaRRlMmyrMd385
g65PObmdC7YmfqSv4KAbzlZPDn+pJRWLkgKhG0rf+odeXfuS63G0JFDAsATM5C9/zTNkRtHrsH+t
RvNJawVgRQV0K7WQMrMOf0GebB0hsecuLC3U94LL80EkmPCcYjDM04Yt1A0/I23xVeOvSIFQxeLi
9IczlioCxF30st2DSZpQmjIBuRzGoR3109gF6dMMxu775CfT2aZw4P7P//G//s///v+add+yGDLo
fZPMG4Zw1JXX4UBOI4l1PH1gdwBdQpKWcp7zeH+UG0ZUGlJ5BqBGECaOvXLIC+KpxjKI15Oi0VxF
hfGX0rX1M++MccP0fPHQurBMIk6AOjeEztvHZEEvF3OIw6BAU8vaR7USPQ5zpx25TIe9oeALYWb6
3zU2xM81BhuPjdn9vD/NK3c+GnAMqUpDmKSKYuVxVoV9kMDDxzsir+NzKSL8KpHqODRBC0PQ6EM0
eJLUuz/o1dr+HpRZCwGgTnNWX3CeyqENTVBvc9OVn4WOMHZeVspb5PCj13oqMjHHNHRbR98H/7LV
Z6RZNrb4G0AwK8vmkEsnd6Gqtu7o46r02lkZKjUV1ZQGyoSWWJl8Gb7Wl2jgIzYprY+1E6dvRr36
ZWR99vz6gXhLGo4pVRqoYmXKlqqWCbAJtQB0cpvdSEXgrUZUPdADh515f6wrAzgmY9iYQDr47NlQ
dS83JwxbDFcyx9hL1EbRkp6wYtcLGhaghHcYYvSvPdzLeM7yuYgrGly5y/Hisg0QOmO8GjT+Ec1H
xTO6OXv/6lnh64klMNOitGGsPlVWBTO3uU3CiR3Z3i9i5wBhFGXcViB+og/Wx/vjXW94pLUl3F5H
k3SE1kdcVeDBZgIMXiq6Zq+ZFs3cCnkiY7Dnz/eHuvHBYFdqJvtdsobG6oP1S2kgi7CbmPPUeonL
joaDLI1fLQKFR/Cq4WvjpDR0oYHlozzAAdOWqf9xFSj4AXBBgqJTEOM9zQH27BUQqj2395Yf441V
ZFtgYYdEkwE7ZvXV0DhoF+ICgjPogJ4wdOEEUJ3Zw13rXmtDyKwAgRGn+Oew8y9npfkwU+AQLWfZ
qHaKFomzD4CwVmJjI0Dd+l7EDGIhUFui/+p7lRogwzFkKjU4Bhi6PLCHYIyPoTmguDZX8eH+/ri5
iHRNDcsyHZZyFXvx+hjS3mEr5rggH8dBD1wDz7Bj28S//sNImqMjNWILyYV9uYaQ/PHOkRDDk5q2
/NwFvlcXeu/FY1D/l0np0CkFS2iZ+mqogJTeUKORKDVo6OShFHA2fWgXCD/IDdfI69uanYGsJ301
AIp42l7OCig5oBsfSWG0cHLAzAOqOYeAfJyGPHahv4a6Bq7XagpdkBlc8sPk6Dx4/8PS2sJ2DNW2
dVtdbc+Cx3tej+g8aL5S4YEE25xiZX0S9hBvBOTff+syPYG/LDCxsATdX01dpSciyNqChpi+z+c8
/KrUdHB27Yi1UQnK7K0I0+RdVNfGI82x5gkzPPGWK3f2aLXbZ6A48t8pKft/gWXnNu97sFl095NT
HKkUdxXoLxsX1jL1ez939X0UBZhqYtn6PqFfEeQhHVh/xPoAowsPuXaxz6Y2QmsYoZD73+R33nlv
ZO1yZ6CMAsVlYOQG8UYADyjLZfZbi8LZvlKt/tFZIAEUCX75tV4/iSgLT1Xnb/yKW8eb4M/3spbA
Za/CMeQhI9ZB98D0Q1vSj9AYb4D7nxEJrzaGWg7V1XwRUOCEAwO2rNWho+QSd1D3jL3ffjfBaB5p
yuS0ddGRLRERur+6twbTF2NRkB7QH7RVzuOUSWss+re0HfNA3ReqUT4pMq6P5jCm1OINWGcb81Nv
raVNpYCMRLOktnYzduBYk0XgwYmAS4O2L14EILD98ixJ188Tbl+AUTTrgFzg8K7kpqDDhSeAR2kk
flE0x3qcQH1XLvwZcagolh/vr8lyNaw+AKRiFfkUm1ofV8jlhsuX5S+Q0AIVB7HSrsDbG7TevPuj
3FgFriWHhJYLShNita39eaT7iuzBvpkEkroGAinS1HZw76fD/ZFuhFbCt8rFrrHiurXau+mg96Dt
yP3oDtXnOcz9c0l3Z08ZZWlBWPmxb9QQLUhHecI5pH59UCWhJtZZ1LyJqqstlo0wP6MhNPeOUijv
W0vArRBTWTxBuU6/3p/qje1sYnFs8FJgY6nrBzQISTjAFWMBFF5cAHR8aqnTgaaeK4hlWJ9trO2N
r2hxM/IJMeg26eZd7hVMdBDzNCnpA1prHqohQfuvbO2nWrOdjaGWP7XalgzlqBppDS/ntYUzLj0N
xkA+l3EqaQGlTdQhURqFiIBjquYNhtDe4IylbESImzO0NdsywdyYprqclj8SUUCcdYw6E4pokC4O
1DlBkZRoosPqKE6v/np0JtAj5wzbErnRy6EsBS156KUkubMvPhpVGdM3AHd8glWZOODw+krbCEY3
Z+dYvCq581Vpr2Zn6q1KDGTDiCBoK09BVOwNyiZm7EZQy1//XGEV+YSWbWk6GfDl/FoeTqjBsZQo
q1ggjchzJH7dXl0C77y/lLfmReSyHc3ADlbqq3klyGgX4I/NPYQzE4Mh1IeVFI/aDvDhxga5dUEv
J4DHAyUduJ6racHVF1bXMS1MnmSwL+2iN4EJyOKEsL6ChnGI5HA6OPnAO20a/q3rqj/j5VM/zJ1K
cv76mVvcZTTPCaqmuQo3TYorlBzQycR0V546GFCH0WleugFS7H8YyXHQwwLfw22xBKM/TgavNwxK
+QVkixqGAtDDkDrSwL3iiLexxrfOvlzeZ7iq0fe1V5dFM9ZAtBrgFCVw3zN6jHTZcK9ya3o4DwhH
K2eoifZ/OI68L+DfErmpUeiX8wskOo8TwtkgitMApi0wjCy01G+TkZ3K2fE3Xrw350j7SBqkWOhZ
rj5cAcfB1iZ0m/yo6N7LyIj3ePDMJxQ1kidYglhOoFX4+mcisVtfoFUqaZ21muOMBB34OqTbU7Cq
qreQRsEJtlJ7dhj7hxmF0bf7u+bWNG1pszfZoRbR7nJVUUIz/BEdj701mc3LOCM0XhfAWWMcST8P
oZ0+dYMy/XN/0FvhgLoyiqIOzznDXIUDUeeyMgaUEqDCjG4xKdPeShUIAnSLj68eironNRmqgksR
aLWiuGwvTDN6B9B/VTekWvlEWTk5pJXfb9yIN2ZFmRyak5C8GclxLpeyg74EKatBKdYR4pCArKQX
klrIX9u/7k9q+UuruxeaH5uS/IlqjFh9tFH4fpOUarPXgZU815hWj3A9czw674+z7PGrcXQewVDl
KJOYq1BqyypPYqRtwbvUzomzUhytsbHwHdcRnJot+aL3YBZKrkNMEGTy4/7wS8RaDy+FBbCERplF
peZyQe0678xA6px4YQ4fpS/mD6C6kSy1+/xQTbmyUXG9cRYkXqdUyKlx6fY6gnZgE2WY0FK05wDm
UVbIfwvRBPuI9j4CJos9JRDID6+eJDEb+Rdd14XgIXE5SaSPEe0Hq73vHcTpClQi3lp0pw/oQaJp
woty45v+XrXVqnIpsj9t3eQMylXwdtJhok3aIKzWJckPM8zkzyXE/xASSifcqRp9djUcQyhMM6QP
0FzBp4wKpOXen/j1apvScsgodLIsnMVXxwUyB/JNEYVSYSnae0wT01+0JHBAhYDwiFSCKXcTBBtj
d3/Y601lSo4p84cWgmjDcor/uCYt9IUjG1Ml/AtxHEvyRcoEm8kzfJZ/2YTRxixvDqfaS4/JUR0u
zcvhkCxUoS4Bclo0AD+B4zHOdQovflRGSNlhgczcq+e3rCg+X5DgVeZ4OaBtLarExdBA/1FoS8Z6
1n6cO8M6x6Y/YKBZtBszvPEdMXRjTMk9Qtq6uij1qo8yXJagfjpZc4r0EvV6rB1cxfeTUxgq/nlW
FO3t/VkukedyE1PTJ57zxOEVx/PqcpYUaAvaSBxVPD1AN9UjJoMJGY9Uy/IfK6yqf+K2wT8AktHG
+bmO8svIFpkB73EL+NXlyAbKQlNdmVyY6Jd6tJ7ludZt7Qmdn2KjZXhj71DBVXWqcpRyCYKXQym+
FpehYQBxKNFsrMdp9uBWA3aey4+Fj5P3/TW9OTO+IHUl0HWGubpVkkyGyhwBPYHinB8KMkhg/r5y
QDon3VjEW59PpcDjWA5tJyFXmzTWRjge2aIfM0MA7Gsl8Ax0d1D41j/T+NWOCBotNgmjspHVLUHl
ct+QXzGk7ZBGsqKrzZoME85EWd1CAaG+pOBSdIgofGwciesPx/uD8jH7klBzdQZ7FU0SiN/tvmli
JHUgBbiI0JQHlDpRHMIZZmM51WUnrKcll8cZnSeN7Hh1HGpRIpLc6i1Np8p4jlNekGGcY2pm6FWE
a4tfH0XZQBawRHaqqgyp0shpvbYPdGQ9huqNQFTt5f52uv7GFvp9GqU8Os/cIKvtBPI6gILHN26y
FHWIniD7NUja8YhOkPWlbWFinuIRdqELjhuQ5f3Rb3wCh3cmWR//wdtYhXlHWiO83IrGfjN/D5A/
pvGCyfQEpYkQeLg/2HWeRBRSadNybkxdW7efF1NcBBFxpxBAu08YciGyI+fh5GdY5lJYk+ciyBCT
7No29kygCK+vB0sOEePzKywE2VfnKaVEKhB46vZ2Ev/Dg6h5g0O7j5BsYry/P9XrA8RIJGRQSLm7
me9lTOoqrPkSE7yNNuYwjquwPUa0Ozc29I1RyMB4YC6pAT2J1derFAcZbeGzoLMD7RfznwdFQyr1
/lyuA55cSpDLbKC3sF0u51KgWYuS9Ig86yLnNYV6f7bU+Ks+zPPxP4xkkeHpvOyomq0y2R7RMtgr
A8augJHxMw3kQ4b4MHofenq+P9SNvUjtnEeIiko1nfX1BwptbGmsRTsG38cGlkRnHoxRG96oGvX6
XaY3yadsgrfXyL760gzW6yvJqM8BGdIAKFh0OlfnHoFe6jsZMCrMC/Mn2uGzVwzoUiZiNLz7c731
AX+DFpzfn2/dEEQDpu9kpw3I8VTQpBLIZHDf43eoHW51JpZlu4ywuOMyowXIIhCUXu1I28ekSp1g
W1b6rH9E7678UiqW9kVTwPfu+tZ23KzIi1dfV4wKco0HpUrtbP0xkesZxzQw+v0IlPIRY6XSVQfH
/A/nAIM76oALnoBG7uU5GCaMoYWBRDuMQ3RBZx2tVn2u93j5vb5IxVR4TxI/aKxSEbwcStVgLAOy
BvYksSyRiLR6OOGZu0BHjuX1m2OppSwgAjrg5urMaXWDKVCv9/vKb6bj7KCMHdIoPqT9+OP+SLei
FY04rpkFXkVz+nJSVqtnzpzitlHVZXdua17IuQ3S//4otzY7F6puwq1FFdNcRatS9yn9xXAvKxvb
EFT5kYKuzeo0t0W/cXleDcUkyKp5CWPyBcJklSXN6Cw1Voe3qzB7ecQeZTpVQ0eNARaSd39WV+dq
GYqVsyiSkukaq5tLwcgbXhFyR0meBSfgzwESRG34Dk+25pvTG1BSYxw7io0Z3hjWIsvFXoguAtfM
OkrSymYflHhhcgWQVbdfsU1Uj2mWaP8iuWoXiECZ1WvPGQ+GPwddbX4TKZwsCMcZLbsCcpqGwQ6q
HO1hiob+dH9Zb3xBOnkOM9SB0IgrKFLEE0hDM2FfIrz5AGIZZU6JnxsAcGPjnF3lecusgE7SrmUt
AUxc7n4fcEmkj8lizJmOWLMh7WroCPAAX1COZa9Z38nDko+jbDaO3dVNtxp4tXXQdAFWb4Tzvm3V
4cA7EPWiyISqqc5x+YDaeuii5AUDH/PhJxrL2caBvLmHuAw4+HRQqExfThyRvbmtHaxORIgJ1S4S
yFq6QZjmTz4SATEUjQplkAmJi40r/vbAuonuFF00Ms7LgWupIsGK0xZdvqT/jOpH9beGDdERKox0
KyHnY4IJ5OsP6tIjpxrI9QcQbLXaQ6k4au4Xy2wB8e8pWTXZU9fm+fBz7nPlXR82sUIFt6h/3t/K
V9EVWBGvYKq3FFB04HWXs7WK2agmFHD2yC8oM2ySDlQ8jsXy0+vHIenUSTcdwKTr3hvXhVbZNfxp
izLU4qgz1f5jGMJb2fh8tyZEaKVywZHDgHE1oaidpZH6iVg0kTFvLfBfmJt+qz97IwLIP0dZHcsw
QaMd4Q+xRw6kPUrLR8U9dBYVIvnqkghfiGSdHgnkTBo0q+sCHakq60MN0I1VaN9CZVLfa52k2wWe
yL3/kW5sfUlSi2u9tfSe1zg6jHJsJ099sUfxDbU9NCtRBR+mc90L+xTgrLvrEWff+GA3Ihz5imXR
PlAR37RWmYSQoVQw2VKRmMvqn1Re/kYRcX4eiAmPUPBz15wXbzlHIip/f7q3PqK1VLioJlDvX28V
zO6CNkvYJV1mTUdo6RgxxrD8NLR2Ni6nW7uSrH0BRJK+X4FlHXo9dWAiEUIBvDgWoqhcSVFhI2Yu
UeIijWarUCwEwidhL9rrzqE0kPysZlzcgFdPqEfK6rz43R6qxe5yqCZto6F2awGXisgC7pS8jlcx
2hmxjMPmS9vXZp55RdhNB5y/piO8xq066M2hJAFEkK6bPCcv45SoYELRbNL2FaREj2iJMCEGZehO
yi2I7M1V5PajrkhpkFbF5VBJBFo/k6m2b/DEPENiMM4l7ikPI8zFt4OpB8f72/DWqeOTERk1MjXa
W5fj4ZwQt63F1HS9/jeBrniKWlhzCQ65bothBObVc7Ex5q058uT5XTanprKGDJQA3oN8JOxPTiv2
s1olsTtVQ5bDoceHERHq/On+LK87I2xOh6sN9AzBBb7s5TTNwsIQYHIIzLHTRbs0+i15PTrqIUE+
GeE6VMOIc/YhCk3U6OAbqge/ENDM7v+QW/GGefOEB/ZFk2YVTxOp4hMVRuDfYlt7p2DIIsBoWMOR
ctrwMy9aE+oSsvR9U+tbcLjrsTn/BFiM/CjnU0u6XINSCayxn3zsuoq4cjvDGBN08naac4Cb1LiV
EQ5emzWKd3/K19GHYU2VvWwsmKz1QxfCPnWt5WLHW93w5BT7bxK07073R7k+ossAoL15SXNTiPXk
EnueMJIbwdL6JoEnwEwLuZfDWFZfXj2SNIgCy5uaHG2dTOCLTpFulBrsRF3znGQOj4PtVEd1HqyN
SV0fThrpC3DXtgBjXIHMAisylbyJgOY7yKrreYF6uFCQpcpt/wAgVkFqoNkCKl2fTvrOgEJ57/IY
pQ1yuU06CZm7MwHxwd2MTkaFt22NzdxpbGHeNhE44teu51JO4jnPO5Fe03o98z5JGvynkMkK5w6u
71gTGQoeHk8Z+JqNzXh9Bi4HW7bRHy3CsvPDYVgQRLJuEaK2G7Qigk53xWwOWPXC25cFIT7D1Xuj
3nMjBGnAvhBTAHu+JDqrSFsIszUDep903GP5BhvDfq+ExtdcMXErKpE9RZgU+9gRCdOqxvHYzLR+
Iwxef1qLCxNC1cIuIQAs++2P2ReRY4etUCd3qhXnQRmm4Dil0j8lWTWjMDRtpXTXh5Lx6ENDY2FA
KjCX46VIOCIB5Ew46WjOGyrOI2Zooe4GRrdVbLj+sFIQZDRVs3gWQ8S4HAo1mXFGK2NwzbLuUTXs
m/YlctBsV7s26aAMj+Z3jFfqxwA39o1Ndb2sjM1HBdlsUFlZU6zSSUVPdSwG18Yq/M0Ag+aUU5BF
90prjqFQu41M+XpZl7yRRjDpjw2GUb+cK445o2JFcsAQsSJ4O/G4Q04Do1NRf71/Nn+3PC+TOrkA
XLk6aa0tPa/LodKwdqjYB5OLdSwyjUMGnmhXG1ilAvXTu889mlnvLJR23oLKndD6j2mO7BaBaDwK
MNjdDWlmbfROry8UqRGABUnzcpWtUYCIR3UCGDEqKr7AdBA5n3CvD/n06/7cl6t4NXV4XOaSqFAC
uIqD8MRx3VIN1BWCBgUhqO5iD+inio4qvqNg03QADjClbBe5zlbfZRO6efd/wo0PTdFlGZ1iHWIQ
y6b/47wajo92bGKzqU2RPJEitCdRm+IBwLy+8RC6ORT9NCg4xHyQv5dDNbFOFtKog6vNSosXWh6q
xj5sGhSfpT50G4+fG8GQYjEPLh0k3PLeW80s7PkSAskSlJAGJd93mgpfGk2dBx3K6r5vVXjr+hQd
YQnbz81cB++CWd3ie976wnBn6RDZwLhhBK3njIagphYj/kKq+jRpOj4xEZW7PJvRK8QNFqVLTXHT
FH4/WUz36f7XvTk854rgYbKf1w9eI238MCFwuKqamGhQqjSUkx5atB2bI3qJ4OMBWXeoPJTYxCry
1Xhrm29AY3khBS2vw9U3aC2gHd1Yj27QZ+WPEsfCo+535m7oqm7jyN6IkFw87GU4oVRF1qSWQO3s
VpuHEZmUBCkNHJRPwwjIG6mbCNUbrT3eX9pbuxngEZ1bOpkqydPll40xxUwMyfaqemf8ZDGAC8Ox
fYzLaAvJcSsaLcWRJV0C67XeyW0nMI6MwDomeqkV5zC3kVvCCA3jgftzWkLtKh5Ro+DehvMKw3ZN
eZXp1JdBwQ1XVLr9iDmq6fkFMkRF184fWxPRa+S2HO91gy5NMVAOwOSBCFKjW+2RSWtHoVi8r+c8
Dw92QUkWQc72hPi/SsV51L6mMfaz9wdd7xYG1YlA0ByW9NrQVoOayCyXfTUWnmIjMK7RzEUWz7YO
Ns3Oz2E1mBu7Zb2y/288LlQwa2waZxUHus4YO9QdCtSWgvlYWrq/iyz0y/S4ac/S7633CaWajUGv
wOzLqIBk+Z5U17nLl/DwR3CHSVELSAG5p7RKKz3YNMOvyahS9P6TQUnwb8qTh6mc0WgTOpbfL7YM
8+pkp4n1tUmMYQvOfmvVHXuhiqsGScWanNuIzMonXFk9iSz/52oGU4J1joOTQjPD+xzNjfC3PqPM
H+YZ9AReGkgn2KvSW9JQWo6l0Xk0r+MPVTWWZ1ytnCc1VKOttb7xhRdAw8L5pG2IXMPlWkdlKNEF
jgcPNI1+inw1hZhkma4PGdXrzaz1uNeVAxgO1bPzAKe+VK0+No1JNzOWCWJLuTUdKksbFj9Vu3Sx
IMkOQmtN272/969uRpaF2hn4IhJKnrJrzF0HgQS3TPwouHzTz+hFBW/LNEfTH/dPlKiHYPhWFaHw
0KcxPzpd356Szt+Kn79H+TPYLL+CdaIyry7Al/Vm8PldZO5RD9knTZKj0VpB9ikLdDF5aQFy1q2S
qfoYqg1y2T2eKsJDdzF76fRZ/RL0paa7lZ6Vz8M4RT8JuuJhprSEtzpWVRUiwkX/hbzA/2hgt7qx
rW58agdClgVIgo3F77/81EWEhDpaWa1XoJv62IkJq8U+6h9FmZceWMb8YZ6TbCNMri8BlmtB+i40
Pl4CV8R2lAiy2m7rzpN2jPUqzsOfC4xzyo3AeGtzEIORIPitNUJmejm5VuBiQ9hsPavoUHdH4Db/
Vjda8Gyjif42kQhenrIKR+BFw7c8oKAdPfmqn/+HNaa9SumOmEmVYDnaf4QuJ8u7xLTLzqucejoa
g1Af6znEY0oX8VPezP+oubGFG7oOTwt/UaVvzeVn06m6HHMKKKYFWO55UR6n57QLJ8wtkNrbT+g4
e2no61sP9uUvXp4B6qGEXV49QPFRz7gcEXy/hXz93HnOGKUovE2VcQxDmjouSxq+U0M78fEZ1TTu
YHDGFZC8UH2uGul/V5JO/ffVgcFa+ADkqgs9E4Dl5c9Juinzq6kfPByAw7+ngBChI0V6UgZ7PFlN
h7l7Lvo3cYLfNhCraIeMUfDt/o/43fhcrwklPEE24CApsm4+O05fN3i7D16nIs/nlTNynHsty53H
ybGgJM7IGGouird0MqRR1++reZqyXTHZxnsZmPhjaTilYkaAqOY338IWbFFsVUYXFEz9DdMjpO8t
FFvPSdSlw6mvkyjZJ0aoNef7M1Fv7Cfe6tTUuHmsJQm/XM4eWzdMwarBKzMdQ5tibk6ZPWHejCwW
azeh4R8qKOogW76oVUUqjoqL4Q4af5jtBiJaxLii4iybMnuIQlF66DuVp/u/cvmmq+XWVEpiYMsI
K+ipXP7IEtGvNsy6EWRh3hxr3HJ2LaZ3XpUUyofIj8Z3GCKLc4bxLEXruN445zeHX5RcFnwUMXV1
5kJpxWNbBJNnhX077vpYRxNvkp30nzJZKPa+qdV52gdBamIPYaCTvKOP5Stb6OUbJ5EslNwaLjdI
mPUyIEaVUk5HDpdbqMTZOJ/j8ClSu059249L6TAA+vzON5T+W6mAS382NWypyVwy5wHXkzw5WaGO
OFlYDN20Swy7n71UnaFbV1M1RrtezZG/dZTcqfcYRQjtrPsmfg4DxarqbCiR8vci6dXucoE3GoI9
BgrAg19gHa0OSnyqssSm/dqDRdXQNFV3U22Gj8GQ8ppCLbPQMSOsghNaw42Poupkt3uJVj50gTyu
PTaP7+yQip6bh761mr/tdiw/135vfMCnN0leBt9IzhW1oGpnTaTFsJmN8jiB936SvZU70CyE+H5/
511nZ/REeTsBN3Rgj60zpn5qHQwwDA66NUVPWKDQNCkaNrlW5If7Q10VmUCWLE0JmFVAra77QYMz
O6IXPgq5jkYXYkeFsondUi/R4UCoQ8MGXuhh9qwqAVKZ3AIdztLlOMufalNX4pxbXRN+YiuijX3/
p90IEhT1oEKSNgIbWD/R88jsqqbRWq9DdP0bPpG5O9pK9WPomy+UV2f3/nDqdfJCNc82TAI98E5a
NZfnneewAHehZV4S6AqKowO6lBPW00LGLk41aXeQPG31B79ty8x1uA9qt0ceTkW7DQceuhFm0e+z
vp9UsiwrVHblrNefCKhN/673R/9dnw24gt//2dd7ZaGjcFeqC8iCaHX5q6UT0S9P58SLbB/8c4zH
9qGrh+GxxCNhi1t0YzCGWiBJS45KAnI5GMg/bJC1ufBUtZIPDpaTni2zAp9doPj353Uj3eKSIwle
AiAc37WIEGLcS1jKQLkiQPs043XwRcEq6GCkVoAqNcOekMAeD+AKgn0SRuEL9UR7Yw9e7wnKcoKi
HFJ2vJTWBACJt2HWWc7smWTXP7PBl59Gp1A02M6l9BQsJft965uF3Lh7fh/xi8sH0poGW5XHuMb1
o61uyLDQ1d6vYh5/+K+1D10gxHPdzEnyxsxGnHDCuimROZJ9/C0Oe/1b3ufxJ1NN0K0W6WD/ixxq
+K5MSOUOZmLOkjseg/Zd3JU4eOHh2aA/Jqdp2Bk+gVzRI7j+U9UEOJHhdV7i1JuZuD4VBlL4FoWp
n4bS2l+LGjc9lxJSNT9EmRg/4PW7GIVbXVnuKn7Zv1YN/hmrtB4TKymGIDk3jQxfXrs3lpcRjQ3e
ywBRr2CGNQWKPipsw+tDHq114GiANkVZq49NHEY+CqlTjpwP7l7qYJQPcdSJ8JEWa/n1/g+52h58
JT4QjQcKaxLnpMvzMGVqaGioX3s+jpu4EhdZea7bRi28ZOhUuWsHJTjYWCqKjdOxVGHW2wMePl1s
iqfLOVgNnJv49qEs7Y0arigAFKAXohgR5Ipbd2bygp9WHOx7ykrDTg/HaWPeV3FgoVQCYV3avlDf
1yXFJFBGFYcsHp4pFgCTbY6f4pwK6mwHW7j7GzOlAMZZ5zAAol4jW0wjCLQwr2cPh3B2FrbtE1Zw
1jh4YY2882TwKkE7Vade4m/hM/TllK2WGZQnEERo8dSKxOr7RhGGsiV6uZ5JTQwXS3UoMEHDdOqp
8NXcdsckV3IXVzTzlEaYsO2NAVNrstg4Dk9cNGaC5KwQ47n3g+HRENM8gRbD38wLR8Pvd1adGh9B
uvuIJIdz3LqIt/uHTKqFcFtRoDdgg/Ev92CRy7ezNpnfYVVhipioVfCr9HuMeyvWJXC1Omu2DtmN
j7wUphf8GetPAfJyj5mDWuqdb6qeY3dD+SAUVf1n1GVYP3dhMAQ7hxZxcPBNOf/ocwxr37SBTs2G
HuhYenU1yWPW1LhYoqU7n/DlRjy7zlMqW68+gws+lrb5wpxxrlrmZZT7yJJrntlgabbTo3pOvajB
7PeN0CrQHUHfQSWwNRwFNk7hdfLEsV96RPQ+AT9YaxbqMEq8qatW89QhV2bkyiP7pe/b6VendsTF
JBqmr7YxJ7tqauQzxVyEkMzeSr7RYKDJ3GIYfX8xrm9NftFCQ4YrQmAEeHP50Ww9ANwi2LF0J6MP
Rd5P55mbQsNOOXZOPByLh5aMwZ3zMnnv9FjnzQ1Z3sY3+Q3pWR0c1GsWhPRSZETP8/JnqAmGTFNE
WzTJ+0Z5KIXAYRKEV1+6AH/9n6UMcFHAXnk+9XltQmhtoRvsRFdiAKT4YfuOkNbInY4tC50/gBqv
5SvTE0cnkwxD1yHYIg1z+Qu1DhcQmOiGt6Dnnwt7wo5dxuqHrprzlzQt0x/3v8xVNkv/AE0PMhqy
NBLM1WlKIh/L26HXUZoy/HwfGPi9xYqSfJOYT087mVPd2vgK16ETFhYFq+U7ICiyDp1Dga5FAFXN
qzvVhzPpIE8rMswEMCrFfyKOp8zFs3o+YEwxzxsdkxvz5dHMyL9FeemhXq5vlXTAKiLT8MpuwB3W
aP2/G97QqOHPqYB4EwEy39j81wELLAtFBTomv6Vdl///R2Wsn5GKNqrAxOcvnh4o5XW5W6S18lij
s5YcXv09F71EHSiSBQ1mrWOSFJoPPD9jMLujLt0UCqYGafBmwi+vBii/AbhcLydAWW565FkQyaUz
bq+W08E3DIB2FRxiU1c+oLnhP0yKMTXwlnzzIWwVHBnuT3Cd2/wecZER4MnNFb/uf+fIq1f0FBWP
kG2h4mWBu2yr4r3ocecsaLftG7tzjvcHpdLOR/ozcizDAs1FCpj2EzWi1UT/L2fntSspsq3rJ0LC
m1vIJKcvb29QzTJ4TwDB0++P2kc6nWQqUW0t9eqlrqWOJAhGDPObUa8iZ85i99jiwfNCFovFZDG3
81dNyAIeGr7hv0w1UjLG/zXNmXxetAcPpfYBg4nIm4OYuvotSLwUc1KcKVTYoXV+jyF2gtOOmCnj
KwNQrOxl/L5NjOqD3RRqBmUwF7+mXlQT2MO4yf0RrfQfQ6qKL+U8ICqgWghz+MROEQex0qsF1oIp
LM2aLuTL4tbt7wWtd4wEROKEq1+2+tBns3jQq9bB2mlMk+9JWpWWX7vNqo2Gq28TeHKiR1+jAxuY
cHSQwFOaBfvXhYk1/7sff8QWN9phHtR4PKzZBv+qxJt/c0pEFJQLyTWeXKURynpA5yLBaeJ3jo7W
gDPMavbaRXLOjnmS8eBdh/npIWp75a03YwVxjKSTPUlrjBdMaavh3gNgUh2z3PTKwFaM7CcFgpZj
DG3ibDqjeP+JoXlfH6NWb7CGt+AM+M7U0bebhJE/K2j+J8canz5UCgpd93xc7qXl93gX6L7soQy/
IDSSLYHQ25EqwTTQjYppVSIN2y/vIuiGq2/3qMS4qVRrtocJEoarUWu8WyYx2OFYo4Zp9y7JGP6N
/dfasfPfw1hTvVD0uu1didvPV71cCcnGJNtH7Eei4hDHNGp9O9OSPxQVWnXIZrvRcZCdPRnmRuT2
vsTcvTm01MzI2gM4+OIIVYvvskrN7iLdmapAaqWqAEVJmsgvO5X6nqiCggl2cQMye3AKJVCgInlg
MhIbrMbIEOtAnFw/yw4ZMF+MzGaAv84Vgv2xx2wx0/HpvjeEZqNb6ym4naKDNjtBY5Xy16JGHf8Y
tzATGf20wIVbMz4KWyx/siiyfrl9gT07Yja03Ow8nQ9ExjF5ooubf88s1DqPWjnZEn5HkkJTKhv7
Zy1hix+lPjpPbe1lr2yc1/qWkhKXdz7ky++YW5+9hAQMgOmCUSDWAUY2eWWoC8aXviZxMPKXZKRa
SUe98ehCQ3E6Uvs2f9Q5xt0t4j76ObYjZBuzn8q3aZvGyQEJQfeugcmuB4nrLjaYaIydd37tZayz
oNTT36eYot7fDqGtvC9TI2qakAEg+Mc2M8LUcaYfoki/jOAEeUj14+0N+qvFcB7oCOPoDOlgAulb
bIFrtasQW5quCVVboAdr1FF9N+etWh8bEJkoGiYaFicoOFrl0VRWM2NLwYz9UOkDOMZe6i2OHrFT
fBxEhcScPQ129MZuR/s0RTPhEe8AkMaRU7ifwMsX5cGetbahzrCZILpWW7xNMV0eng3pLcwx8Kc/
9A7J/Htc+Iz0DT4I8kmpTGcKZuxr3+WlgikKZzL/jKNI/DsWsfXFKgY3PaSY88qHXC+aHwvjKHFI
4oEOveMONHbVMWF+42Zx9YKh2/BaLmOsYI2MpqGPPfHwUQ6mWZwqtvi9Xaz9Ck/Lyx7B6Mr5wmU/
jQ+WlOoUCMav38Q00kFzsil9xqkHa0arL6s/OM+rNJKBiDQ0e2V1wPOtpm+IA9GpxKRQCRRYa3Tx
sCbFbbgV8QCLOhq/NrOGZF5iAPe51zpbJKdUK0D8xq1XfBqWrs5PU4XXpD9oUblXw18eOuggaIIw
96evzgV6nq5Y0pTVxKR2nRSqIV6SjLJ6RuLWgIZdp5rpqZjN7h9zJK5XtmGdla7jZaAG54uavdav
WsJpqOJ7eQKCiwklOmFPw6LO326fcPPyJmccSncEnCQ10jaB6OI4L+JETcIcZxYGNqY1PimN3f6j
uhRPxFgSiVnEANdm3SaxdhkW4dc4xKEBikE7KnEevQHx4LRon4GdGWWbvuk0ew9CchnfWJaAy6Se
Z4M9fL6RgKkVZjdpEiL2UR1VEHJ3pRTGC42Y/kWPEmsvov6VTTgPGIwfWQ26DX3eC3U3x0CaKzaN
6Ahi0elfxTIP3+i+Nd3RS5XMe3TbOLkrjUqNMeV166/DiJqZr2qdoQVDG0XFZwcTbrwaGd685JWn
D3dWjQVxMEaYJRz0uFeaoB807ZPmlToiK8wTf6YALhDNauacniAQBNef0sbCNTRVaHih2Wc8Knwa
ox9Xi3xDe9jE+SXSjQqLN0t9AmM3usylCszIFLWdFHiUZRWS+y+ZX+JUU/sF7jMYi5WqZgdGVuBk
qOhUzEkxiC82Ip0Y2bYr/o5ZYsPAUB0H7MPaONePxRzjK5jJpvkgLARoTnM6eAjPeInmoYLbaK/Y
p3SJP6/Wifz/MqfxmVqn/UE1W22iAKocUoG4jB+73NYGH6N6TOWaWq9eIi3GnUFdSSHo9pRLdmT0
MckTF6b3qwMbinm0xRQkWGIv/ynVonouGk8Vd7e/ob+6H+cvnUanw7zfBX5GLr5Jh53WmiNNHfNw
MRKEIYkY2UcgswrSDBYOXIUFW6kTqAmJpNbu+wW7ddir8EyK2rUyGkyTCn6xTYffVWVguoR5yFfk
ptN77FLlB4xnnEfP7SStKLVOD0ghuag+oV5TxTEyJLY5vxSxVclD2UV/ZsRGw9vP9xcRsnk+MHUw
UeEgWCCrN/GoKxeMt0cvC41MT5IDRssGFYZq9qsvrTw449w6eEmPxR3x0gBRjor1pzpFTf2kJzYe
n63S6t+Hohiap9Ho9PJlXq8EUFuk+VRkY209R4iCwgtXS3IdQ8pZ9/W8LKeQ9zWSTqtRhf3xGA/P
XgLB9+A2RiaDcnbcmO9acX4PXaG8RRjA/mXYZbNHmb8MJGC8sbYgSK5yPtse0jzin1aZMg+tua4e
5AIxKIvpIFfw0E/09eKdG+AyLLMeAjBEERtj6G1bb5yKbhybNg/1Mkm055J0uH/2CmxMb7/abTUO
EZGwSIt6pT2iCrd5s5YWT0vFGQzHTPOeM6erw0Lt+jey0+VOH+7KUitrb0WMMClCEu48FsdZugpH
zkUI19g8WUvUHs3edt/Sh1F2wLQXLWEeC9j02sih589AfHPdRHosndJN0xAze9E8VsJOHmKm/97L
NM7MXWxiKoUF3rRAiYVNFVekDXaRqiVVP1/s7M7jDixeogw1xINqDcZbLy8EUVgAhTtwUrrkYRhw
IDx0ihbfm/Zo/Rl1T3S+q4loxqPZE59byyxjfygXJjuSgfSApETffZJ1D1W3mGl8PkU9NIWds3N5
Vu2VQbMOZUFrXpDVW6X2ogQH7VBRlbkKxskT3ofIUZRHBX9IQrw7TrvCw2uIOw8RtJ+JgrB34DEw
qz5/u2lZaGqPE2qYKTmkhn6w9BOkJeuxFIr6YOS9dVemSPBgfCl+Y4kgZdC5aRd4RmXdeYWGVZ6T
189dtei4YI42xZ5XFurXTlsZDHpvxDtB+1pih6sELL8V335BNkoMM7WX0S1C3p1zmga0F8lCD01r
MRJ2uvJxcJI9qazLT8BDtZsvm1SI/2wrmKhx85IUtwsnmBC4VOeW9alyChBhDaOw21/25QtB+gtq
Ckgwl6C9Na0xR7WwxrrHUH5pvCMZ5dGrC/xXM4tsq/Re6lhFdyQy1G+31714RubAPBkixRa0bTrv
5wdB2kStZp7asJPuJ/oLGV19M8frdDTa97eXujjoLMW0FwkT4BEE2s1XrrizBp1Ia8IlkflvAy+b
E82k8pXZP90ZJ1728G7bSROwLvi/zJngTzHS3PZqTUKy2/U1stKyBtsZlf0KRZ61z03fTqfSQg7D
QzSBP+fCeGDkWIXY47o70e1ifMDPQIYRyy9aqOAutqCjshgb4ZRJFyZZqvzMtNFFEUCxj9JK5oke
2WQ+mnWGP+ks3cIXKnAo6VbNTjy/3H0mfXw3QP+gWF3Aw+SqzbtYiwjVQpPPAvGIw6oNfK8hfafy
KxRQf7ff98WR5jhTFGDAxL24Hu7zo6WN7VJGadqHUV4vd9hWeyevb7NTGc/Ls+VBZkC7cQkY0RU7
tMDLQ43OP4NUoD70AC6Y+6MwzG5phj5MbZFr/sDaD7VFcU0ClO3p2V1EJh6TmQBnG6Tq2tY9f0y+
WUWiL9yHbm8YP4AXaHd9r9bQj3U86ruqv4eknO/s7dUnBMgJ8wSADZne+aLdaDAiN4shdGngHFQ9
To5t4+l3Ba4kO/fTtaW4nVD3RJYd6NRmXlvlC8m87vWhoSa2L8T4Q0/F+MXsnfjt7QNz5YhyNJGg
xEaO5G0rUmO0aFY0k04SmSjOA9zn4V0m1NckS9wBlB6Nj9vrXR5QsEnrJUjENQwyt/NNtMSsOIMc
gDYoU/HTifIkcJbItX3XYvTrowxndOjEdwWC1Zb74fbilw+LavPqYULSQ8zftqqSrPcGEIekqFrh
nhI++89GPZcPCpHibdEv/4fl+OrRBPFW4NcW+0Ih1M2jVhbh0i/ms7ngQDu3zK6Q98u/TWPbHW8/
3uVXQTuA1wgI7m/Kujk1a0Y3Jo3N4/XwbGxhzw9qJaJDK2D4aL2mPFazsQelWl/YWVaDMQSFzwoe
AQhgbjF+JdnHDOyQe1NILLBKfILlhB1V3rUodsz16jWyGs2bdfGE7GC888yXXwrLc5hWGTxG2FtC
U+NIz23MvgAdpOdvlMZ1AkxQkQ5hiLITza9tL0pkFHl4i1HCrn/+n7Fc3Dn6RN+uCKdZG5+qnPor
gpj6XCal+1oV7gSQcvJ2vpeL0TwAPsAApF/MW5mHb5FbgHCcRVmsIrTjqX4XZxXe9nAe6XYvjn5v
LcZ8GKYkYoBhzsVzWmQCjUPPenWxAgsWN1N/3D5klx8wWDaavZj9IY3Jxp/vAnCuuBITh9or1fpt
JSPlIAxKAs1EeqN0++To9IZy8OrO/edXzcZDBUdjaj3i3uZ4J1hNu3Loocw0ef557OnoWnot7tPU
3VNiu+BVofPBSwYUxCz/77k6f0pr0EhKMFQLs8Hx7ix8h1+YHS1voYgrd8VoGR1OzMINp8yAJGJF
0JxyrfhcVOoefOUiZvFLOAPouNBgV7EmOv8lTq45TWmNDmhxsDi1Pn9kyp2+k33sMk0xrZ1r/OL1
/pW3WhUwVk4nGJfz5YoM38vYsOcQQkD7HoTGkxw182s+5QgDM9N8a9aiexWOrtzdPleXz7k6y60E
K/6LMLb+sP98XWy2MLNswSIL2U7gbxRCZtoNb5w8/pFX+h5K9tpyGggGUhbCF5/Y+XKpdCUKJo0W
Dn0z+bVX6KeoKxlLTQx5RtEoP28/3mVGSjdzlXYFhU8fGeb9ZkGvUqWtLFqo0oB5a3pT9kagzXFC
dAuxBlmMrR95NnVylpdfZVLOQa+a8V6T5oJ7AToaCBpRbPXpZGyz+Rkx6u9l73Zq2AurqD71tTfY
L2qTaV+hhQBB8yYrmQ5UXIPpt0iEhH1ey+aJQSBsfVEYy2fd4aM/tpGhLb7SqhOmPVPaAriWEG78
vmrtIah0PSkDwlKR+hU24LU/i6yrdrL8y7NKg3hlMrGpVBpbBeli5jdZ/aSFNfhyCWrJcT5JIF5v
csWO7gylyI5prbaHwkZT8fbrXDsx/731cA7SmD2gicq1AwF6g7oZQAwITTIBztFnCGIk/B+yZqx3
wBLbG2ddBZkfEhVkKcg5Ny8LoxwdXQJ1CSpNX35mTvq9mu3iZUg95ZlmM8PapMt2ouzFhfO/izLt
hAsFT8zdhNnJxe55GBGmisnj8ZhCNe1bHbntYTZj/SNW7emxaGBABoDC0g/I7Lv+4snqxazq7tSl
Y7sTGK5uAskTmTd3rru9AM3ZxvDKQ6iO40icdQaIDwn7hY5M5NZoaI/GqQXEsnfxbhMb9oEpHXJk
ZKvUslu3D6uMurqKhiVQUnTbIjRcT6vt5cfKrONfWQtkI8M76tCP6nyC6VsxAGzj+wLvKt+m0/wC
5KsNvQjksOlU5Z0WjSCzyqH4uupW+XHhJntvbn0zm0MJWo4vnLDM9bxVkc7qflZR85uDzhycJ9tg
GB6Xg1ME6OdDMrE7B/5F4WHG1CdTiACHfbAAeRwdPVM+Ap4koRmyvUbjBR1h3ccVUwiCjrBDADwP
fJpS0zSK9RUmOEzf9aIfhT/JEfegpXYf6jRS1EMPLD4+JIqglWimeqf4ZaOK+5m+JyMVCnWcY3Ht
fKMUVf65sVPjLa3BdPQrC7hHePvT3maU6+/l06bKo3wmd998dCNQn2oYcwmMLu3fToyAH4SbVAdh
23vJ68Wl8HctGFmuyndGu2uzN1Nhk6UVQEOSchk+6opTfVQwdXuOi1G8tjHmJkCzMo53kx6lgk7c
IuwmuP286/NsTw2F5gpTWlOMrZCaHfcErsGckUtafilaysCvU4sWmZIs+WZVubp3TNeMZbPgmlXR
+lrvIDgB5weio3KG8kzsNBbBeL+XSGTQVrhj7pmnXBQU13adO/d8cvqpBHDro3ItWx+F4+ndPz+7
weteSXGA7S6ygNErS77mdglKBi888bAc4sysHlS1lwcFF7OdEuIvyWz77BrTCgptuBDMQc+fXUHz
OmI9NGmzqL3XJzDVL1Y998z7IYIK3+0jUIaF0pPgi0pkNt5GhvlDWNAIfdOacuOYG1mH6l2kyNcx
U2IuWJGMs+8Yi3KaCTfKSXRm911rJvNdXMwlhyZuhnvLHqxpJzRfOTorbpDDSyOT2LxJomLZe1ZR
zxJkRYVg/GTnL9J1en8CA48daWT+44iczwWkARNyuIxkUNscsRWYDS8qGrOtk/8Q3qSGpcZcs8Cx
4qCXBUGiaJf720fkIhzQfyEdRSsfdQ56xJubvl1icGGKWR1iYbqP41LCAHTz+A5N9Gbny7i46dal
1qYwyr0Ue1udDOzopyVSXJbSe+VJd+fplFaVhLhm2YfMq+3jUvfDzp5efT6KKaDW3HYwhM5PZOSm
FPXYVh4AsrQ/GE0nh75Tqyc3HuudSHORNPF8Hp4bJJ9g3HmN50t1Gcd/Vrv64NR2/TUzXSWwU0Bx
ezf31XWA/CPixbfN+OJ8nWYee33k5x/KKFoeaIbQd/HY2EO+pNFHI8qrAG3o5rs9luObRJMg13ry
7couDXGMBsf6ObSjGeboOu/swMUHg1MEfCiQzPQPuKo31VWnt5Me4ZxD99DwPlD0zUeoLhKqp/RO
Y11pO+34Ky8XIDH2neB7mStueT2jYKfTGiBRWztOCBILHJoHgj1evL2Xe+3ROLR/H49PdBvV8zST
gKb4TiKBYrqWgdns46QJhrovTo3UlJ2tvPZo1Oer+AdUdsDt5y9Zj9S8sOAtHARjyQ9JmRTQVZr2
UTjuXuP3IhPkrSHNwDOBsWcGvCnBXQb0qomEygEakkwPU9aWxyyajVc+FuOpT+bmRUdpWwlbxcqO
aj7sScduCx3uJq5J0E4Iy5CMbrHE9aBGTlSVKIY47fwMrkN5U3Vle5c30fSyyDl9mFQlTxgHznsi
5pfp27o2KfDahuJz2vILqGXrQbPhrE7ZUNdH2xTZeIKvoXdQRI3orkWyTT7QiWCwi9Cb6mAAXk7l
3QL81vyTL1UbOhoe3c/tUpifWklrFuM4Jfke24YzBCmUm51b6UoYPfvFm9cVl5USd9T2B1Px+g+O
Lcd7uGUZrFcTwGC5uB9Gk9T89jVxbVEGTXxolAwcyvXz+E/7wnayOaMWrg+jF6V/ZNdFuOTl6O2U
/fQGPI8IYxALx9uLXtBT1oPBsWSsTFCFJrOJJ6g50ArEI+GQtJqXfEu9As93tUdd/tGq6pyPMQPM
dUDN0Lwvkj7/3i/WkB4huc/z26lTkEnLh3bKAkNW4MxdyGEfbv/Ea0eX/SDVWaspsoXzfamLDFRb
Qn4zTqUTmm49H91Rbe81xt9/RgE0Xm1R3nebotl5I9cCEsAIMgU8Zri4N7eAlqV4lkgcUWIHDT7g
MajM8CKszy6d8DdSa3/885MSBuAvkw6td9wmrW0XcqEEMPShz1uE51wTPeKxjoKlEOqxnJNftWpk
X1ti6M4puPKgTDRQ+aENseqMbCIhGjtpZtGMPZSxZweaOZT3osjFQVcU8xRr5rxzv165XlHkZJqp
AVIhk99c45NjtlEdxWwsCZ8eCteqknv0Vna1U9Y3dJYsQ5gkPacAZ0QFsHSzUIM8TOROTGUjY0W6
LjKzT6OI+qep6yd0a2bl1CpNHkQJA1V/qsTwbM8C7n8Vl7ZPpyLxJ03P3t1+z1e+dAARa4nI3zjS
m/ecSS8eIMXWBxPw/4vQB1w6gMbeVV3Uvwfnazx1Wf3p9prXtpxsAAbXOmbhujv/iqYlL/RKTakS
pr46FHFhPztK0u700y4OEiBuKlGECtaAQgV8vkrWmNpUmhN06TjLXjTtkKEVla2QZH3UxE5guLIY
8jNI0IGH5BVvtSLTjLagwmSH11qlAbDwDKnwGirqLNQHATzpcHsLr61HBIKOsxpf0VU7fzin0Xtd
HR03qFWmUyR43om5qP2sulUbtOm0i3i8OL0Aq1ZmHgcYLD54p/MFFwYUjj7rLKgr0HmUInF+AjSZ
42NvKUoK4amrE6wBmp6ufow8WAILQw80eAbekX40/aVa74yjkuYrBJhYFlqpSKrQKfPkzwyk0wv0
KcYgyUB+12/SJn+a0rQZT7gI9p6vxE6zp7JxcfZ5JgohREHAXGMusrlvjDjuq6op3cC1FMhvOpB9
5HpgGh4r2egnrdLS0LB2tfUucj2WJfmhQ8HIiQC5iXCFIWxXEWA4NGlgTNuiyX3Kh8oATqFPe+4p
F9/auhiSehb5B3jhbXgrpTqamcViZjlayZ2Lf0QS9KjNT/8aR1kIORAajAhMco9vNrNRKN5bpfSC
sQLnag729L6urfLzv597JjlIG65xlG08P4aTXRtqISVAYt0Z3muTy4EUeGMsCKrdDy3aV7fXu/Ku
IEvC8KN7TKza1stdIkbYZyWcriqn3yiqvn4aktHW/Fqvu9fbi105j8QP9u7vmcTKa/NwMIDSLOeS
tSKtf9YM+Wcxpsw3sV6/xwekfCo4sjvp5ZVAYoLL0FZpOxqb26mDRCCN4sbygtodIczNrQ0ccuYS
0I30dRn1PWjxZUOeeSeIBea/jDtWVuj5Q85W3iw1TV+sYJQUUkxZBhGZRdCKkgQvr9VjXCjJccDC
Ipg7p4WZu3gne+rGO6QQ/9k4c/01JHPrzyFwb1EwCBghGKon0QrbEKdyrCHNrY1dDHe+ksun4e03
fJE/styaw9H4ofig0XT+8I6KoyR+IG6gVJGlP5BnOy+5N41PGXIar4u5qHdtb7j3qaUJY2fta6cL
gqXpYPZAurPNXU0EU4YRs4UgixQtsNKmeGpTWHhV2fUfRJlN76d0mvcI3X+nOmdpD48MY5QTBoia
SfvmUPdMEErUmaKgwnBFPiJJk4tvUIcqvqZamfs6gDsr0QlATfud2wM7D6ZRG34qC04mAC0UZ4ZU
CEXz5DoIb+HEGbnvo0ifkAKm+qlOacJ42/eGeGiDxlO88sDewvFroznRX5dSTT5m41DRXgdCMgYm
XgXpVxNVoGNj1zbYChF51WOuzF3hZwvEwnDAmC19h+jZeFelaj35XV+Wn+zIaulUGm5U7AzGrn4T
pNirih81BbfR+bGQapQijjujWtVJG80M1BpxB6/LhxYo76HXl/I7+jZoegmvucfvq/ezxps+FAqj
Gb+IZePsBPMrUQHMAHxt0gsURS6wPsKVmehnHYOKSnxZ2sler8RsfMzqwgryuYnjnd7ORVeC7tb/
AzGTisJsPt+CtmraevIyPRjm3gzEYs8BgHHtJEuglv6oDHSZswYDap8kpKO/l8Krvf1xXnloSg6y
YLJzxIu3trL5sGLw41YPSnblrjFiyZJ9oXrHzjTEiygltJrbS15eL0Dj8Znhs2M6CTTi/KnrSnYM
lxsD75N6eZpwlsKMvi/gjIq9zu/l0wGMp9XMIqtC/NZ4QE90QWXDoLPIJuoqtZKhI7LXzM3So65l
/yqARUCFfk+sw8vMJEfdhHlbmVQj5a8A2CjqCvOYnBpMrD5LjYb3v2/impv+LzgWQefzTZSj3sV1
Y+MPlDte7s91Kl6FqGwnZEwFifH2apcHlSIRYRMGgFwXTLQ3qzkypa5IDJLGnA56nRWvtvDGzM8z
TT0taeL1hyFX4AhreVO/6sWk7F1alzndyk9EX5UBAur02/rJ60xHxOYE3Lfp1MelWIwPHBqx86DX
Dgy6rUzOaQNg5Lj++X96QJOVdnFTQDrK5hpdKltGBoLe8Jcruk6fFo+ge3tnL2BK65lZBRXQ5ABa
AhrhfEW1a9HLSkvYQ43n1qE26+I4iN59sJIeqA7tRCUo7LzED29sv0QMOig7quhbXLT629u/5dqH
CUMakRRmdZRzm+Pby2Fs5wnS6WAnLk7mZXKXDrZ6MqA67uzzlaUwslkbAn+NYrel3CwNQ3GgpARR
phVvzMz9QCUePfXx/PH2M2nXViKi09RBbIEB7SbGeqaejVnWmYEzd9V7Wm3Nx4j8pyEjkCnyRUCh
3wJOMOUxb+N+9ue0c4Qf99CW/MTulchPnEocY9FisGnZcPsCrYWl/+/fM3cgIiUr3l1nuHh+DFxd
UftiBM3OYLU1/AyIQoj2RDmhHKHXh51NWe/W8/xkPW6UC+AxMF24aIBYaKIMvTCCUi05Dn7daGLx
U1dbkvduLk04E1ncfZsLjxkAGj7T79JlIIlNY45htznVe55Ul2P0lXeMjy9Rmr/zns6fn/lVp5Zd
hsFgkhRHBBSMXyLWy7DVEuXnAPeyh2BRmmhYDZQkGkzqUC5Dv7Mx69Wz2RcA/YTuNUGmTl0P038+
/6RaVg1KvLjqaYSIiO1hdo88Udb6safg7l6gvfiNqWy5M8G7dkrXTEhF+hL7AELs+cIpyp5K5JRq
EFXF9KCaQ/ZYZGr3yRpi+UAXtHsHLLcOknYhBSyUWP8+qmp9V8x4glZdX3wA6VN/n2q1eLBqK/t9
+7xcib2rJROCwzRh2ZdNquaaCKCWNXaWdrN0RwMZcjRIOjvZ0Xe9dgiop1HPAmbirCSE812QblS3
Mm5wZ2t1GxW/CaREN8Dq8GP8u+DPm/PHhspNX/Ul1DfZAqUPCdh4JzW9cgkwkILgtWqRrv3g858x
2eboOGmHJV1UJh/xXW2/mHqafkaswX6cwav6t7f32qnjvkH4iWuHa3Zzu2qo53iNK6hPIEu/qVwn
Pgr8ch50b2ruB6MDt8Wc8/72olePHAw2PjqwmigHrb/qP2d94mmahYopsLnyfqxzsIdmKuRHoNjV
qXKXIkWqIIr+2LbsvpbMBUxA/R5gBepz9cWMZ1v6Q6yWoATc4d1U1uLf+30G9z0AE4bjK0ZhPZb/
+YX1wriJyxq/SkWNQyEb7y0MOTT3EJho3znm0u2c82svnsPH5AuEOLFxc87T3BMTJtVaMOp1nAcO
prTvchh7BpKVdtoG+jiiQXP7PVz7tkAgrlQRm7rj7/DuPw+p9I7a4H6rBao0lw/KkHw2zHz6dnuR
K5cgKfD/X2QTXvIqcZuZuVcgOyhUBwhtC1p6XlyVKGMO8/9lGwHI2jQ81rHu5vuJlo5bvxq1AOVZ
ozxSBIrpyPmXaBK2jNf6ZE93f/3927i9SothHUyrliHe+UlRFlNTqgb3yj7Vy/tGyPxhznsrFG2j
3RtN9YuWR/NQge+++/eNha8BfYkGB5iIzcLekC250yPUAiIYAihW5IiWduMLBLp+56BcfUa+A64l
ElPoIefPmAGSUGwif9B78dx900otmp7mrNaeGCxXBjpYyEiFMZ7AZqBrcxz9e4ZCvgB7AYgZMO9t
FzKrcVVLXIpVHbWrMJbov3TqUr1tkXU43t7Vy6Eo8s8wUnAKQtbL1rYKdQ2zsjppSz1YbHueH23s
xeY3KLZNcYAKDJvcRiZg5krNO+U5n020z7u+oogtpK6A8DeU18iUGqbIQyI+J2pn7uktXgsVCAIz
sWWeTuW+CRWAmFIM3iIt0GPoZI2W4hWCD+1T6ha/oLstOwnCtStipXYhL6Ku+dHmkxoEkBNrpoWF
6DU8x9L4PFZM7iNRFCd3ap0DFPBh52xfK03oETL24EVQZ3qbZ6wcKzVGjdBULZ2ovrj5nDyYGMHN
R4CpDbjPDOV0fGEV4Yu0UoyHqc+nylcSYIo+lXJS/x/OBYUoIEsqeqrfLfsL4IFWc/rUIFHmWjmp
sYUFL/DmNv8KoNnxwq51+uI4NMYynZI4hQBHVp+xPWNhfs00rBSpzcFH++qMxw+wdy3eO7xXAjpx
gFsEfxboPlve6qArJdVyr9LGa3GLSCM9LApXhrc/kTWwbCIe/3YkRlE1wFdx6/3HWFWM0Wjp9Kxt
/X6uF+tzKcQ7Fevo07+uRGDlBKzTfyygtrew50VdN8SNjW7AVJ7S2EWCiEb5j6wdqw+3l7o85SzF
TIrXuK64vQsTAAxGb/R2UDpc+G6qqCGHCSsGBfqBxOs8nC057+zk1UVBBq5zPgB0WxWFdjEdSJLC
DriWBhoYNo14egBu6KFg/ZSW5nzvteqeLOll/CBxoY8BkoxbkhB3Hs0L7GkMvXVsetLwT7mDEYOa
VeuE0lh5cupqD9t1JbeGiMqkfwUIautk53xBNHEmkdPfCTopl09J2TBkB+xVfIBv3B9BEEfPGsp+
x6zTjedoduTHvpZ71+UFd2XFDtIPXy151ibgts5JVM+Y0KKzybAazclR8Fn1cOJsHhElgNnd+po+
GA+xcObvQ53ob4pl1QyyInhEvp7Z7R+1tt3vVpU1w7NVTu0XlBMQ1EysWdZ+Pyrzr7Z1ccP0CtN9
SE2rMx6gmCifbh/UdbPOvz4eg44p2wlo9mISrSXSHAwUfQJHayf1ZJda6vqKqderi53AYEiCzgkF
ISw/5sJI66CmR7FnWn8ZaWgXMHuktYEwMqIt56+00+1ejQw4gnrWQZy0svRdj9zHTt5xGWnWehhO
+wqeoz2xWWWxETtQFtcM1HnS6vft2BTKwZyN+bVZKKN3Lp2rq9EFo+paVWGszTFt4lbksY3rsDe1
effA5GjKnhcdHbbAsXv0CG+/yGvL0YRC7AC51lXO6nwLURpbSV04hyxD6n633aw6Yg2cfq31XQ+J
K28L5W7YHfj28VzblteAk9xqaOFQRHfJTw2BsM9NnO7kCVfCyioPTtLNwVjdhc+fB/CxC6qSRRa1
UQzcF+occ8U5geAzd4t9X6Im8f32Fl6LLGdrronrfyoYTwcI4o6VgyMHHCpQDckRcaI5HCDbv6ez
GX9YpOZmAc4e8ymbE/Vx7Ofpy+1fceVFnv2Izbmxom4xR8kXKRGlPOZmm/rl2HTI9sV7UuzXlkLw
nvkpcAYq081SYAf7kp6iG8Bf6XSUZ5boQVlaApQyL3u9gSuRBvwz8DsynrVG3Gxuw9Cw8YoG3IQy
FsapSQrjrWn1i3HytLLND16qoyBrD/ky3en2BKEWWG1U/vPIhs6c9j+cndeO3MgVhp+IAHO4Jdlh
skZxpRti15KYc+bT+6u5UrOJJkaA7TUgrKqrWOGEPwBDJi8GT6GvtpUchHpDX5q9m7bmT4ie+b8k
7dPgJpo67mXEW3uYA0L6DWaXushqsIG2fQGVgsEyhAeHRSuelZGoN0rl1lPtud/hy259Txz2GIu0
lGdptcR6GMfJoCQW0BRLUnxUDezRVWI5DoAADuW/tzfqWxFr9XbwHXk8UA6BI7teS8TSAOf3HFHS
df5XH8e+8+ou7sFoZZn6KV7iWXe5r7DagU1TnIZGo/RSAMDM8KJ9lYJx8G//pq0VwPGROBLiAjwv
8UX+OMELKmxhhM4vJB69/5KHzeBVNNOhZRvK6fZQW7cgckQsNbtZd9Z0KRtx/jijBurFydj8SKiq
31coqEU797rYI6tFBt4k2qtkkeBqV3sosGZ8KwuQMZGBf7qbLZb8E0VfxCw7SdPcRsrlH0le74ma
bJxWAHjAFkjRRE1t9ZzopTbnhAG2N1a6XSAaEdXHiLhSP+KGt4TuPJu4yKhyFX7umimr3GzsLGXn
wd4KsrguMKMVXGxBxL78nPUylT2yW45XBYmFOPcgKYvfWMCG3apfpI+RlOexN5lWKKPOVPG7pMBY
cJeOu/izPC7LrznLyu9gbFnA3lSq2NN7ywrd1AK85dlyC8HMmpPqTqqjEdiKViWOmzRAPN9/NA3h
3suxFFaY666IFMdaO9RC+WfSHJ/2P14Pmbz8NJNa2Sk+X58BvEMYCcgGLU7iqctFa0dtKoegi3w6
A92jFaNCg3RrxlMSFTub8/qCY6g3w2fQNxAUV5tT6ay0msMG5ODQ16fUFGLNtlac0rnJXkFq7IFg
rs8cVVQRbFMtBRa6BuBI5FT4IyWSVzioNYZZi7Z3n+yBnK4XUHhtCgNb0kRkPMSv+OMSqZe4yNoO
koiEqiul4pQXnxLVs1Z1zru3BUNRBYCHL1KoNUDNmQYbG7SJxmgJoqWp+h4Qi1AosbXyePu+2pyV
GIjlA6uxhucHg1ZbszNDcwrM4JjlZe0hlicf1Apps9tDXW8LFO3e8l5YT/RBtMsFTHpolUmUSp6q
ZijqJY4xH2IpmEEsWS+5rP++PdyV8yFppwxQmGCR+jrUotU1ISOkinoZML8l5TpxaauglNwF+LHi
IYBAJRrvcifaghH0X8hrjdO7XWfI322EoHE3sbS5c522MWrIT0k/PtNSGNUTOmi44bhLWWM5s/OT
BcL38lqnC0DiRWNe9ArXBfqAQLKnISJ5U1Can8xmmj6lZTy5dY8hIT9t8EPHKs9mot2riLE+hTGC
ybd/w/UVLygCaBDxfpHGrhFl0WyMOtUlVE9HE2PKUiDUo1o9Jk1eUgar1DuLa/eAzG/ymLWQqW4P
v9G2YXxKS8yf+Ahk8uUusSKnGIGBItKf2gICBjvHS5DF/6lqEpYPaEa3bh4m5fdoVpqPkb7ER8q6
w088BRpQ7lp/MtCkPZbZMASHxMFI7/YPvH55+X2AbVCQI2+86mS+leQS2ZLo4Tn2QU+DlLxAiTAH
ivoTYhOzr7R5szOoCNHW+wJgiA6EkhwVmMrlomRx22AWjkQ7WZbxLajKkvepGXy1sjp/ls3lro/j
2UukIdoB3G/dD0K7AnVFGlWErJcj15CBwWtmyMUqCsoGiWr5Th7Y95pR7BVPNoYSjWkCVXS3xO67
HEqK1LiYdVYWkjOxmjWmQLWmcpz8sWzyvX22cdQYjAgNFiaeNmvoFA7NMf/l0QhVa7a/x1XZ+bQp
e1/uZzk5ZGoW/kY1xwmOo442FYxww3GjqdiTbNqatRAihM3A7LntL2ftKEuKsxk8U2zo4tBzlEnB
DTIKrIfWNvLT7c27NRibl1YSIjZk6avBytZSgr7PQ9/JegsrPxmfHHfAXxU0HsLWe6iHreHEVcZZ
FvjUdUtlKFW5LhvYGrUzAoWRsvKfXAaSi0hF9+39M+POILin7EaMs0pyKOH2oQPwxZN0ctZMt/Jz
0sZYcEyovv/FULT/hNaVQBirl18saMcKhSst8MIpcbCaWLTQa5Mh/yUl5t6bubWC9F/wqkfoiEUU
f/5H0AGpvcsxhQ08XQ+H3i8glDcnZJWxRcztvHt/okSlFiQzAm2A0Ngnl8OlWs0HG6XAUzFOe4rM
MfXKDM8DImMt3FnGrfdZBYgq8HqUqGANXQ4Wq4jy9G0ceIlOJeOB97D7Ghim9EmrlOL3EqR1i2JP
rT+TqlpUytGYxcBNsSsUbZbpfz166QE3YDhh4EAwgUmMqaUvPcYXP29/8M1fKrjJNmQIbn19dWyw
U5sjFEjEsckrdAwyGy62FFTdIakt/SMRXK+44RJVL1UtR7M/o8J4kHplcOOg7Z+NGGXLGNNnbmhs
Cw94Py5nizLGHqBg4+0WqbfIjEBnEnlfrmjYonJWzAbBXGhJh9ZJrUf4Dw5iGaN2oPyp+2gJ4u9c
D63hZi2kkdsLtRHhwb9FeI0Dz0qtaQBhnI+OngDoK9q8Pza9NIB851kMpukZ2sh79bgI8ECj8izB
9YNbuM4zGmOmbutwdWJRfK+iFeVhCk6I1GbjSZneLwoihhMD4QvAuOtHOF9ktR1lnAeTrouPDfWz
A5yH6M6ZMEyptbQqsF4x+s/LkFXfQssp7qJ2MO+aYbF28gNxDFfhAKBKRIEpj4P4u8JVox3Qoz8t
edqgLvfC7xaFWr093/6aG7uJJJ97m9CZg7rWKCD2kZwwUCO/xzbxnC5R+EFKRgcpyrzycoCCx44f
7c4dimGx0r/XKIaviwwnEY94q2iRrzZzoUm9rc2AbrRKVY454v9YSisoyjWR7hu1Ibs2kiM7YcHG
fQt3i373G0yNaV+eoE6ZhKoPqWutBNYBdGjq409nHYJx//7biEAQI6DyCUaR07IuFTVc4g4nMfKV
pVliD+yH+VWvx+m+0eXooDrp9KhP8eIiU0xZYEyhNXRhvKf3sDFjMn6T1NkmsKQEejnjuHVqFPvM
0I+XUTl1JQElhZPsv55Abe/GF2Hqat/qQlUDCAu9fnmtZh1jAWXR0Y/gxGXlXUUf+XNjSt2piNPs
PORt/U+Wdo54WAusySHw3ulNBVMkM4J/+xpK9NRBN9lJeDYuLbgsAucgfhLFtMsFaAA56FoCgEJy
4t9aC7pECyP7YOZDciqddtq5I7fWm/yGzJSSLKyQVUC91DoIyErFAGIqaP2OWCFxP9eQYCJao38x
N0qeIK+o+9KcWQ1GTbVFPL5nsLKVyVwn59HJEvuuLODXeo3WLTsDbqVvVEdAmBv0uLibVtsJWI2U
Gyh6+KMWKaeh06yTBavVD4zghMnJCxhYU5gKZXchAYhbYfT50jaD4rfIst0nGlqVQ1gh3jfq329f
Z1sLTx4DaYmeJiHp6hFPMC6d7VSL/VIu7WOymN8aNNn8tg/CnU8s5rje5ugVE63hdAWAXRyDP4I2
qoryYhlcItSkX8yoy//rMNaloFB2j06hmK+GBdvfsaTsw7unSAODChg0H776+iwHkqkHQVCEvlQg
izdNC0r9bQzrXhv+IlIERQ9IheasIEevVhPYkdN3VR365VAsJwNz9gczgriUtsWeeMDGa0d9SuNo
vrX91tX7OUCNPxezskMleNKiUHsqyyV6f2qEXreQTKT8AjB2NSHYQVFWG3PoF/EQYn7T9E59SEbs
59tY3usSbNw5HEs+PytIl2Ad+mr41qpjTORC5dp4dPKBF20uptiNa2do/EDSu53dvzUiMYMwiBXM
+TVlOC2mXC00rvm5LoOTVS21D53xd2Rq4QO4oT3ax9ZwJH2oaginGdyCL49AE8rLUFtG6Ld1Lfld
regH7qHOjZbI/pK2dvwXX09kEageQIeC9HA53oKYT9CWeuibI1FuGlCBMWcc67EW+oukFhSmIsQl
LLRZ1xulqPEwHHRhC1RXix8HZeNZeWy8BjxO749G2CNvVrZcWVB6L2dlLR2Uq0LLkC9WFzcMeuks
h/g/RFj3vL/OQ3mJwYSLDFiL1VB1HDtWseiZP491+6KpuXmP4fv4mCzSuPNGbFzEtAVMklroALxN
qycir+0cbH2c+mpUoRuQdkgw6XVT1G46DNPOEorfvbqLBeNC2OPCP7hCWmpDby8WjTE/NeT6K6iW
+qENd/VNxDt6NQr6VVS1EVa54uEBaqIhFTep30LwPM2JjV1GjZzVuNgY8sEqd61GQYk1nfJPUWO9
1yCNUBnyn6Cwib2vrH3Zaj5n5SRj6s9mNJ5Arb72QZx/RgC0uyunJNjZK2+R6Wq6dDYpEzMcCd8a
AD3Ri8g0pU78NG8ILswu0KkNm8HoT4GTP3XUE89SV1iHXo/rFzCExacWAN5jWOh67JV5rf2rG2P8
v9uv38anppqHrxNACQp669dPKVSn0fIy8Zd4kMEkStBLonSPyrLxuLON6G4Do0dkYt2yC2aCqB7L
Ej71DDwU6D62eypJCfoWS2qeptEyH8yRiMaerHqvELxxdqijcRmQGlENXocWMEJmIBJp5mfZnPwq
LCl8DMfavI/tYqegtjVPWuagrigkIEmyfg97ayj40CAwisa8Jy9J74gF5AM1e+0wotf/GBhdciII
0M+3v+PG28H7S99GodwCAE2swR/hU99GcmUkzJE+Zvy7M4z2MM7agMewUbfnPh/3EGBbU6XiTHlH
kLR49i4H7KLFhHcEwjnt5eFI33dw2ySGHhdlOComtf0aDEvlqmhdv/7FVOGoKUSlwJnWmHeSnRgl
HhZZRyTCRcZ6/NLa849ZnqaTXTh7nlJbu4eyAV1gcmvBJVhNdAbyoycT8gCDUfwzNUboUW7GGivq
1N/vn5lw6ybUEBHOWkW0KpALLBY589WxMOGYFcq/RZflHwaFDqpmZs4OSuv68FNlozwDsYqCPg/Y
5dTiZmnaIZWwXo2X1MNZp3xuh2VP3fN6AS9HWYUZONmlRZmhRtComfJlKApqa0rRfZhGWgbvXUCu
GFBuvCh8KNLlywkpUjO3UbYI2GhkfUKp9Ye0lObZAbX+kBXDHl73+gVjOGF4QvYGSHhdOtRHQ6lT
OSx8WxhllCSprZtCUnuWp6VB+QXfYtcYRe42YUfLc5bGzU5ccH3u+QkOtQH6+AAr33B4f5z7KsDy
R0YQyAfhZre+WujVZ2Nq+/tAc6RThkLNuwUascgRohmi9wLlYx2lDoVOn8VmRJlu2iGtYuW02JFD
A0rfk0LY2jkMhjkrjW8gGGLyf0yu1auG+k5d+IjPdPSZ6Vc8wbxrejcLDGcH67F1GFA7EMkMQtsk
TpeDgQTr7NAZEUTUIbzSDypcbJ/jvTBAPAGXYYCYkYjjuL1o261OQ4qUIto9qH3FdatTmzIHNzMH
k/b0ovqJNjnHeVazQ6V288mOArr9gRr8un1Mru9uXgH6eAAYKFRe6S7JVhrZpa3m/lAOjquNZFIF
UJA7TOkTL9Cn+Y5NP/vynA87Rdit7SoUsQmuSDqA8FwuMr7xixVU3AVdas/PRjL/zgx1yF1kRk0P
45PxcHumImVarzY6CEJih8cfcN3leEkGRjmUGU+2lp+jsui9WxZj8ThFneUhxFy5fdRFO1TRreUV
GJQ3sztoy6tBS8RJ6qyLC9/R6Qq1AeEUkggIruRG+tT3SnpKYyf+qkh9+P76r4VogNAZRhVKlGMv
51vEVUeLCGFYqeojT5OK9nmO8AbqUIrys8IoPdNM5p00eYMTxGNMp51uCFuKeujlqFJhV+bgIJJJ
cRbFpMKRMt2LM1P7wRURdocQAElxJ6Ec2rmNFWAlhCNvAx55EGKr7ajugZvENlp9duAgGKUJhjKA
v/UyEAT2iYyW32I0ilun1nKPrD7aVWoX7LzZm5N3dHp/CDXAvFlDuI0qbA0dXxM/S83Rr5I8rdwI
4YLKJZLlQTXi4bEco+UbiHOiMBLG4XU2wv5U64nj3d7uG7BrmCP0kpg73Qc8Ry+/xJx2OWU0tKxz
K0JAsVvy74P4FZMSxGcbQ3uibju/M1Ag8UtHTY+Nqe+xSjYuUpHhAE+myCXipsvfoHQBkuUSvwG0
wIghwoAbc1ue3z9T/JMY6M3DFem6y1G4LXMpSEnzQ4I/+amOjPFJt2cH3YImZZ2Jk6PSNQhEm0fJ
jKOvQZY0I9IrOnnm7d+yEQbQahZ+Hiw8XIjVok+JNGMUHab+orTVfT+q9jlV8vG+KIGISVqg3Zfd
kHkoPfRfJrjKO9fN9WYHmUhDmIYIIQDlnMuVmGNdqasBOatlzsFCYwnoTZoUuUMvNf7tmV5fp2+k
EjovOEShPCf+/M8HOeurKcbh1gPJ58DkVaqvQ5XOflBP+Z2Ea8s3fTLl7P27mnoOChgQoUnZ+b+X
w3Zlo0yYNjj4pXTquYXb46cQ0p8gb40+3qpcbYupfoJfcZ5Hu3xQpjbf+Q1X35iFNUVbjZcTMMib
uNcfM5eyts06TRm9WYmBlaUxoFD0AMoMvtQgWa5iL8bHqJzjjkJ9MxUHyq/Z3TtXn99Am5rWJWkI
Ce3qQ48S8AoVbA8SBEZ4n85debL0OjlEiWS9jn3muM68a6Z69WK/DUpfFvEDITO4Sn9ape3CoaoQ
MpTKCq2TqD8Hld4f2jn/JoXBcLo9x+syiRhPKO1AKwRVsQ7hYWgPGtLOI8KaufO1zMzqvnGi9r5a
ltnXUIM6d4453hMwWB+aPgle8UE1zn3n9I/lJGs/6rCbjZ2Pf/Wgi3oiwDpa9CJuWYMiuU5S1BYb
YVou2ceirFQ3CovO05tscg0nHb3UQpRMHbBhvb0cV2dbjIz8w1t9hmB9tfMNXD+dHoSA12VOeKib
uvGhzyfebDV7GMbNSYoCrfDkEWNeHrKcDrGOud7gWWYjPSO/KLuQeZVzkyfVcXQc6diodePKdHt3
YuLNkRlS5PNE+WvhGcdcCsmpmKRtDND2mqlWngpQY//N6lKeSsVuXjGxbAJ81mVtJ+rfWmDxbcEo
0M/lLbmctdpWXWOWjE38MjReGWva//o5oXtd6k661+m7uj9JSnkgcAqDtIOWyeoEI60wFe0Ek8LO
q/y0DBFAzBhj3U/j2I6nUsvrV2vuMcm8vYs2hyU2IfOgTX8lp4mGvOY0UzpAoc2XU6CN5lktJsxc
kyU+OG9GLXnc7Gzdja+KsCM6wKARgGGtb0zw1ySSJiKGbdok2C03vY+LvObW0LJgFQzBT80aw7tu
SYbj7elufFNoJOjZvim1wAu//Ka0yJUBBgE6toVc3MH4T19sbcx+KZWi7mzdjduRWi7vIewV0SFa
HZp0rrWOaHfwCAHRphmwXcJmo2ofs17Tn4oybL7cntvWp0Qul8Iv8a0Atl7OTVVD9HDaesANM9IP
YTJnd5nmoKchF80hbgIUA6e4eC/Ti237hnagBMYNsb6TuY9tBRj/ABIrmo4BMnP3Y9WGDzC+o7/4
dnRiYemgMUvzZlXBkVlOk4M4eA0yqKc4aeQne2xyL7b74PvtpXxbq4ssQUwLOplJpZZW6boq3bUG
5g5WOHhSovQvvZQmoGZ5UwwPUqsTuQgrxs1x1pXedGvJCb474ZB+zHQnGN0kTHoYaHUKDSXQ1NlH
ZDP7oEmqZHjFKEfWfZe1luNLWaD/4xCSPyVFFv6o0fzHAbCjy+DOlIHfDSajHksQyomD78lDtbrO
lLSt5GhwuEr7RH/sta49tc6QHlrFaR+Ahe917d8sKlZrKCSVxaYQJ32NtTSVOVy0mpCzAU1hYw2C
d/wvimaZ4SZZMIb3Szem3y1WcjkPRZ7nr0k9Z6NP8RRRzd4K4g/2EOSOa6gF0h6UYLv525RNEzoW
BlLG7tIvw6dsUMadqHnj5IIjERxKzi838WqlaMNmZhRIk0fCBuccJ7rwZ9MbNc6UsROFLloesbWT
KFxlRnwd9jU1enJFYnbxm/4IIhX8xpqxVbBMq+bqNXSc/zq1VHe29dYgWLlSkRcKAtRaLgfJ2yVW
ulYlZIiy3o0K3YQMU6SH24dn4x6i6gm+DSQDoKY10GypKjuWO4lYVBmWM590uNOXTqgHhPN5ydEw
TyPH2XlSNi52jQYO5UDh1ks6cDm1RJ87J1+Iw9KmKX4P8xItx0CyNPoNKMDtBH1bMwREh7YN+4To
d1XFkYel1ZKQiL+qYmzT8lmvXjuE5741SD+ie5E0R7sJzdfb67rxalJPBtNOQxnF0DXaK2lHZSyh
k3hTKXedFxZm/JrMyD8OmPMicZYZ6aOsp/FT1o3SzjfdWl5QfMAXIfRS4VttT9B6sVI4XB6iK3jo
m1kOT/Q82kUQAqVx51HZ2qdsUMGyB8d/Rc8oZGcCsxRNnlUU5ne+uaq6cmLuVRy3JiWcZ2HGAO+F
nX25ZxbHqRuDfryHG96M2XLVPgxTpd0jtoGk4+2PtzWWkH236PFS21w36SdeZ3nugTn31Lh8I5oI
d1pFbh6TtGn/4iwIdXkeLmIday3dUSAZCa4RA4JGQT08YHt4M53e+1lWkp2TsPGlSMe4tOneCuzl
6tj14zKiQ8pJ0GQEyNtKDx7Soql29sPGhUwBEUcQ+HQCdid+xR+Xo6YXnZbPI7uvjuhkjJVi0T00
utw1hqis7+fMNHeC/+vaHU594IGJUFEwpBa+egQondQ8SfaAzloVSwdOt/wLypT+hI7T/BsvP/AV
StJWoCycKZf9NA7zk1xLrQobrkRs6t37R2S/EE3EzUpgebkEUR4CtCoSrm7KKG4yzRbYgL48jeih
7Ex9Y6uC3OLlI+miML4mJSfjpCbUOQYsfUvzZLSd+aWvEw2qXJrtDLVxpRlU6XQ6mxx2IBeXszIp
u/VNjyUREH796PT5z04xxmfJUqcXY0nls13jW4DGrvbh3ctJh1oIhmApKOQ8LgeOO5Yx0JijYczR
c5hVGuFEPFaZK+favCOysbWg5DNCUZ5HA2XCy8F6C1pyPyO1UFht+iVNID/LkmY8AtNN7m7Pa+Ok
CF07glbKMuDTVkPptWFWMoYEcDSl8XluFfX4hh5t2eG+1ox7uLSNl5DxLNGwQhgWNOjl1FJHbZ1K
MdC4LfrhGFIhc6Wh/mIqkXa2Mme6K+Rd3y1x8lZxJdca345wCdPENfDUlGQETOOh92ZDT3M3pEfY
uvrsmM8hmh6VW2pD/i3j3zXdsKrLz6qdlnu+jRuflGob0BFOCqROS2zsP26k3gkUqHusc2ik+f8i
XUo/zrIzP5l2F+8F7ltrTNGLHie9VeSfVmtsNoYdh3pEXoeB+V2vTcYBitTwlODK7QuxOQDd2Z5e
+NYi/znoaiN1SqIsoUkCVJkFjmGLNd9lSwjLOEotXMuT+EEyi585ya9Qe/uLF4xGKP1WOtcI01yl
sqlstJEYHXEf3S9HpTpCt5dwii3a4+0Ts/UlYX3QlSBr5mlZfclGD0NqSazuFA3zWSnIuzJYKH6X
mMrOUG8EmvXOFWpa9KzhCFwFHHj+FE2H+qBnDWZ7WJoqeVgkNXlolCj9UVpoF7hOUtcf6171jKQ/
91Vu1m6uNzEchsw4ieCdCHoxf+KEsCTk3L3xb9SjqXp7TcTHXf9OqHiCcST4nObq7bOnRTWBcaN9
NxfST2uKJtXFFbj+2FbQv9EeUT7dHnDjI8CW4MriQ7A06zACzHjRpQnHCWYaVpV21j7l1JSPVhMu
3/5iKLhNAppES2ZtYKCN1PuaQe5RrG6kj1qRgoNK55x7qx60nURy43njcQG5zyoSIK1TbtoFdV4Y
c+/VNvrTkkbDseWcf+6LREIRs6jOFWBKt5kw6Ls9y424jJGJyoQKD/XLVVymzi0Fb2PqvUwzpTP2
p6bnQCDY2SfXPUVAEdQUBNzDEaxfcXX9cQ3WFZnGorOhpVzN780m/WBZ9XgY7VA66KEUfBwHJ3En
Gb5TWOlIPVrFnnfT5tYRHlVCXVNUUC9/gjNrestC8BrInFo9tHVfsklxwQ3O/u1F3RxK1PiR1IDA
vbbCakMZmlRis0ud2T7jJpCi4ZkqR26Vd4MTxMLSpodFJAS010gaWw6zaKEp6DmVFRzigXJRF6nh
KYy63uvIn5EWL/eoNNe8zLdRAUYjbigcJle7ZolMOY8KrfcGtNSPS26lB2QHl2cbNbozzWNrPlal
Xh9TO9GwVyyzEjBuMDwGcjYeNTUZT4M0osxnhX10yMBx+AXogj1h2Y33UATmouPEPzhYl1+8buww
CTOFU9WGw0sfzwnPROncwwtMPiHE6Pgmncbz7W+/8R7S5SOhIoLjPK3RIjo6CUCp2GZNPw138E2a
72myzE/ysiSnoc9Tw1WDPnhMGmQEpKhX93zEt2bNKROodY065/qdmpKOsk5E1KNJk33KWnt6aEJy
vFCPe7+W8NpYVCnbweRsXSNiH6BUQE2KvXi51HGntmpJed4bjNJ+CvErcftw3HML2TpX9NypFomb
hPrk5SiTrlYIh3NZ6XXdHpSqKP5X5+2vIKm7nUTyWkxLoLjINuh4CIWWNQChD9gzEPN6r2oD20Vc
Unqpiu4f0+yKZ1UKC3qXuurLoTSj9VqA2ZfLFlf4Wn8s0jz6fntPbc5bYARFoYz+yyr0KIcxGlJV
PA9G0B21TvoP1dnhMw2QcqcXsbF5eIIMlDaotAJCXh2Zok1VYvOg81KnlEO3LXrprlCTVnfRMF9e
4qbUXjG52AOTbUxQoOipAeJxgxjOaoJL4vRDudS9N1Ge+6EEte1ORme+TPm0y37fmiKa8iBWqTcj
WrCKWSJk/QPuYTKfXtaPVRVNXxAzoTChjmYvSK6Wb9VFG7hj13YYX6F8eExjq74Df16cHL2cJ9cu
kkQ/DHrv3DkxHSg/lErpMBr19BdbHngdtDmBrSdzF7P54+GsMqWp4tHBDDmiCJs5UexnSZA8mkOz
x43a+gg69wVVrrcmvfjzP4aapLnspbpiYWpIc/FUBf9FfRU/mFZp7WyzjetC5LgiImBTX8lvNXEs
5SHD0TVhxZzWzA9K0Kmfbx+bjegUqINQGAbMDnxP/PkfE6rnEWfMHiPpTlZnxH7H3HnMgM1/r6bO
fk6ktPl9e8CtFST5EgwzgiaYxZcD6rPRjHOpcXrQhTvrevdZkSS8buJ2T4ptc2pUCOHzYO9MkWU1
UpRVdT0yEvpqBIeQ17w4DNAryuTprk+KaOdV26pyiehQxMFUDHB2uBxwjvRQtWrWkg5LAOBRjr5N
KFjea/qAc0MDtOaAs4P8j9wb2mPaB9KzxOt7HtK6l99f4SL2J1gV9CLSsdVnbeuxGfB0RNtwbOqX
LMg1v8bJPnLNPtnzM976ojbYbGJzOBkI8l9OG9C8RkrLOld5GOUe2gPGfVsinOhqUjp9vL19tm4m
agTU7AGtgHdfFbkmqcmkheaVVyIE9T1O+/SfGlDKawlnq/NHc5kLV6ULt/O6bB1GR0EBXpQNYGCu
Pq1utfzNht55+RTgI9ulwVHqS/l4e3IbcZEwZQP6wvToDqzOhhb3lhk3jJI43egHYyK70PkgIs+5
4UEwTR+DLosfxxJ36sAY9uow28PTmCB7p824jv6lcJICpL24C3KY0cVkVJDeZu2gLV13t1jdct8Z
WndyJkeiT6sHO+fn+tMC6uTUEKgDsrsSMmnGqU46HThBqizL92nI7EOAWl/il5NDZTgPrFFyh9KS
d67A6/1LtsN/KAcTlYHnvdy/hW2WZRFFo4fJDiWaOZc/tGbz0hgc1dvf9y0iuqwF0DDkVJJggSSk
0nc51Cxlk5a01EewrG2Mw4iKxQclxm7VjeYm/S43pnoKVEv6MS1J8UIbU7134iR6EDXwfyplkB6R
vrU/FXKwJ7W3tfi0HpAfJR0T9bHLXwaGpNBSK+gplQSwfVoZw6UGu+cSB6o2wiDSNty4XfYQX9db
jsNMaVVA7bhB1ga0HebWlo7nl+c4aV675WLPgNRbs/0O5lAxPWQWkpM2VMOPaEEr85hqC2ZUt7/K
9TvBb0BuigIZt+VVg2zJ28qCDTd4UTnUp1bOhuc47KqvKo3rz/Rp3i3jIYqc/HvQ88DdQcG/XOrF
ikrVjinzjjllJwyOUj9qcDYD2WLuHKmNrc2MwHeA+mK3rRE6PWrJVpPxd2c8x14dDSF4FttEqqnY
I8hsDoU4Grx7cjsq9JezkpKuMGudUpDsRM+lLRyVckcpHky137Uj3ByLawo8EHrEhC6XY6mDlYVF
RWpNpURpHiZjrJxzmWJqLzvF/PXd2wNmrmCUAoKmX7s6GVHkxPLgMFhV44EQRPpzoi1B7EejlfvK
PKZ7FOTrtwY1PcpZBJn4dPIYXM6OVyDWMCOmsAmA4xmWIwjvipvg9rQ2DrzY8EJPgK4m4IzLUfQm
lYxuIp2YEQWe/MhG98Ktojo9z5PlfI7NRj0kVVDutfs3Z2eCaSA+IWa/KvaHqjljZM1FE0j26Dlx
GZ/AcMh7MMutPcIVS8mOSw28o/gdfwS2cg8dh8oxBR6tAUXbAuLNkf3wYkpv/u2l3BxK/G1oeor4
bzVUWmVBMtKV8rRKDj2iJOU+H4b/6X1h79RAN2qEaNXRJSHh5qQRsF/OSkIfQhQRuSzstvYavS1/
lsVi+1mtp3flIpmPeqd/DIdR+S+J4+Ubzkh7ZLytD0iQwplA9YL7eTVbVLGNzkGpz4tgUXmhuSxH
lLqTnTXdeBho8dFBsNBeozG1OuI4ouVlk+UgOOdo4RkYg7vBmPODVtr9U1c7LWZ9HXVYVLtPtebs
OQxtfVKQo7SGwaBT3l7Fe1rVaJEx0Kzplzg5TlJa++gC0Fo1p+7w/t0DcBPQvIg9eIIuP2kbTZKd
FyUm1EVieG09J/5gYPc36fW7KYX87UQf9IGgoXOfrT5d2NF5rmVAf6iut//JQ1t9caIkv4uAhu3s
1I0FZHdAetOxdYGutLpe8rnTC2mp6LORhfh6HtUHabJGNx9b5/3vNyprJsE56qPcaautMsrBgDwK
1UR54QWI1W5AX1vo39rU20KvSjGRuf3JNipfgvaDWgmCawAb13iGJjeyQRbvapFga+bm2VIaH3pp
HJVD2U71/8xOjzvA431hQPtLrNc6txTolW1gvUwptiGH0CyU/t+dn7VxNAGrwsBzBC+eZsXlVkom
I5RMm9shK6b6KI1mWh/7bsSVjUuj+mUawEk8CIiR+rWNRvMpxZKp95IsKp71BIeDx8mILJqDWS5/
6rQprXbCkY1DLeomiMLT4yAeWZ0qhHImQ44TqieAoX2TApGHLrx+cOr0Ja5xWeSZUs7DXPcUwDV9
p8GytSVVVceyicqvBsT2cnVKyyAjN5lwFeE9Cw5deohD5T+5N5WdSu/WSJpAugC3glLgrM5Z4mSh
VJOksfewiy9Lyp6gbiLPWKZx557ceMZFssiyCu4ugIjLSWlEWxFCTwSTUT0/VE04E8Y2NtCLWAtP
tTrjvF1TRb+908TfuspjcN/ReVx58MgZVjGRRVG1heA2oEYWj96oTtl30yiLHUDLxnZhFEtgArkY
IWhczg17IiUZdAAtCga5fr506kPUptq/TpJYR6nToyOiVaYfO6HqlnKrf7w9yTcM4HqWisPNAhpD
1OFWGyYeHD2DVD943YAD9lkNIOR42hwEM0Q7JQq8oIYYc7D6StIPQVR2k4vrRPsrgdkL37aXf9RF
VJ9KPIiOQxBEdyPKr19aKY3NQ5iOenvUxkiV3DiLWupDI9foIS5bszrOVMPgERrZmN1bhlQcMi10
yp35XWejhBAC4y7KDZRT1uWGFLevziQywsbM+fp/zs5rV24jW8NPRIA53JLssINkRUvWDTGyPcy5
GJ/+fKVzo2YTTewZY4CBNzDVVaywwh/SZrx4kS0buDId9RSPzlSJSdSyQEcqQWJp8qpDL/97mdof
K4H+nSU+Pl7yu90sdxSqar94/gRTm1cjs8Y8pWVIKSlerBeBGlTuq62rvsTUnc6OcKFSE/AdaWzI
D3nzoX8NSwuMaIbi+lYatHHwISt4OIJ48Txyc68/mz1A1zVaHACheX/wftzdD78ODmASxgImsT20
JWWrBi1zCtat412adpyuRTSUgXD1+SDM3xsKupoUEHGJubfgD5LbDGA6zQpp3RwKy+xIJoYF72nt
CHUtb+/tKgIFoK9HAihBoLfHdah0q0/LEbqW20U1VC1h/qfMtegbpMw+xCsTVcUsm98Py2oeRBu7
Q6N+KiEuQBG2rXPDmupMNSc+4Gon6N7qpu822Xhx5yl+naV0ddl2hd/PzZv9iPiUEOz5L1Vf5r25
o3Klx+SkB0GcQZzzRaGvaIPb0ykquiNp571dqoMMhZ+JghDc89v1zY3OyixvEbhe9oVPIXEJZw8J
ztKyinAdbf2gv7c7HiVdm9EIwrcdNSqRfGTaAIGqKuqpzMC2t6aJEY6L1SZNviM6/+54ZISsJRwR
7qPb+RFxZfO0ptLiPZ8+iaH1QliR9VNnxwBMuuXICeS+Q8+3MxxQOSBzyGe2C6ordUs5vCQCEqhr
nFUFU5pzosBpCozBsf4oM7t0Q8NzBt4dT4n/qFVTTB/UZFhZ/yyZJr/qjcr13XxwsUCooGryR/0z
/HvrzRmJ/LGI3f8y9SUf3qwOueesoVNB34Tn/uTNbvY+SsmaSWyL749v4fssk7EADpGgo+5Nork5
yfGUVuXaKHROFFX5zpltvufmal6dYdF+iq6CAauVHV0vLoFPpuKu/2pqN7gH8drefiCpZjdQfkE0
Z5PrRgs8hAzZ9EAtojXMk3R5Zwrd/qZGafq9cdXiz8fT3hsPfxbQydJDCBWt2/2HdGMBma2j/D0Y
wx9zlAu07texx/UmyvJQpM0RDOEujGKdubAgCxpUXCl13o7YxnmjOV3LjdnXyhdokNrHJIkOoqi9
aaFsCsaTLyqb1reD4NeyrpPTiGDyFvu5b8vPWQ8EzcoVEoB51K+PV3Hvwfl9OPlzfqu7aBp4UtWt
RYByfxkmqe4FCbKuYd9n9unxULszo+Ah0UoG3ctNtOAO5eiUNKADxe2WV2qS6seacPx7QzxX+8rC
Fey/fUSqAVKBggsRuMzt5NTIsyPyeBG4bjtdPVf0PjUK269iyz7pwAoPjsA9dY4dgrgikR+YETLc
zRThs1nWbPCmJuNsJCdL9MZHnZqOfabL3X1WpkZkWKe1c3rClHlJT0Q4seNbXSW+Ylq3OD66E1oR
JDTgrSeuDxjzla6PiV8XjW34qVpoH7KkBwhlFXr+lOH1ZvqjUWb/TCYewv6IdKV+8N32tgh1Mu4w
9PylGPvtKvZ8GLu2WEXPWbGNppx7FkauXjzazQeJyt4WoWZLKUdFZZFqxO1Qjls1TmXR0qrmfDl1
Y2n9pECWB5NtKagA60cZ7t7UJLGHzjb3CBng7XiJuhqpFq2Mp1PcrJTBCAQyIRfTjI724t5QCK8A
nkMBD47zZigtLkyKjrR4nSJK0Wee2tdsWSDC9FV6kM/uhFcUFcglITUDKt120kdLsUdzSYZgwOD8
3wg1+9pvzGUMbFVpn8FelqepUetwsoY2PjhyO9MkZwcQb9At4ext7siud/O0bipqBnrZ+HZriWsO
TNJ3tCk/Pz7du0NJlCC4cJpRW48XR1s6o60INtI0/u8oauOsN8NIO2rKDkaS32YTKsNixrWGzhey
mNvyYpMn0LFVHti4UupTJpn/ptUcmQLszcfi3qCMymt2l2Zw/3ows5mPsNAu9ZO2m763Qp9Gcs2m
+Pn2xeMZo28L6gxw1OY7LV6vWljGDQEad2mgDFP/XOCP8B5xb+3r46Hk/9Xd6kl2IncIfIQtTXrG
MtHOCsormodNpK7X3sVYx+Gc55MVoD+tUZqe3lxllNLElBiJR6hIkErdnmwkfLu1GRgUbEv0OvAM
IHw76eclgmc6Ajw7SNz2JknKRi7D3pd5ze14egLJxUFmKhhs0Z4mc5g+4QZuXtlOTgWPqqufUvR3
DxKpnftSqnNzp/DAyebk7ajrbPYWhTjem7ZzTkU1uU8ewjNYPKOoBxB1PD3+lHtblM4JTSieb8qC
m12TZ2lcIyvdB/WwVqfcGdRrrUx/A+Q+aijsrCeMbRquuBhRA9wS3mWXQfSO0vPOgWpOokb/lpsF
4u+1qkIVcNROwfJT6OaPxzPcuTul9q3kDzE6rbbbFeUyjdpOxnhzZ8yhmymWr81F/a4uzVWaBxh+
VlsJDZyyPcjf7iVeUDslLZXPECWeO0eDDnMcrxswOLU7UX/KoUC3VBzG6Q8xUoHGBcUInEwtz9kg
6lBfO/Gx9ybE7tGP/rtZ1O4UK1n9P9RauJL4WWgCyOdksx6NMRuDVZMwA3+ZTorV6k+xYUR+5Ynl
yY4t9fJ4/e9RWXIVPP4hiIKksI0Sjc5NqDlTG9AUyvRBr9QESLlepu5VGYf1k7ZUvXkeMi9+pj5b
a+Gk5GMWmM3S/Xd0R2KHxz9oZ8vzezjVqNfKEEH+/fcAuU3dWFf5Pck8ED42lYXzq/4XpYr/IT6W
mgG0yKW5LJiD25EM0NzUWjIKBohWJJe1Jbv0F8cQQDqtMnmfeUZxBHvfuUDoSlI0gBhPfLxtXjta
aTWQ5PoAomx7Hge8hxapvVzyUH1aC4TRHq/m7ni8obIRw7O9JT0ivGnHi6v3gTPX9g8h5iYQSqHT
8IjpKczlm5X42U1S5JByNOIgdyhcVyTtUAirR+LFjHxz6tXAoNZz0YXyvwzFZe7hwyKZC9tnTlmd
IrFarYeZZNACzdr03bx4/5jeFH96+yISHiMYzyNHnVsu8m9bUo/WYuqwR0dkwE6uVo9wI27U3xW7
x1VKkAs8Hm7vBHARSk46wExwHLfDpeg2Lj15RTDH1uDDrvECs06Fb0+H5bmdQItPJREOBEDIAW2O
wNB5FnzmhIKya/bYPafaFXX37uCm3duEEmwJogv0FC/M7YSaNcUTT6Pjp1e68UerYF+iAyjznaZW
fbq61UE8vnunET+CBQfjL7mptwN6qdVnhcspg8xScYdQFExr4Z2UTkvDNZ+G8yJcJYTyVkmNFdsf
9LK/xJ1jHvySvZlLShaSbTSVwe3d/hDhdrAldN5vza3yoF3xJtcbp/NnulJh26KO/Xjr7H1P7C84
eiw0rmeb75nS6BVpyvdsi1g757FjBZ3n2R8ej7K3QSUcDVNANCkI+m5nlZJbaK7IRdDhf36iHPZP
48btpwaUx8H67UUHshmKlai0PNziSikrdpNhEG/Z6E8HKeb2f0VTV79S7igpPqXri5cjJkPsEH9+
PMfdleTQc3VK1Na2F2vPOeLCgjpNMpbat6pOG7Ac8GAejyK/xyZUJxWWFB/yD6Q2NvGkGEE52Q0l
GtgEypXef/pXalQN8pDTfDKmHkUABJ+uajmqgTYP6UHwtfshJdbu/4ff6sR3zZTapcckS6Ox6XzP
1gfEG7oAmlt6fTzT3S9p02ohVEeo6peAz293qKYniq4p7MyO3CGstVi9sEfRqnQzgptoNQK6bd1Z
uOsRD2f3DDJH4mhpJ7xNW5UsHVbmjze4EmcA1BY1NBPVChIivGBpoeH/DzOVo4EnlPf3JjPJrFby
shivLpPivZeU0WUZJfXTLYs5P0W9qXzK1kF8WjW3Png6fkEYthuKQA7AJgV7YFDyi/+2zLYQgBbc
mPIirZblaWqNUUOvbs3/BPmg6k9koA6Ca7qSfJiyIbF5p4v8VIxJhJQEnkB2ILJW9SA6AIb0o9zr
a3+eZ3Xy+9bRldNi9uo3NxunDl/20TAP1m5vQ9rUICVuERHxLYlHWXSjzzAYDVDvH05E5Friz+qK
sFmDLv6b2SoEK7+PtrktlzrTqkyXexL5rfNc5Cpt5rRMn9PVMY/qUXvbkPQf5QksFrGW2jyCE7i3
fvKoNuiiXQOysPKqoo8auMVSn72+SQ4u6b2rhS8KM4bHncdwsxPitczKRaFpC0BaeTHQiFR9014W
FTbnMjZBiwreFA7akPyZFZb797yYcFofH4W9SxSKnaw+A5mHZX+7G/M0SRQ77yiMFYn6sjad9dm2
yyP+6j0Qge9IGicBvJCx4LzfDqPz9bKodyE91MmaX1L8T/+JuwkVfIWdj+yvHX0pK3yS0F4uyjDV
iuRfJ3LblGYRRpdUCGPaKNM8l++UyohEiH7uuPiTYqyD73bl+qMZGlEGrlE2jp/1SoSqmG3Nia8r
Wtm8T3tdg0letFURTq5o34zMYW/QQ6XWQekInfRNQOi0Td6Vkhk5D6X9x+hGDVRdNT8LoR68tzvn
j2dd8sRo2kJ5kh/0t+ujXVv8dhqqKnlrmT6CFtaVECvy9QxU9OO9cS9QIJGeuH/yzaiJ3ZGpURMl
kHHJ/L0oy6rAaRrYuyvyKD/STFc+0lzNHD/OkF99gi80WJ9FU9vsYSueSj+1bEwN1iXT3rkUwTo/
U5shfe36bvrYLyzluYlxhD7ITXeKJDIiAOQs227wFG6XZwUVvPQZhV4TzMA5Xazm5Cp6Fdir3v+z
1EmT+k1Z29bBrbgXz6KMQDVP9vAl/ON23MYp7DZNSLU7ozDfK/1khfQ3ktKvKYtAE0YUGmb/NOaB
m0OJHxfF8+3OrU8c8SNzkJ0tQjKpU6qh8CbtoW9/C/h2sTqr1wbIQhg/02TUT1rrgnftxyU/ekt3
Fhx2OIA93m6Ii1uIkatQctDckbc0aqtXNxdGMPZjfCblQ+ay0MsfeJkPB195Z4YMSo2b+4QIcNtY
xeIJbZduBUI7tciTD4P+ZA6qir23+B9aPdJBmUoAzzXFe/lo/H7eUHfTe7frg94cy5Pb0EIdi1k/
oY16VFfZW0p5qoEkA0C5A7eurjtbZUGWN+oIQoB7KYIe0tLFboAIN2gNvjhmchR77S2lXEKyBfJn
KI2381sn1451TMnQgWy1wMwycTaFAxYg7cVBgLk7FAEe/+E1uOODFpOaWmNa9UFS6skl9irjIrxm
CquhOoL37QEA6KrCT4EOAxFhCzNPU7Wm80/poUo5aTk04YD+T3Ka9QUTmwJdSWuoMZhOmzn0PDrk
6pT3B6nDL0nLTahH1QP43S+xMvCit2trOo3ajIiwBlJvvT3XfNYvFCrir2vXOAj85y73ZJMrRXx1
+xFu46w2TeOXQhQuN5YTvzjaTK+PUp/9NFUdYXmH1tfXx9f8TtiDIzmB6K9ePlXW2185Jm2NLIje
BS5KyvRzkvVkDMbXvtOK58iz4oMC/c4ugCWHoQmVPWKCLbS0VhdAKzb1J9A5BY7eUQ3LMopfm2ZV
jx4wucCbDyBpcQiBSBo4lvK3UyPYGyNjpsrQtHNkn4zFGUKa3AZCX2NbXecKO3ZfiyIMrY1FuWT4
IZe+rVjK+c1LDG1OxgiwHjDd2GyEhvqNk86UV9RxwZAYh/sw0dPlZHlD91JXbfzn4/F21xi8nKTg
qLQlNpdWo5IgzCtJueENNpAyLAApc4jnkZLAm+MRchnP4N5CsYH7YxM01/Oi6cI2MDGKC++KqQg+
X1qinstWHBkc389KDsUgUl+QWs1mo/aYw2PdbHfBoFbz2YId7KtjNJyL6JALdn8mKLUDAqHryEsK
VO124yytk5tRHct64oqSuTkmTzTBk9Nq661PW6B9evzBfpVCb3cqCyhFRAmaZJNHzv23ZwbxVaem
Q8bcKOYbQTW6Vn0eFVJxf+SM/JFVJvBr7G1zAhhLmC91bnp4B5hu3CMxP5E6GBMOGn7kVGV+QinK
eM7KaPwnc0v9HEWpyMNunrVX1g4nwwY95g8xCh7J6fFEdi5eqpQ8XuCqae2TX99OJKqVxVZzpQty
05z+pYBfPtXo3D1VJZwz31GEOOWz4l1abHyfPDdSv1Fu7+KDk7/3/aSriOQ6s1W27PEUTae8TXIu
GcXWT0rsKGe1H6zLGOk6fvaHhgs78R8yE9T1ADVC+CHoup221yWGochbDR9x6101T1QTDJEp16bA
rLLIzoltTq85N18g4tkJBftWsw7lj+5DCH4Gwns6cHPmvuVPmAvuqYPgiTVic8Jcxhkuc5GMiFX3
RO5UHq+5mR2V+XcWm2gTKDYFQPomW1mYhsRoLnqrC7zOhfXj1MtrZKT9+8nL8wHq94i68ONddl+q
QqwRfCUUWo7MXdAyOWpVR9I5rS0UsACtugTFpCNr3tL3ShXFwqduUkNn1Nsvj0eWsfPmnEptGkxN
6J1ohIW335ly4NxMDQW4JZnNoKnq7J27Hgsx7A4Dp4p/SCsQhbkdph36fI1mrwtUs0VWIrKX+snt
l8UXkZ73vkAYLTkpSBue4oWya5Yq2ZepTLVQ9fLko3DHoj53UZKc18RwD+6qvc8NH1eWywGd0t65
/W1Kj06lnnK21qzWvxgm9JducvKzE4NyCbWIGl/4eNH3drVUeIIcguIS3oq3I7aRrVIlY0RFFdWp
TEwzSITr/CG8HP05hefbojp2MOjeNH8fdJPSW229lraa0G4fcpvmRNaGnkLkYNqR/scYzW9Wh2NF
ZRhGq1Oaj24Te1WdsinOcZawF295AlzW+W3UKSdMilZ/cObpRNHSvGD9fOQAfjdT+hDQb6gCUQsl
Nt/MtEmdxabBDxdGSZ3+appdjAiGtMBA3K9Q80u1zvGRfYvcwTcHibyUgIgkDpYk8K9NXT1ak6xY
6J4FA+zq8qIPRv9qdZH2UtladKQKd3ec5GBQYKS6B7XXX4H6b6/r0uei0euaDDhe9T/KYdbPXls5
Xx5v07spSQFwhtEYB5LaNiutoMnxBeMpRDt6skP4MXXYGDjJ+l1fe0eJ96/M+mYFpQEKbXiCd8o0
qFXenoql162yUpcxTCthTpo/R5VHM3KtVOe8tqO2niae/ZoFLpef9Gis/mwVmZn7esv9cZpaFTaj
ULMhOucq9m+1M+EkiHq5Fp8ngDL/rEk6/BjQGYYWkA11Ju9Ye/2oaEj5AdCMR/dkN/EsnrkO6ndM
PC6ClIfpIGG4257Mk+IkH+5XjrJtgVSwwQrHGqbQi+bms1pPz/GkNK/ZUDjPhWnVlzd/Ranrw1iy
OUCX+HZZNWhEfVEUZjgmg/fdFU78WiMy9Jehj+tBgrizYehYw2qh7Sp98TZD9VOL3EwymGFrlO5n
o9TKF6Fa1dWetaO2w90VypNFs5qKCcBfoPabKxTX33W2B4bCbWV+EVbshppYk+cM57UztX79lR6o
eTC/nS8HQgbJGVYSsMyW12qsOh5+dWSEZWVXH9HyfBJt5Z2LblLwABNHBIO9Of4+3OZAVKD1pNaC
Ea4lWopXTDrV2VfXuKWs3Nt5MAIznP3efDtMkcUFNEdhjbcasPOm6JjOrh6Zg2mE0zKrf+Vzon1v
1bj9WuTl+uHx7ryLfAiyULahWsMziv3VZo695kRFLDE+7bKqpz5t1fM8GP9dzSQ9l7OiIwHjlP9F
cvxIAXhncRkYsUPZMyNJ2WwgC48OONa9FubCaU/rpCtfxtj4b42n8/tZmPaTvWjV6fFkd/YPfC/O
hSqVAO+Utia3cagwM+YYgYEKKozV3pUeXux+r0MDqxbXOT8ecedE/qp2U+ijXENP+/bw961IvGFt
gFCJ2PxLUwWumJgv/qxMozxInPcWlBqm/Jpc4jAAbodSCkVTy94lSq2F2pS+6GhMfHTwdV9PEEUB
YHSu+2FqxiPFmr05kqkAAqI0QL4iV/23xzBtp2UyBl0LuygajJMw2uwLcXTn+Fgvdwcg0N3BEOWW
pC/murWZ7Bxd5CltjLCqIvebUS91TQOvna+2my4H7+/e2aAzSROGC5Wi7eZsgLKGwLpYWuh4UUeQ
LLTxBQ0m69qQcet+n8qbAOc+irdTMRyousuod/MaY7qGGBrxOh7LW0A0d+uatR1qkZbVKOPTQsfq
6kRx0QftEhcgmAvd/FQSHH8pR2v4b9XXR+3LvekDKQaHKps2/JDb72oZvJJT3xqhnWNU4JORZfPF
rAvrP0XeqUSUU31KIKGF/RL3R+I5e9MngkRVkGqTXIPbwQ19HoCvTUZoRUlVnMDoxa2fRXr7Ofcc
cEvwYF+gXGNwrZvjyVbMI8vDvY0GS4JmFY0q+Zje/oDctYtOoRgWdsAzwtEVqp82nnlVmvXNdSju
YKlPIBWJ0IDZRgiJlmeJ47HQ5ZTEYZG4w6UsvPypBGt/0OjYuwEZAmQgABdpPnQ7KxTCtbh0cFtY
IteIg6lYtH+p39S2rxNvvYyKWN8+JNI9nB+cK4EeQpq4HTK26gY/pW7lXprGDwNluBN4CHyX+Lfz
f5rIeDOuGekG9IJoVsHX08xty86L887ux34NC03Pvret/oIcjaL5ubpYRA4WeZC1zAe3733BBrlX
wjz6bpwU9PA2p2XW1SIbEYcL0zqG+DGPs/YymVb0nwlp9c9FtCSvIu4bJ1jQ+b0CIZzgmrkjQBFP
/eetjw5RIGGDpBLxpbcM3NFeCnfKlQWTbcf4oiKw/rNSW/NdU7XVt8dD3R9TokCaS/JJJe3ahg86
RgFG1mVrONQ5zZAS957Eq1Tqhb31xYPBfVIncPK8rs61Rynw9Hj4++0sg1CpdQJoCl/STekgXpzK
zkWx8rx2aRW0LUK0frakOBCPete+jsgUHHzo+2cW3iVvObEdpSJCtNvt7GamPUJuWELNK/vrWNgd
3Q3FO6WFs/7UUq+95Lrz8fE0729ixoSISQuaxIW0/nZMBWn1eWhhN3d9mn4tSv0D8sLg1z1HuWrI
XPgd1bQQGMIRIfj+EgTUCwSBm4IqAmXy24HjssgrL8nVsOi0+SJmHee9wl7Pucjjg4f919Vz++Ax
FvcSnjAwq+94+RDuumKy5jU03KivkMXJVHrb6BtI7vx7Ns+EXX3rhJk+zU+OFi+fUsrGX7oSqzcM
gPN3euvE18cLv/exAXMCqwT2SASwOdT9XGa1WXCVpCuWY34euSAB2tpBNK5coXwtulU9VZ6V5m8t
SHKbEEqBhqDoDOpg05rI6jzGE3Baw75ppldv1fQ/8zEuqNkZ5T/L3Knn2hnTs5ZTBH485b0jxfVF
gUM65kAyvv3kGnazKCkPagjDX7yfe61mrpryDW6peO5QQT64Qfa2GIdY8jJc6Yq3CVtLUJITrB6e
h7gczvPMk0foN1zq2a3Dx1OTX2uzw7irWE3ZNYNDLY/Zb4FqXRppjabvHJb5LD6mcId8RGimr49H
2Tms1GtkToXyMvHw5sy0apovbp8tYdKUM+5treE8tZVq+JqSN+dxSukV96lA/5ayu3Kwb3Y2LJEa
OmQkdKRW29LbpFTt2DvFEq7x2vhr1bZPVjPp74c2qV+a1R38WZvrt9/ChBO87aQf1HGtzSdEDF2z
0hS3mLjszbAyzeQ51VPrrI7WV7iK+uXxAv+qXG6/I/gv4hdoPHRiNxGFUfaLntvtEsJcz2GKI8OQ
avNyXifL/ogIYv1DM6mXLUpZnWa1jdtT16n2JdWj/EuKzoju06MzA68lKTr4aTu7md4wty3kBIgs
W9wWoZyz1r1Ayql29A+5p6xPzji0n22utJ9xV0UnFTXV13zqku8NNMi/sYHBGwqOcn3WJzM90aRf
XgV30VXNkR88+HnyS2xXjrKXvF3ZnZQXbk/Aoiw4ghgjZqMWVq6h0UxTEaa20P/qVUNxzo6Sdvmz
rcbx31MZt3FQx5X62sc2lswHP2XnnuEE0tWTqSNVDrmSvx3GMhu9OanrObTGPun9kvjzjLxr/2JU
dbmewHUYz4taLFe7WqYLto7V3wPCOynuyCD6W0ep3tnFbF5Spylfc5BQ31A+VqyDrb0T33ALEkhJ
bTMZnt/+ynRsnaxa1DnMonpuIFWa6Yu+1OULb6X3ozZVNAfrrBIsZYUqkCqW6M/HC7VzoqWjHz1H
CS/mRr79BVbrFGrcqByu1Gqy5ziJiud2TMavduEqVTAK0Y+nyFndt78DVIMZEhqSFPzbvAOZaPWx
wU0wbJShKc5dB0zw36QzlPpc6SbeMmntlPrTmycLkQGWATR4l9bB5oamA29Wley0zWraNT/wSUiu
mVr07cXNizr1476d1ucsNpY3VxapJnJtUznhEuO43a5ynmvmDK6MylCXN23Y97BkfCNvi5YOmbJe
kywy6qPLYuc0StU38iKc1gl7No98nhU6zLdcC80aQRdwI1P+aptD8+KNy08DgsM5U4cPs5ePlzlz
atRx1eHz4wW/v68oT8BQ5p2He41S5u28TSNbEdzy+nABlvaNYpGV+JARlY99tY4Ha3zfygfhTVFT
ytxDpOWhuB0sQaJlVFcOy6pPff1SckFVoVEkzl/mAIzzXbkui3v2zG4xMT6bTC/oo14xX2ZR1kd+
6PexABAtCFBAiIlvaVTd/hZ0AlYv6u0hdDKuFaDuGnRAIAUHp/f+lrsdRv79t1tOTI2hZa4xAM+B
f+eXnju89A3Ii3buemTbRvP8+IPuDciBpXKEgg86D5s9ha3YYM1lPoaqXdRXnHWcJ6VcvJBeQOJH
WjxcH4+3t46GHA5GiaTvb95itxo1M+cKCo2xi9/Va1990a356Mm/v4YpVdjgMiX2js+1WUa9zryp
KocxXKy2P7t5ltu+h3PBBzpV3YfV8qIPba4Y7+omBo03quaHx7PcOSaMTXRDgAraalvipLSRmJAn
xjAp+yrM8h56tOj7d8u6tKfHQ92Hj1S9EAyzuIiInLYcxxghYB3ttTGMWupuft5kyres1J3nWNOK
0u/XLiOc1KN/yQzyo6rbPcJQ1twoDaE2T7/qrh3QKoZixOiFIlOT9lZQ91704kx9/lKpwoYrnSqd
EixC174ndVIEkdkMf4p2+LtMhPGlT9filGONEtTa6LzSIxKfHi/O3j6QjVcp7kEDb0texAMegjoi
N6HZDw0VbYRdPyl2nVwWpTEMHw6SA25snHK/zAwUO7mPDoLPvf1OHADakEuMNGnzHEduZUadxy+Y
rHhw/CQqwbZmbn9Q/d07xigd4OIH2AUJuc31lAt3GfUmxutJUcevba3m+mlBOm65eOsKi5i28cHT
uzsxCmc2miYUU7acqSztTUAXAGdBqxjf1FmP3hs2ScrjD7h3kOC4o/XPpQFod3NdNKNSwdjgPqwK
oZ6EEjkhAnlq2NYgvN4+FE0X1k4Ca+5QCBFgec9NAGgqo5td6mnCuAu501MUe81BrLQ3Kwm0A6EG
F+UuShwQ8itSoJEhLASwdggMnPREzwDAJkcVmb2NAc2LfQEigALUdgGF6NzG4n5f0tl40VWRhVEe
V1DpMjtFOOHIrH5varyRkk2EyB7n5fYBo7FRNYPi4q6heUYQ1WV36eY2DrUOOsTjD7Zz8/0SvADw
JYFA25L/1GsGkrv2GApEip7MaPWkGEwWFmQIVz32SBIUcz5Rro4ODvVORomcKVce8FZZf9raZyf6
qhW0gYbQVJL+a5UvKEPqBmQULaVOc23xoP5rThq191VrXRGUnSinkoXiOZgURpX57Obhh2w6GjgR
YvoSPl6ana9Ar5RjKZ0opIzA7VeoF7fpaaZNoWmlNrIFxV9NZaxXLFQPLtidW+BmoM3n7iNS+Cmp
p3AFNzCHa1Qn6P3B7j+o9t1nNaSg0mMPfgslma3g1aCKFl0ttrG+rshcjWNH5qspp85UOt9VK/W9
0iXWwaB7rxtMGpTsSDqpqG65JTptAWBB7RgOmZ3Uwaos4iPWBS2FxqnSfypNqVaMLowwI9Oc/BTV
g4+V0TSfmnYBP8XNMeREUVH8kpF2Xjgx87fHX3pvYeDZyK4bN4q5BQrnjZbbZgPCMtMU+0thgU/D
/kBBHReH5SoD6TnzMB7cynuDwlfHKIwDToq5KeCoQ18omRONoctmvmZJ/aMATnsSOBs/RS0SZHGU
HL0EO085pGADkoDsHlCPuN3SUdavvcgVIg0vrv6y6/F73jX1BX2f6lURY/SUak7u96j6vORR/u/j
Vd7p1hAdcxzx2YSmgtfJ7eiQrSOh4QDM41CNfVj2Xf0+XZzY85d6sS5IBxRBGanTeU61ZroiHDOF
U49mCGZOrjg43Tt3uszB6NdIu3CQH7c/JlXmIh4LjW9e9sUTV+z8for1/winW57tuT1yP967Z8Gh
A8/7xZfYUjQpT0aZ0s5juK6W+G+bQJHE36ixTtbUzjOWcXP6EleD9X61Gu/N2CsAM9R9aGnTMCJK
uZ3qaqhZPcYefMt28S5eolapj6vQ4HteV566djronMjveFvwYjxauPTQpenLFhWYl02ieQPjEZrO
J7Sr16tid/U5t5zhIEfYW1ZIGZR9AS/zP+Tff0v1smpd8lKwOVJHn9JT71pouVMMxTC8768kKuJf
bLhUJegzR3/7rUGbGl0zulLgH7d+rroe13kZM/ZQKfZ5UIQ3nspmmd65/Ns2MKtMPM92654eH6Od
Mwx4h6Ynl4esIGy+JlosuOjonQjrOLWra65CGs9MhRpCGinzp9kxpvYy6orxeUk6L8cuyTzKWHZW
HTQIRWBbNuWgctyuuj1ZubsqES6ayFOcvaX47ECROk2rPpzVxmue3NpMwp7H+/J47js7C1wEHQvK
vFJrZ3NnRqnTeZMoRIjagPujUxXzUix6Q5OqGg4eZX13ktJVVB4cgOKbrVWpqxutqnRzmx3rZ1eL
5JnOlH7pxmJ8WsWQhElsJ4GjpdWfgyhsG1UtYBqrai5qkLsRvH7UvKancZ6NsEIrGeHnpXKAPWVG
/71tjOQCfNX+Y0Jfwwjxrht/lNh2T6znOj0PRdrilETa4FOUqnC2tttrsuAC8nhFd2cpGZ8U/6Bz
bXGZrptMtddPIuwspf6izNNz4ZT2EnRsMZ/e+qLAtJjXd9Rcj+gycpdsrgnQS6Q+XE0e9LrNLtKr
1E06pxeh0CP3L27Oz60BWwfwK+gEK9G/Pp7pTpRFBYwGH2UTuMpby76hzdyEOFKENiIARQCDc9D9
spp/Ph5mb4sCIGJeUh2bzO72bDhtH41VoohQbYcZgYe8TGPfavrluXG1I1XKvbsASK18xVzodrr8
+2/Xn1DqDAuQlcxOMZevnWt21cdVRJEaIHxovJuoRy3+SGnBCBay69OUW/XB43JvQoLNB21LxLKR
GiVM3pwTBbHocTS0Fo0DTFUDhAAiPfM9zHhf7bUC79LFRvenbtRm+c5JFv3UFAIDsFYX2t95s+T/
alDU/378EXZiK2Jc2kEE7mAdtxcUejZFWxhdh3K3M71KhQYUZC1xLuNqOaVdj2mqN6L29uZRYU9L
9BK8WKLszadP9Pz/ODuv5biRNG3fysYcL2bhzcbOHACoopVEUV4nCBkKCSRcJjyu/n+gnt1tFhms
v/egQy3RZAHpPvManAukodKp6/1Pu5OcA0w7c9+Zne2uMU2T6EaKsf3rD0vfGMgqBaxd9uWkaaBD
PYFbFQxbhibcpT4ab2VLAyeJzLyGWyKBanBTXf31pwVzQxeJOjp84H0j/GntOSYqSH62denUeNEn
T9kLiYSblSkK8Xl3NIdmPPpLftb05pljA9QJAfPea4U9dJKWmY2lZYhoetpJ9tYrx+obhVRwVH1f
qaHfl5HGx7xyxupyXN3Gxy+CjsLuYqlskO5iu+ZcL4PU2hBZjZ2gb3Ush8l346018oeX39Ezh8Hv
3HFvfjM1p5GQ5Ukxd9Hckbk3tjnFbhUV6x1Ey2iDopqN+tyB8NyAHOO0GUmsOVpPzlQQbB1F9apL
TUS/kGTu5upGV11xXQ86P4dBfWaXsbmoU+xLgCV/sgLGJexDwXWfZlnpfeq1/6HttvpVWNR5uqip
OxYqPxcBPDP7uMwQ6f2ufrPgH6+6lUalK3HKSNfWyAAnVn2AAbZZ5XHhq/mTiub/Qxl8d7+DqUai
sJcCHo9Y56a7DUOtKWSJWcKfKLfhUqCTCEe2iCIRb+gtvQqg6tXX86ZcA/tibdvf/vJKQi4cFjB9
7j2mPnnXBd2HrNZKpVYNwHgNtBNDiOQcE/YyHV8e67l3HNBQJ1n/HeKdLKKooiDAdlapKPV0n1vV
+kGaU43YfhhCI+rEmUreM+sIcTPc9TxObIj29uM3HLiUOsCgkBFWlnrrd9NiQKIvBebd/lC+UV1G
hBdO0znyzTMRAQxAACOAN+ClnXZ50dkvPbunNVaAvjkIv7BTKyQ5fvltPrMl4QRTvqa34KDKfnI8
F2ZUBJHs+hSp4DZptbtel31QIkcv1V9/kXS+aCIQU+1jnoQDW7sO9eSMQxo1nlJxLgF2yTYP73kD
D3CKgiMMh/zwl58vcneuMMbnLJlTwDaAaRMj0XZIIXBvd2iiLNdZnRlgAa3yzJXzzMKMoLEQW/1x
tZ+8ylBK3bqqI4QbB/Frrmt9sErTvIUCFNw3ra0/v/xoz41Ht4H0bo8iqJw/Xphj1Wg9WjyaWtxg
OHCxltsl7zi6IaSy3y2Qkc+db08JYTQfIJ95e7ls10s9eUZLekU1rRNFOrvqjHgO1nk9ztTB6zIu
JqstU9WbzgerCDZ5ZU0UdY/5qoaLfDIJNF1lZk6M871nf9feEmiohl75EGaeXo91ZyKRns+6rN9u
7Mc5RtQ/u8v7Jv8phm6I4tKIWvCbW/ipasO6RjKosfOLsKIReCZsfLLn2Qnc4CCJwJnTVDo5VUnd
lhExZx4T3MvbkisqXRyNaFbnbpcYMP3gPXx4eTafDom+M2UJ9jrs/CeiS2IDASmb1ktViVPkDaAk
0je3Crcopkagt6MhCXOuR6A85yLDJycN3VN6L6Su3CA00k5O7740Qwysci/tyxY2aK7DJS0yFsBf
3Yv7OByk5AM02jFSfrxg+zBrK1tJD+W9eV7jVS86mQ0c9dYlrM8kOk82B2PBeAGRyIVEzHsyFnZg
TYDlmJeWTpZdhE4XfNbawX5QZIe2HrkGX56+Z8bbI00wwOSLiFWc3Px2UGvDLniHFJRqY4wVHhi/
hMAD7lhXLOF3kdPAVH950Cfp8Y7BpbVP9xmE7JNKBwoM2iqbnkHNPLjSZtmnW1fWqdbFmK7AdRJP
Os0bO3fCy5dH3pfEo+yYkWGi7Hw0FhxmMI+nsnVAvfZF6ae9UMaHKQeodlk2hoftUpfr48uDPZV2
YzTmcjcaJaKjC/14tN4eK7OrImgnkVV1cT8I91ZVoBhjoo7yrRlCcowzO7dJz5WtO/Lz0nhjYZ9x
X7hl/ctWdRRh5rHWTgpHBmMEMEWjuJKlJuyNxjB6ZUphdTH+c8v1iNx3H9uDCVwyyIa2jE0DRbmE
+Su/+q1cv7z8eE8rzzQ8zF29mLrZDi07yVFd4RGwRXvOkBfmLVQBe44jdJpaPqYudTwv4egdSO26
m9HTnkqC1dNlbCxFgPxK6wT1mdl9Wl3aPxEUcfoNVAkogDx+4dgECsxR4BZHoNvmA5Mq+yNeiZtx
iCyQlqiubuQkTQ8yIZ60qh6wZ5cbuhNtWUDaN9HD0b4S6JqAgW9iv83rNt0W0zWPBTQEmRR9Wd41
yqwQW3T89Qv1bq+LBxsX2Z2OHr1f7aCwk0q6gnzJ8oerYpujIt4Kz4LcI2R3Jk99uqIDZM85LZDW
o2x4WqxYKwXjam26FPYfKqitXV3qegDvsGHS8PKEPz0rYCDRziEVopX/hLOqNLwQrLmRkw/1+EVM
rg+By7cSH5scEZskg2fOiWdXGF0ucoQ9VHDsk6xUIwZa7yjY1B7K+cAND0a20vJAYASnc2p0aqjQ
jEW5eYcNAMdlg4Ejfjht8Qfg6z9+LP+ZP7R3fxwR/T//i7//aBF/L3IxnPz1n2+6h+bdoB8ehlff
uv/af/R/vvXxD/7zVfFDt337azj9rkc/xO//1/jpt+Hbo78cmqEY1rfjg17vH3o0x38PwCfdv/P/
94v/9vD7t7xfu4d//O1HOzbD/tvyom3+9q8vXf38x9/2BvF//PnX/+trr7/V/NiVrr41P8mq/vhd
//0DD9/64R9/M7y/Uy8AI/BbeAgIyy7tNz/8/pJl/h3JP64UwE4WZtZ7Aatp9SD+8TfP+ztGG7sr
FjYse6WDn+pbYku+ZP0dtSSSBshVu/UNX/rvj/Zojv53zv6tGeu7Fhp/z6M8Ouw9kB97SWMvV1HG
AdB1cj5ZedD3dN1QC7XtL77lbceoazE+32rjwmsweP/Tm/nX8H8e7kQT8o/x+OS0/LlJ8bqzH58+
0g63pRGMB4w7z5GY3eqk43Q/Tli1HAd/GjDhtNoYnIdO0dD2PpeecuOSA+uq65v1epjpNHidvC6q
0UqN0ZYHUnF68i9/0MdHxu/P+ce1S9OM2Om0jhdF7bY1BIcJhf+vyHyJa+GoKClWpf7SibGPFBAc
7scFeSCZ2sl1a410iba+08kU4ZWKRql/gRgntptl2H4Nluic1uTjYPT3eEjisnB2eB1kx5MZL+yq
qDUG9IktZxtJ6A01FNkUiSPk+mpEJi4uHCM8M+9Plxmri/dIHEoZgWz08bRXiHz2lVvopHECIzEq
nIy6XqIpNa7q0mmNXy/P3m9bsP+NYf54yN9QILoLlMTNk0Nx6Cn9VoWkF4a6TgF3V04fQOs7DT65
Tf+5pBogYhaQ8c4JOitKs0377xRk35+B2eLuNzu4Z8b5qiGlU7rzgoMAF00Jxi22Jc1ghb2ng+v8
EHODyW3hNXPc2Vv4rqxbS12+/DDPvTsWCKc7nCwslfel+qdyJ3Rnq/JEp5JlMsNbEkN5UffLdlvn
sj00o33ONePp0t/NKwj9WCB78nmyRb2y7QITWl+CVbW6MdosuLKr0qRdC/r95Ufbp+HxNFHAg7vi
Q6Tkv9OKKhEflby67ZJ5LZ0YgGJ5CW72HIjq5IpkNXDEgtVCZY68j8PzZPUh+mDYlWYYOCbLodwV
AKwyC78vdA8OsoWx6Emg7w1dmgPWXsPF2IFApjnkn8H5Pdl7UIRYWlQSyPhopZ682jzwtTF6dZcY
CAtSWGKBdk3j3VQLgW0PxCvF5ti6evkl7xv60UtmUKIf8haKCYjRnTQHgllPqtBGmzSVUyYOuz8G
5WEn7pCDuLD9/GIyhzCtiq44M73PvXj4mntwAlQYXvDJ81oE5Xhi8bwCn4+YWleUlCWEnMyo7Vtt
5FYyI8L5uvS1fTNOsEPCMkBGPbOXM+fPcy+eNQb0hJcO0Oa0tjFmxiDbskso3KMDVbS0ZgpKmH0v
kjyPjOvNDPWZffv0vaPjQzNuDwWhcpwWjP0GYHyj+jwJvKqD+Iv50IY+y3VT5lGSBeh6hruvCTLs
zZkZf+a9kxjvtzngeyqppzpucBgCNQufop9PvQ9Zhu5mGIG8O01efFwGLVOUfJt4MGDxFog3HfLR
rdNRU3J5ee09OUtINECmE64Q6exll8dn11KGstZ1CJkhouOgm3nZpTNxdJnDc/oFT84ShqIUuBd3
KHiQvT4eqpoV7UYP3oRsQnmpqio7gOpdDy8/0NNRWEVsJzj1u2jLaeV2tYRwx2WGfGyamN6gJX+/
GMo/s1yfvjY6Nnt9igogoeFpVDZYpIU54Pqk64IwmUQtL4QrV/Qqm3MCxU93BncK7lzAj4HOPAEC
ZyXsIlByTQICzxwPc+cax6EIffyOfbiZ25hNSZX38kwV7unm4EIj/wQ9g4wXKKjHs1UobfSNPWFH
FRjyuHqGc7MgxHk7WfN62w+2GdeEw7E/nDsNwR6fnocAArH72KMf8MJAAx8PveGG6aiqkzhhBf11
lpctKEBlj3eo/nYC+dG+wLLeHJu4H5f8yncq5/Pkt9FNq/KROXBrp3ztruGERvxWgmhyMdmcEtvw
i2ujzH36vAEeO7GKmvXBqZX3WY0oIFzlbi5eib4GaLBI2+0vOgH7TvZ56Rw06jcf2X8DqoseQroX
AnXWKsldDzVIas/9IWgG+7qjwfm2zKIpiPvAhwLvhiKsYlwUMo5N7A7uF+Rn3nT9ZH5T4eoSlVjo
WsRrpIslLtY+uh82jzXk4NW8Yb+Ad3Iygf4O48Ud1MeIJEIf2g5xiNhqi+mouE8ESuNdNMRbmSnv
EsKS8SMrFu8jEXvXxoRS6nPVbf2dHHuvTVRQBJeBMt23lArm8jDNuXnZE2d4t7hRVV8QWensOCxM
9R3bqPCDqzFBTWuRR9iROvRfauoybkqNdhnTec7MH7Oj7C9uTTXxTtnCCVKBY1Idz1RrgIg0Sw+Y
ItsQhslrnHFiFF7x/phA14pYI/QxH1pVWupgdSgVx0030zJrAvuDRup/jY1iolyJvBr6/l7j4JG6
rnNfJyuOCa8MG7nkeJukCKgw5WFxOU6dAYbdk4U+uGVWrkhDBeOH2e5IDsQijC4eh8L90s8m/J8J
Il+frH03eYe1n/RXTOdRBMTyryd9WaLyIKagzY6YUZiAqGyL22gTqnvdNWHPm7Cb0k04yWczzpvN
dY+9MwzzsRz6EU2qMMirg905mOcZll/UiSJa/TgX85Rzj5bUCv0uGjOo9a3D/7tm8ylCJXlOdaSN
LxVqb5C/lnwG59OMGz37QDq3Qz2OWCKY5fJJdzOcrDaM1Bg7qzl/maeNVaSjcvkWdF7QxXMzqDvh
9avfxdHQhQgNhlsujq6rtteroEl8MAdBMlGOS3UhRh8vAJWN7QSPse3H1F/z7NKHVQOIrZx7dJbh
P2IGXfTWnV1FeXGQ01AiHYKnS34YRTG/KuZK/pq2DrKqY03Vp8r35jt/M8ea8HhzwqRcZf7aBpUl
k5V1PR9zUOx17A0Ktejadj6YM6H8Acu07krUTi1hGQJIrKc5mo6Rv8wl6hKB/x0Dme297FyPNECP
PdVHryl+wu61tji3+uGLDEdwaKJa2uEIUKrADLYArp3gCBuhFhSq5WrMNxWxLxevORRlaCy4HQjz
F6+cUGsYOm9Lt3W2fq14e5uJxlt2OAxjBX8LAX7dHqjw+mMSeZZxI4bQatLZBbGdLiDEtqQWhUf/
YGrY5bhTure+JykxTWNDP9Nw/aUC5lm5KhlzjFbTeh3MPGk8Y84PjVF5+L0M3fq9dLzZibWhirsB
TB3C7SOYLKB7NU0aP2z9z7YxQTwqZaWblE7XfAgqhQEGXNnoJ+YifFjQwsb7ZpDr23omdbiYOj8X
ydzVl51pZvf7fnYv/LXBe4aTafpiuF30qd/YRLFFKcaKES2eiyTgXGvitaujB4ylxUZyaM43arG8
PBYh6PtYCFWw6mabokGf5+27YhinKS7GtjVYonZ/K7GmW6kKmJUfo0rpQ2ycOQ38pUH+U/ei/WAP
GzwrenfeT2/Yhq8DuXB7MU+9N1xlbOkU4yLhJYMzkSUMwbo4SSnb8d5vigaHqKFZxuM8lY0dV2EA
mmieF3O6Ej0iy9It3J5NX2LA6gUCxwaf6m8VW2IuL0SQOUNKKdT5ZM86fI8XhjlceKs9fo1w+6yu
nGFW8mDNhvt5Fa3tx0LWnj7UtkWRNRejejWsOijiZuth5gYiesVO7L6KaW1/+KXdI0nftzaCuQCP
Kkrh9XSzTLOx3lCBEG+oo2MDZPoABGKOZO/n5hl6F7vt7K+jROgBt6SoewMP2BnjqcHSGLtIy3xl
jSGq0IL0XR4nBIpxzFzdJfzFdM7N/TxI9LIyxFqGVNbuzqwccvtniXDVFqOhrFNK3cGH3jCqr5sI
zC0VhrVIbD/n0bxuqX4NSYVmmox3hZzP5H67ImuweW82wNcOp3VQt5fZhAQYTt0oASf8a29yterl
ttv17wGaZN4PmpFldchwYXJjSXvGTovOnsJkDhcy83qqaaGEdas9LjEDaeXFXI0rNbXrEgOC3vxY
IYTRJqIzwDVk5dbclv7cmwfKY0XFBxIuh3mwiS3uVWMYF7bbyjdKLtmaKl1URhxRU/0A0A2tql0V
vozRR6o+cWkNnLwzLiIdJRCRlF22ffdl04sDK3R9V4+m4m3Umut7taYuP25+6ywxDDA3T8F2IuG7
1D4epFMtlZPIofYBoDRIIdbQWbc4qGXwPQwy6XAHzB3FexftTVac3raYubVvW1+gzd9X+yNQE9Ef
latakaJfI0Hoimxpk8hY2ZT5NITx0LfbZ8ff6P86bmXWsbsGzq96yuoeRz+8BqifbByno1E1X0zf
NsoEpnb4w4pyIW63Oei+TtaoagQpVvfexQSrwgrCKW+JrfSS2Nlk/QhUYD74+PCkgUkAFZv9lP1C
DbQN4iG0xxHcdpt90mTSIqY/3nnpXMvstghH56ezzQOuvFv7tR5X7w0tnUjFAP/0XSUN+5XRLiVw
Gbf6EvjGchcWBowsr8gGFReLORw4YOSxLjUXi+mIo0Rz+AppXjuOgracE+U00xDnrTE+tF2xffE8
4b43Wne+sQNV7MjBXosDzcf+y9yvtQdMth5TVNk8/5XrNG5/SZF9/jRvFpkmL8581S6BvSZwgsdP
E0HSt2WMeutKqE2+z9pmB7oi01ckM8oH+NdXg7pVXlB+RkiKagUg3f5IUxX4ydBIuin5RN4fj3nB
xjJlNV7jA9Gh2gA5ckMPiO9JuHTXXwgx1QRFltNZSTmpehdgnax3oDQQ01T1un1SrU9Pql+89XXZ
qsiPtVzIVEeWEL34Aeno+8WdmzbGfyJ4r5ARbGJ76X2viAPhtSLprbyPjmWTDUtKTSz7NtqO/tnD
HX1PI8/s6OuMNgoJZdt/qMVe2Ml67X1m0QbvBRLY19xz2NBG8CmN1KJH3KSEgypKXbPwA5xfcEVO
AyQNrdi0kVU8ZmXXZYfSopcUR6IqxLVZhe0VkISluDBKwyliu7Ltz8YacCH6NQxRtJ03GXCj2OLW
Fqaj48CT9ncKBB30e1MXyDhFdfldhQt91lCvDjGU71kUfWtV3ICmXqqDrqro3hyVH126vd3mMcyD
/t2Q8YMJGKz5g7V55eVoTiv4ahqSX1YQEPdkPNFP+EXreysY1g2AZIGYaINYDOFXF8Ap6w0z+5JV
0+TGXAQIDziVYeeXBYCHtz3CNUUKHJqmWGkK540SvWslGfBBE6cR5PrTcMrnD0Xjj7i3iZU4DYld
rOdtAgEkKrzIuNNlTojmK7u5mlp6d9hkGPKnK00Cvm1Yu7erldmINlr2dN1p7I7jYJxCGRMRFNHF
EsDcSKZ6ztRB7g6jaRN1211pZLoiOgi6n1AjBamHZWdFkhX9tsYQWK2rMPf9S7+t+osFsOTB5SZB
ncta/cuWEgQzM47T3bIKovNs6jsKskvvytS0+/WN4c/TlKyQ/4y34DecjV6kwONET5v14BIiPvRi
F5rs0IwdYjdXVM2XOqubuHDxX0m9uRXzZSuxVuzdoVgOOLXQaghGNX7ROlgdDDQARdFZlupBhXmQ
gl+1VNyVcmvSMKgL9LJrq/CP/jSKIM2bjB6FJ5tVJ4MtG9YS4lTfJoKhLNaZJDWOHE7mpNEW3guV
FsGrUvXSOQZg7zkHiAhjHZjLmhiWXiRl5r0EZ6ym+dYtstWLg0K1ToJQz04qXIfVTWelhleBs25j
kkeaa1TCPpcO9z1ROd8dZ9qbMypozvTg5yg6kPZ4FoxQq2YKF73py6WddZUi3pHBtpmA+sSTPy3v
sXKYb0Pd4pe2EOtfSQsMdDyRKMMwB8PDBuzc+3ECib9bvn2aLFORIbA1wfUMavmK+UEd25S11HFT
xIM0Dzr72Htq0CRwXNWHDsbm2ywwgiwefBm8X30fgf2lDZGVCnE4zw4WrRQ00WvOnMQgLmgTs5yW
e3dtONm2wrXu8nbzHgZrIKxXmUD82qnrX5Ez9D+kyMPlNUyy7ovXlCPxYFDmFLWQqdZJq9qufjv2
tfN51GsRJKErXCOGAD80eMUAKYmF2bNz8tYc5UFw54q0cUpTpVnfbZ/6QbvLja0XelF9uTivrarx
AOs7lMOTKjDU5aZXsrmFZe/HPfzR7ACjbcVrsajr4xxqWya4ppQLzftVf8TpMJpSJt96g5oaXXFv
AnNUjT3qeZ3Ze9e0+3w3sctJ8ODIrt1iI4Qwr0AGk6gy5ECOZ6tt3ktP+GFaD4v8Af8merWgP3OL
U9o8xUppfzdG7qovc6CXt3OeGQ9lqMoiXg0vk9eo3s8BQiKT3cYtkeurLd/PlDkrZ+uww1hIVGTo
VjFJZ3iBolr/JQqaqr801wa1ZadffkbR6qwX4apHACGhUeTAUCxKCoDv8+/u6JhMWNvsDmkCi89F
hdVuTWnN8hBkGy9UWUZAqqxMHMXl0KiEz5Q7R27EyEwpHBrlcYBrcinc3coHgLH8trGLPfScxvq2
MnLethBT8RrhT/dXiVjIQ1/Y+iYsgmC6JHgjg1tAD3y0t8D7YDe7d5wPDDBLOtGUb1aChShh4lBS
RQ9RXOmhQP7SL333l5J9CQc4GJb8y9pA7kxDG6WodOq1eU1tAgaMbvNNx6NVEzouslyvWrVIl5QR
oOBxKlWH+AFwh+qCm7Wq0mGWUxuLLSzCgwy0cbO4SKjHpEMlZ08xkScbIdclIVz3Y7AFpgBem8+v
JSScr8swDLd9sRpf1VIbXysqy2HiLqAVErHidnWdK+UQFXBzDokxd1pdS9RM0FGq1u4bmI4s2Pf/
aifY2qKlPsJMDl+7VmO+a4oyWA9TOHeUGWpt/hyWEP/LIdrT5NYR2X3V922eVPCix1iCPPrgDbP7
GdnrYLmqMTx8WIt5u1cooeVJVLmiJJvK/Y7FZ3lD3HoIFMY5dsdtXFGWuZEcwvyzbMMPYJzq6KLA
Q6xNnRZlMrIJ/Cli2oUVa9NdJ3k1O1N4GzVI/XLWC3HlaACfCcpiipC0GZ3vgV/StrBb1L+uoBN5
Uxp0urzuZTN2nL5t1sdNWwW0sbPFDNJmiKzoiJw+QS9gFBo6VeTXCTzgEQRVbarXNL+EQTuvhv6p
hq3/mAW9fqMKh+K0iahFRgXIb1x8iKjQJE1t65/FultNbgR7ZVwv5vi23nJDoNYv5Wc6PmSmxTxE
zpVmM3PHtOCCDubYSXUtyp5QMnY1+WXs9bBViA7rAnNOcpjhzVy23vcCij030bDCvzWbsfyEbWkT
0YhHSzP166ya4zxfDeSPW6OVFyhEbr/omoW3G6E9XPmoqL9zxS23vVVj87mXJAUBx+whfK3KzEvp
eHkHMJmI8LhDiyArx1IWJIXvoqaiKyKbvLRDdU39pLwhoVgx1xxJKBPVu/52a4DRgcszUVOIJTQT
XB27qCC8XyYgJ+8Wnq05QvJ2E2sK+lgPIH9SaMUj4j7OJOaDv9rTd+7fcTiCUBKvFpnl3lXdlkFz
VSIzTAQU+K13EJBRZVL6Vf6masvl879jU2CZzWAwuVQR77pJbfczDriv/73J5Lr59Uybt2rsKjW5
tCHvUiM5vlz1f1IkxyYBBObeqkdpxz7lD/sK/5ttbhWdcoh/MzWWW8NA1gJup3ytaiN7l5V+fwaC
8LSLw6ho2sI0gaMG3/GkRj75Rd7nI2y8apqdNvZWq0zmskKSwVXlwTSq7MqyVXGsKAXj4oArhVN5
GfmL5/7VfgSfhJYl3qsQXgFcnoD0DC/sWwcQV7Ito31dqNG6WItweeebw3amRfqkwbIPBbELWCBF
YRq2j6vz9qh9bKs451yqeTeuFG2sxNid6ZA9Owp2QzQhdtjFqSVM74neUgGRvpNjdFENrfGuaeU5
9fKnoxCIQp2gwbE71u0gnj937qkdUoXdO6+j2tBRg54G7oWmwzmvmSftIuSWmRdkT1DA2fH3j8dp
RIWdpMCrY+GbLtX+IG3uUiIc1r9mkvAbWEHIAo+fAhn9tlPK1wo5f8nU3rc2/fx62/o5MfKqvLGC
mnrqNkSHMdDBmT7ycx0b+C8mmiN7z809eT4HoezO4jKgwk0SN04E6JCq/AvtNd9VZq1pT4s1yWRQ
nen2PbcFeam4vsBwYxpPN75pZHtZsdyjFhuPlLya8ePyw867sTrTuTUWmxKZX3ax7vR409KUMRO1
hV26Gfk5b9rfap6PGvl8kJ3dzg70QISeNq68vqZdo3kNZiC7e9kvVWqjsAZNeHsYp3m6rQ0Ho9Gt
lPGGpsLVhCX0ZeT2SyLFnsBNRYdpbmcjzR2oOzA49lWWW3Q/nMY/c2A+Wfkoyf/eVwGwSzBNJz02
C7POLBxgnQT2sryv0H5MV8eUly8fy8+NAuKc3YVxrkkr8fG697Kl73z8eBMXS/RXTRt8Xkqje/t/
GARFeJ4CoBaGQ48HmUb2lDlWJDCOdC9nS1V309ae49afiJXsGBXwfGCV+BN6ISiVx8OMzqKnuska
GqKj+9rB6vc4cbjcEmIbcU8nILYidIB94LtvRxO1oa0fJWaCXmnDliqbS0xLipuwX4wPrTeFwBX/
B9F498cie4Tbe+5Vo1r/W4MI6cRTHLM9LeipkgslXe39gu+hvoyduvfnrb1xIiKxql9RWPFGqiAI
/I6vwtBtDlYwzq/9fBVx6y5UTa1y/vTy53pyMvDWoFAh2YwaAMTpE2yLjmBaUmpvk7qz6mPeFhS1
JitPo9qX15uaHvKqqY/WGv18edwnJy6ztC+JHaNJmfNUw58EJERyhkUhkXqlSBYSO4KbjmezPocF
ONFR/L0yGGuHeiIQjQXoSRhAcXcyNlXQWpU1/dSuMqGrrc6hrmgcD6s0kykvotdt3wSvvZ3eWUXb
OQdSe1/lj84eHhgoD4LdQAc5hk4ANFW0EmkPdAUm184SUJf2oQLeEwdmr8lq1/LKWpfompIOIv/G
YH91ouWXHnwLmA8VI2Ub4o0M++YglAruwJxuS2zXyn8nVkpYeacNDEXGbrGBS5ceJYzCDClemecA
qM8smJ1XhVRvuDNjTyeOWupqdtYIfsNyxwcvL8L7jND54A1ec78FmfHJor/yanHIbV5eMvs0nbzB
XQPt9y3CqjnF5AjXHDqTYkpSM/L3GevKCxPg6z1gHfNerdG5rfHMjvWBXu0WVOAGAYA9PlAamq22
Kew6Qc/BugfLNr5Z8aE581TPbATYoTh17s5JYJVPDnpwHEWJ5EqdNEzsO7NxFCdWXrwJkTZ68/IL
PJGM/70R0ItAJxG0CiYhpwS1ZfBcThiNudxgicRy6oocZB1vrMmgfTXk9Otm06Kgb7JXCru70HP9
0SqyW6KU7Mae1JnD5+kbhkMBksS2fgddp75NXaVyOU6Q1VzDKi/cHjBXB7zjzFX6dN2AzAGsQvzI
MQAo6PE8RjYWjQ57KMmrpfjUaFK5CS2SywaY7uu2oWjy8mt+OqOMBweXg2YXaj7V5XANibSOzXgu
OhnH3qUHQRU+O4q2N//y4mEoRKi472yMhE5RugXl0EotXZUE46ivvB2FtMlwufKKsDwz1DNztQPR
gNPvUEggcSdvUdLNCipWzFQV7dGrffdCTJZxZpRn5wpnS5YpUCrano9HCXEulsvMA2U0F5kmT980
1IKSARtuXDjldCYAenau/jTe/vU/QYODBfn5EIpOMulxe6d8fHtAk+MWu9TnoLrPDeVw1+0kE5Rp
Tt2TddRns2HxaJzVYQyz0kr6odI3xpi7Z5Kz54biokMrBZAdhdn9Lf/pqSCcdYs10cwqu8G9wnQ6
i52ltl635mCkLy/231Kyj09lMPBkFAiwUlLCaOrxWLXX0DUewBM0mBZ8V5CZLia3DO86lHnKY9tq
Pxlrd/wgbfRbZA+XdQ/373yhsqT0OlXHjcrCdABgTl9k2MWkAY2f2ZJPF+/+IVlUFsA1KHLO4w9p
DsSNGO/V4Bhkly44jsO8taMzB83T1x7uxDAfmhpBNToXj0ehYA9AewqqxAaDcYHUaXWllL+lrvTU
maGe1FMQBOXSgLsCSomU9eRuaovRr6AfVPRmt0amtFOCj0tI63G1hqXZiWVWnkzhei6Kfbo/Q5f+
HPcif4Kr/H/snUeT20i6rv/L3WcHvNmSAE1VqYykktsgWmoJ3rsEfv19IM25LYI8ZOiszuLGxEx0
jLo7ibSfec1q3ACBo8kgmN4O02gFmyLEopuxusOgBvdMfPmWxW/v2OrzozYYw/2U2uU+itrQr2yA
4dsEG45XqabPCo2V9yry5DeW+nwRADxbxFoKtQmqzatfiFaarBRc0Lfwuvp3QgnLN71CBSEKUX+/
vvfPJwOzIB4vOCdcwOTVp+td56lCMh+n20y47hdNS53NQNNaek03lc/1FE03Dtv5NkafBlqBubgu
QwdcBetJRYemrgAkl7XRvjqjPr11mhlD9uvftfzu0yNNYKcjsIfuAcymNdekMgOzdFIJ1J1S690s
c+BrPRVPcGWOXHBqdBCH0RmPggrtxs1oj1//ARe+k2oMkTJkaETHteXPf7u/0nZWXS2nWEcY7fpu
2Sd+Gsnw3fVRLuwU6hFUfpYcBNWV5c9/G4U7sgGP0CWUvPXhbTcNL/Af8k9mxlNzfaRL34M2ALYt
Osou7JTTkaY6FPEosMZOFTfYBVU+fLUVt3p/fZQLGTD4cGgKoPSp8mj2anvMZQUhJ+uTrRRN7yda
R+cEZWTp2SgYenHqhr7V4nViaB2NpmzqfWmN31DwcPYV6KYd7XGggsnUbVXYJP+DTcW2WhIwKNEk
D6dzAJAFHeixpXkbR+1TC2IKzjAdjbmVtNY4zaTiVlDsKisDcQch4sb4Z2vAvLBruJUtW2clVvcC
l2MT9CbCUQnSaK+RcNM3dhvkN0ZZKeMSYhNaL0ZAEBXhaxBwnn5mKsas5UGOtgoohgn4dRTtkzEA
o1dkVPWtNHUObuIAklGBp+GlPf9tqNGwT0Hi+SJGCbkRmf0a0X/xfm6PP2KX/rec0ROe6VUO6v9C
dumy0f9fLWYhr56wS2kil0XMQ/cvu3T5B36xSzXnL54xJCV+KpTDseBo/iKXaupfiyvogrUhYlgq
0P9yS92/0FymyoRSE/VpyP7/ckvtv1BwWaTUlk2A4oH9J9zS1W4iViFbc5bx6ZpAMFgLzc5apWHU
luDeScXq3p7bT1VotXsBZOahmyf3Llbz4n55NPYUU+y93iB6vrEBmFY0UW2X5mjQ3xVFmLz+NoUX
ylmnT9/PH7aIZ/LDCC/JClan2UYRNRkzAyFyWdX3RdfnQGfakR/KMduaAtDm9QFPj+8yINeaTVKF
PAZkqIUE/PtlbShjE1OvpfRaBf1WQTntrtFF9+H6KKfFDQJz1GkYa7GO4/48q5MbfUDHl/Dci/Ve
eZDBrHebrI6VeCN07bVAN/Q17GvtGanQ6NbNofMF/766y9ikPahGUBTj4YXkefqF+EuS8tgy9PXZ
Sr8gCZDdtUU1kymYQHQblIb3eWehMUkndyNap4BQEPXaPjcU65G7xXrq9ML5fH1CVm/Kr19F3Ea5
heogUdXyq397JO3KCF09CAMvkLrYYfpjH4B6tt2mEAWAJXeO3uK79kRHq72vJhSIIxg+BwtPiY9p
kbIBVfcFHAJQkQYphltqpisFw//8POq+Oh1PiJbrArYz2+DlsYnyZOg6uy5FBkNJjOZvWfbyYE+p
CoRUYIRjUdPYq2pC07Uxo30gLey92rC7YdmyPhas4VIrwm0Bag6R4Wq2rNkCmLVAHE2wQiDBQDf6
VRM5vl0p4lNkutOflXR+TgBFMS4hZ3H3ZS+crg+wygweXh37bl1mO7qLtrZJy0Z51zSoCEZFDD2v
GMcfNUuAhEHbPU7I4fsQXqo7EUQCNL+8Fb6dJic/fxNbeQmNTW4Gyk2nv0m2IJq0zIqxWbLsl6YL
kBdUNEwocCCh6jK0W7tBiOn6Tl1fEAgDkQ6hLcvzS+q7buFpPRIObhAnfonrL5o27bCfoaLemO8L
oyB/vSgxL+XPM+/mgtaqG9PC82XaMqFonFnbrNfzt9c/5mwGIXWh846uOT0gqO2rgLGIuSbSBAWZ
FG/SN6UWGcfCCjKQJYRR+7lH1D4RufV8fdSfZhwnVxDD8t7xaVR5sDFetvdvh70zsGakIGJ4OIqJ
4CAiU/wwVBkVu3Kqo10+qkBcJ3rkijeKZmr8AO8xaAHzqI1bxxFN6QnexmHptHTvkNMk+Cl1AFQL
s8rctqY2QikypuptA4Oo3tjGLN8miRk+LCH6UzIm6ktNFcv0q452xaaegvYhnHVVbpPenLINgNDg
TYRUktz3XAf7Vkm08pFpNM3NMETS71Cf38HNHaDZSGxwkKBve/BMkdp9iCppPSoiH4vdEGnlHfsk
AcluE5VuUVLR620ap+W40Xo7e9c6caZgkFKHmleMfTUcM22wihcJtP9QAc909ro6mfEW8d/sS2ea
QPNcfco+SFeLA4w4BWp0ahLhvQY6FVysLkb7K3wolE1FriTAOOtjW7nBuzEO6g+ZkYAkyZui/RX1
nUiK/N53urSTuI508A9EK1xOp0uagZajcq2Z+D7nwivjLNgvukW+VQPk0edseIwy55Zv/HLAz/YR
xEuEXPh34Ut2OugYBGGvh+DOc72x/FnLXb8uqsrTBKKe1/fshe8jJlh03lT+QyH5dKi2DVNCJ5eh
OBX36kSHL4iws630yrhjn087EJTZ9s8HVdEcQVnaItI/Y8qG4YCwcmp5aul2b9JJgqO3M89QA2Dl
NvGJ1TWKf33MC3NKeQ1jO1p1cGfXmq2lAdwKSgAfGsfGjiY3XKDYKXZ6Hdo3iqJnrxjlBQrmpClL
EYBAaDWniYEIQ4/aWmvJ3OPVao7ozsd+orjzGzXP5Y3xliB7vV8cOh9UBHFwIARa7Rd80+uyhyPo
5RbsPDd33B/OPGZf42iO3/dprn2CIdqPe6VsVKiODfglJbBltVdSU7e3c+WUe2tBDnqcL+W5DqEq
etTdp2NbwMm6caQurMQi1rtwwynmgmc8nZ4Ams8ouhKQXF24D32/EAcrdJutqr3Fur80FPEoGFvV
4lZeC7UNw9DCYQBmrUZgtEfQo8dECAfYnXprES6tAeAsTuwC1tCNVUQ/RVrrJAPquvDKggeQxu1m
JmatNk4bWxuU25N73dD/rP5OqKAuegoIjIA+WCzRVnNZum4M53O2vR4vJYo8Rkzdrl0oGjc90c53
NRkE+B6qD5ijgZA6XbZIzvi8toMFZtkxvMQIOr+e+2ZvJPSDVVyxbxC0l59+eglScABbAfYM1RZ9
7boaRHqag5m0vNKqzV2Ld8qDywt7YzNe+ipwdYtvO7c7bbTTr6pjYH0gVExcSScXkHzc7/U86vGi
csutlda3dGj4V55/FzcDcqHLeuHaurpxs9R1ycMKxUNrSOD8Esuio/hvDO6O2rNbgCMFD0sVP6ru
WlnP4aYfO5hWQatOw8ZxqgRCo+M2fouKSuZJy8rfw5ROCgDLepBuR5CMGKlJwggln4MDaMrhA1E7
ks/BVGXf4qCc9lGsjz/aPC6fQhhS2q62e17uTI/GfleOvK3wR80w9O20jh+BODdfZKIQtgjbQOmp
atxwU5ht9rlOkAvaGErY44OuNP13LFZRM4FIBlto1LXxa1ASfqGmWdodKXVS35OkKd+MpsL6g6XP
X9u+r19TVvtHGrXBI9IbAMQR4gzSjdN0CsSpWhT5Nq1tHAWdVjWSjanI8qtZGl1w59qZuUxiMD2b
IrYhpEO5CHZtGkMtmPKoecThR2bIe/Y2SPl0xtNOdLF9r/dAhFHCC+V3rashqmBpkP9tVV2d+xI+
03uSheEjWOIphGE2quFDn+kyhGg3ya/B0Fh4GlSOATjQmgFkD1CRP0KmLqpdN+vkccCm82yXxnU7
b9UI5O4+lrZJ6CT1Tt/wo7iQZJPl3+apFW9hPSWJV9bBQmpeyN0bOASWsQvgKFUbQkLz28IX+GFp
i9nclMZhv2viMXybTVlQbTUIUk/gFqsPhG5dh6pVbM5ops6Fs2nzWps3YETbcDNiWohcdAmtHGo/
9GUEBFqMxodOokxk6YViP2SzDPpjbznda1aC5N1Cmy6GjV5PxV2nQVjYpLPjvkVysnb3NRXQewWm
AgbqAOSmbeW6QKvduG3jTQw7654VlOqW6HPEvhysPATbUNiIGjcdfyPaR/G8xey0f+zRi4NrDL3m
faIUovLiMnWcN+h0lEdhFtE/Wqm56T4p9QAPihGVgzSpi2OsF2D6B10JXwZr1t4zkJJtJQY7H0ZZ
zG/Z1zGclagavtclcJ19Wkp+rZbzyG1MJ6ifrCa+ids7bQEs9zIBxFKyRoDPwkNydVmiTqBmKFFp
Xg2Ne4/XRenxBGtvekuMPmFHvtGVcfTsYGwoTdzqX66ACr+GRx4EfQm0hkhtV1XUAkmEWstLzasK
CIgbNZ9rr8kWjt4E5BTlwWrXG1VIgCIKr2ob9wndXPtJY8E9x+zHh0oV041I8/wtXlDEpLVEKURi
5uqp6kTujCJXLa92yC5A46fPwoGdjtNH9nI91jur+zH9S/2ej19QvPY6xHDTUu+hVejwKazxKMth
8iZUNh6Wjvn9ZMn2bxS1CkhxkN/UBtIVCUi5neCxLtqqOJugCnaPgkOxu/7DzoME+jKAmEh/ATKf
tR3jDFIvoqq2p2Cq8qD0oztuAPqIXelU3SZIreIDuMnRvz7qeZUH4CgbkniL3BtZ5NUjNyeVEpsR
FuU51iyPVcyFTxmwOhZIRcBVsfrdrPO2WCK1n+24s4/ZDI8JWmDcfhHo2n+6/nto16/fQArGyA7S
ncIqEVjZKkKGiiahj+khEcTQ3xlRNpu71CIt3NR6gDQBhDVs3BtQGY8higXpVqvYPpDxFEgo7OF/
homaKeIwhX2UKWzPbZ7RDtjoMwLyft0QX24DM22qIykzd13hBvIurBwsExvwk9W2CnXzQ9orykGz
UlToCrUe3E2OFvJBS6IQJgVywuWmB1o0IP7KJbkdJ9P6GJlhgcLCNKmQ/VJNDzhMffwI7xNPcWS/
ITHkTooVBWUz61tVSC6ZLq9HedStrLHgfzbjqwMHTt9MxoJmq4wxPKqswye90qHV6CPaHF5T587E
34wKwrc6LI3Mz6dece6yibYTrGnhqIBqbQkA0Njpsa09mXrVvlrzOHe7xd7hqefexT8R/Fu4M5IJ
kG4sreZ9a1NK8HsNNMNhxEpi9jpTeQMx3Sqe0SJDZEXioqRuy0jJPtR9qKMpgsjUnqY4Ba+oarGj
rWEQ6Zsy7pDAkNPCQtb7untGhsL8JymdQux5F7P8ez5MSvc+nrmuXmc3MrVDPZVRvojaIeamQ63v
73i42+MMx/NxQdIOD9ifu8YWH5UZhSiULYxjMnZ1s5+iLo130G4a9YU+cb8TCHrhu9I4SrCRQFAQ
TwEPCh0oa6OnRRrCgsqSjO+VUMKisiIaDqxmuJDX+0bADIorfFs0JVC0XaMr7bcoCMYXHurwG+x/
Ay3YNDa/EvRacA/R0dFAkIrqE8AUHsoCIt9n8sme4lXSBAjaQxYOjs40xigGtSMS5gaM8b3pdjHS
5Smm0v5YR937trWWq19O2Z4Wt9P6uAzb78t6tFFfazK5q2LY4NvS1tFAUdogTfEslb2ymwu2KbTX
tNI3ERiJpwT6g7ZNzcXfpQm6aNwUWtei4DO1ykYkbuhsyibOJ2/m9Km7Bs3F1w6dw9wPxtEkvBND
9X2c3DI6VEbVj1s4LlBtYivFrCnrG0gedRaZD8ncuNkGvK2jwY9axrEngb2YNKJ+Y5YTPTrDaK19
FXRI33Qz1BSPTSirB9kGCpKHBRuQHEZ8tcbEtjeFm7e218xgIA7YWUSfQlOOB4F1aujHgSsVz1aR
O5qLyfrcd/0k0AMJFppiSjPBm1pIr5tOQuZfslYBjWlSJuT+p0J+GQWFRE+Xmfw0ixmxs9Blp21o
KJf7upFLZBM6n0SJtPEG/pdbeAA0kZYZqlZ57dGNQBiHTXUnZyP5btqteAlbWNWbKouHr8g1Nsp2
tDPlc1q74j1wZKQwiCrFS97pKJjElGnecdQDXLOsIfucJo71adDc/r2pJumPEQbsmyasoPqLtkL2
ITfa+VVzq/Br1tm22KD3BL4mSTsDhbIm0sIN56zPfWQuyszPapWeJxW4etqSWOMN6VgS5YQgmGwT
pXyJZOTSaPI1AzaYpwWLnBBGMOpTRlCNggTE3XyPEqX+Zcij1Eb7uJ7unGFECqk34V0dhaiHwu/h
8NOJAjL2DW5+OGKb1KXy3oZtOuxmMsvnQNbjJ5kXlkG/uXBe0z6ESlrXqu5p2SAT3vM5fKMOAXqK
amqr07bORifzqrHVoGaluV3Tl5l088DDQhN7LEcI4kALlfhY9XYtkNzJ48e8aOoRnOXCmtOdzFH9
xgrn3CtUK3ipqrL8gBAa6InYhc3oa9rQ/qMLwX3mhKhzA7JNQ0r6RT9sOyYWDlmTQEoVMlU+jJ1w
kRziVDa4G1Pg3MaaEX1QAk0HzznDntuWspr2IIDL2huVlPZV6JRp+oRdR4HXGRCZaT+7bvhDn+rU
OoxlLz6y0k1NX0BHWbSORsJsM8RcFnU9NV5Izqr7CW3TboNwUIJirJNQGsiQOIt8N+2t1yEoeLPC
vsz+idVZgU4t7PRjp4T1Sw0JJPKADBcP9RTDcUXDwzDRBjMkRopwFGNPMTrR+KNe5HS6nFJ+DS2t
HDYacfOnQK3nr00kguEQlQWvKJZYaeGxmP2DRIqDHhPkFWUDBWmy/YA+A1RexAycbonO+rJXP+UN
mJVDVGDQDE8eMQ4vCeLRQEZVBFSAc5oHvyqE/7/Z/n9sYp3/vtm+i4tFy3nVbucf+dVu19W/COLA
tri02oFdLnnFf9rtyl/0bMBHKkD0FoNbwuv/SDnbyl8AzbjLDBpq/NML8Pu/pJzdv6CF0WgnTUG5
m2jsT9rt6whfgaACRXLp6ytIkK/bH7pOJw37lci3ZNwjaZo5410H9fjVLfXu+Nu0PP+qA/1el19C
1t+rQzBAwBAQSZNIMA/rTiE9jyztOoqqxJnGV67O1uI4WcgX5Ahe0EEvYIMgYoUAQZH9mXYgBcVl
cGo4gPiwdKXYd1o0QhqnSwoAKD6WR/F9IVKQ3m6tewZiJbB7GbpzgvyOF0/eSKLOQvmfQy/NdQJ5
g1+wipxpy4laUCDyKz2etgkFK39qJkFaXI2PIH9twnhpFPdtWONSnyPFE6a2dtTKdMGRjryV19dh
RVD7z1wgak+qyXTwy07nAlkJJVVDJ/JJ9oeHzCijuzkxuwNbct4Fc13+yF3IKmhHoApWxmm608zU
fcHpRr1hAXSW9TE3FPGWnillWIB3q8raHKhNjgxfDCdFJG+SorDQy45q92gpUZ8hGRTlz2LEuGsn
uPc+uxkM5k6PQ4tiS+hGG1uZmgdaXYrrJW7qFLemaikBr/Ys9DlYhGRjy4lblYglTYd2sqbEr50x
fmsog/TnHCUWC6a/3xRRu4fE1NyjkVTs2lrEHqF/e4Pdemm9FiveRduTijiXxel6OTQlCXUdlP+M
RsI3rwzaWE32GPetOAJ8sb3JDImep7BJH9IoRehPUv/527ayW7XQ8/sCZ3mdmjncYnbOmmmLL3Tv
FjSg/KJNtH8og6Q7mdjdvgubW47r6zLvsjV+G8pcfXUVRAHiAHHqa0rdDpvJFv1dLYLgi5lP0zNx
kn0j01+ugNVaL7PLVY3AvUuOezrNseomIqvaxNfxO962GO7dG0ah37gFl9N+Ngq8VDq0UCWsNfml
MHNNKJ3CjhqrwOtSWMvzbBKSE6+hz2j+baeG7d048ReWjdNJy3BhM1BXWM1lIiYRUzZNfCvP8l2f
p9Nz0nIZ5pnovhBQRzuzksWOA+BukWMknR9DDtOYKvZzSlFqr9L1J8jsXfN1HiSKDdd/4Pnv4wKA
IwaUHOwt5bfTqeeeAnJEIOW3ZaftC4RFUL2Lx71eG7fMjc631dLq5+LTeQgA665uHJry3diUxrLK
5rAVZG+4tdvK+7DOsLu27fAGfOLSp9ESocmEAaSGLd/pp+WyJHGykO1MDRSp0DM090GvyKNVKa7/
57MIlsrg23hoCRxOh0KSj1sUFQ/fGVz0U5oq8/QkynYST+Ab7eCz/iV9YDBjkOEIUCgOrh2xUqO1
YyVCfBAbUWluc0NMd+UwSoS2sgBFzRGS1cahGvGols300KdG9SYUXYRwDkZIda72H+PecJ/reBo/
Za1W+aXopOUbea/fMEs4P3HsfQU2JBUsDRf51XNnjxoOjQEAlqBSyx2NGXuj9mG243oDOmV1yq4r
AHNcX4vLgzJBNOJBM66B8uhF4khRTKkftyVVfDRDnReTQ3VoxFz8ADYWIeCii6/XR7202VCz/q9R
1xjF2tFmsJ2LVBF9t/vYGV6yKLMOYpbOjRN7flkyqVAF2WV05n/akPyOm3EsgGYB/+PrZWLwCLrG
m8SYnRsIpzMs3rLNfh+GOPj3YUazihsVXSM/DersLqoFhQM9jA8Ibqq+oyc94rB22VMHJp9bUPy0
UOSC3rcpVNwpUVq/CAlWrgTP8mCOk/18fcIv3SZABHmoaFZD611V7Qc7dqYhKlN/ILg96EjjguNx
rHd95JYfx1ELDtfHuxAwMSGI4+t4KNPRXbsBlEpFY7FQU382a/trR5P5+zTYlbYdoDpa27F1x0/d
EBXPxWg6L06H8PgRRA6GvpmbzrTMtED5G1FeSwEgaJi3sDeX5gMUODiu5WogXlmtV+iy1aIBbmzf
je+meRSCklMtPnDZpveFNZV//JwuHROoZVytwIbXcT19Vh3uuMz9JFSTHJ4s70esLXm4zV8hBIyn
XDIU7o12xbLvTl9xBxrnQswFDs1/V/sSczA0x/Mu91M23cYRU+DXgK92oHTLJ1NFk2jW1Gyr6qHc
lKGt3tgGF845w5NL/LzW0HQ6nWatnuocD4zc15wCNSFXQUytQp080yd54yK7NBToQnYcCh5suNV7
aZbExVk38jTbpfDacmjvk661N3k1drf8gC9cmlhygsJhX2N/tqat2pQNEThLM98NGuxUC9XZpRn4
n5nMwYOUCwSuH2+xJC58IH49PNHokwDFWQ866O0cDFUc+lHTR2/bwA48ZKum+z5VbhnXLcuy2jUg
I5hLuFMko2dMCfrz6qjRow/6RD9KFdHJINN67OkiQNdkOVT8u/w4R+mP69fGpYHNZUDinoWPf75d
x4CrXHg4d8hPGYLin4pIQwaPIIiqVI95k+Okr0v0eyuFunAjECnQN0L4YGHCrBLvzEDBisp96AvD
jZ6gP/+YQdfs0CArNjSGbzXOLg3HaBQ1uA0I5VcXMmk2OUqgCi/M3OgNSiX2x3Seqw91VGRvIUFq
N2b24niAQrBeWODz6yyltkSta2IUXiW7FqMdle69QXQZDjN6vXl3Ixc8X0iXdXRALHHnsZ7Lz/kN
rprYZoj1whD5M82uJfvt7rq0zfw5U/q9iJrnNEK5LTJr//oG+tlvPN26DAwRAdyhBhh4De2JQQGg
Q6tEPs1Q6o1Y0/VPqawsubcT6b4gQFwUvgw51eBd8ErB2B1bv/vKtuQRWdAG8VJTie41RYb9pomU
5p+sDADPjnrifrAT3X1C+LxaGmjGiBJh2KELHdWFskjomcrzNLp0zwxQC8KLQ135goRz4qClOzm+
WrmhcSO8uRB4ICeFpRFXLPwIOGynE90YvakV8xj7dQc2IatkhTKJUXmZlHjGO2qwHeZu8AsFPA8y
rjr/nwCmQt9vp1H534o0n+4RrrZ8oYlbbMULFQF+G3sckg6kK4i3p79Oi8ckHlGM86s50radOWtv
gS8q21RTzYOyiE2Cn0faIKMzp41jv596KSCfWe4NxNf55ekuwACKSYumirZOLHMAwRSzTVh2Kpjn
kCbDtivn8JgPlXG4vgUvLQlAhCVlJuCkKbw62q3bZZ2KUIvfToNoN+qkN3cDRq7Q/DCB3Lh4Gb6a
rVTAJ9Th8E2ICCrLKEfHs6zZuUPbAlW0OVd2A2qAuwS6SXxj15y/XwuvHtN1MAm06M5kf+Yqi6ou
jPwMwyIYq1rqDVHcPFRm5fgaspQbnG1uxQIXB11mhWgc2MQaeRziDqwYY4DXgeRsUjKrogOkSzoY
DTzpT6PDYZxz+9bKnycASzH732FX97ollFGKCC8gBQz7MXP0Bf9UTLvri37p48D+EtvBRrNI1E43
emhoJR1srp241K2jOafNtk/HwXcC9PabpDB9KenKXB90pZ6zFEjRsUCDDfo8GQ4ON6ejasiSZmpp
RL5aINeTFWGK5lufeZYp5rfuEJM7LqF9WhjcBSVkTioatxDJZ4CgXz+C8ry+8MCg2Zz+CLcKSFyW
H1HGuf5kGDI8YN7RPFpZ172wtMNHu8Fi0OSmOXZxmB/RQywfxrQQd4uyyxvTnIpb8oLnYS/6dyoU
PwJuGFLr11W1yDAbm8IRgXjlt7Ip7oVrj7tYOigsI73w0CV5vu/i0fF7yrLejYXR+ObVK2QBe1/o
hjyC1K5P56RXZTiIgPFbq253Awn2Didf88FtonE7C03elxPeCttQzZKvLVjmNzgf2I03B5FBgaHS
bzzHl64/NGWIM3QMwqion/4ewBf1UDeQn7owng7q0I87GTofnBDN8+uffnHm2ZU/K5Mga1e7gQwv
x09FchDS1DxMjWF8Hqik7SsXY5vFlCvYKv2oH2jeR4/BILXP18e/EHjQJYKIry0iOhjSrb5Uj/Ef
zwg8MoPq31QH3wHx9e9lM/YHu4qSo2bFKE02Tfj39YEv3TMmXGhSSsBxpDynA+dzJO1xZoqxfB73
ReFm93ZABfz6KMv0rTcWvTjQVkuXDibr6SgWatMUOrBY6KtC8WOlgEjW4ibqlnb4Xm+K/EZh49K9
BkSagBjCwULxPB1PzK0aDznjzbE23Zlzo2BcESB4TLPZFa/ENtlOydHtvLGNLo0LpM+CyIE/KfpA
p+MiRzwrSSRiNLWneD9o9tcIZfEna4x/6CJGB9LSf1yf2Usbh1disS6k9AwG+3TECF3vxZYs9htU
+vGPBnaURpPde0CvrI94EA00uTL3uUUu+dahuXQ8rSVgpiaKbNf6PY5tp0htN419JymwqstL3UOd
JTpAQTNu3ASXNtDvQ62ew6LIZD70eewLh4a+YzXYSQHO2nZ50e1atHFubNiLC0kqg1EwEQeGmKfT
SpFFxK4KCTLIiIObGdhtBRpi20v8kmJUOjb5lI3762t5aT4Zit4IoSdbaHX9GkiwjYHGR85I9G+T
RsTo9Dr6jhx9vLFRLx17rlXuVNhzwA1X84m1euoSNtEYpMS2Q/Ns3k1VmPjXP2glj/nrpUdRg9ow
rEMKeKvdCVKm7gym0EdaubmbtCbY0bmmgSbiujpkTvgwKEnzGSZP9dY2SnXn1lX3o4NFsddA0BwI
AkdPHyrdT4VKfwpjA89Ae9SHtlnduIIvLTl9QDr1iPpQx9ZPl9wGiQ1lAxXfGVH/ragL06saEx84
9Jy2A+6jeyO39Hc3ZmhpDa1uRqABiEhYVLw4R6vW0STtEoI77ie55hYPmtZ/1Lt4/jAFYt6KiR2u
9jXW6Eg7bJ25Ow6WNt5oEl/4blrVgAYMKDqLs/Lpdwsko7BQon+uxUXvG4pEXkg28cHVheFBEon3
ylzKG5N9KcWiSKNRYQOsYEEPOx211UszjBqyjWpwmj02NhjWD3ZkI1pfLJ5MaG3OqpG/UbtueBRq
gSMcgovJDnscbFqvL8KFc8dvQcJuodYwCasZ6NFokTm65H5hhcoOUfTpCRspjF+BAN9oVy0bfr3c
iPRSYoYxRAi6OuJhmGnuTySW2qWqcZeDU/ys51a+SP8r6r4Io/R7otvtHvM9N8dKr2mO1z/20nJT
AmThCPFgHq9vNkDunezLyKf1ZNwXfakfYbfExyxUf9TC1DdDNPS762NeuL2pivHZJPpIKa0hGgij
SwFmmW4NyK+9noTDEWES52grVnZAcD36cH28C48iLpaLDODyMgIsP91ctjSCqjALxgO/4CNBWuys
DmW5yGu/9ZUhH1LwZDdejAubiLeCA0RZjCDaXW1o8JwykQWtFB5jEH7GaO4zXYl3ujTTl+ufdzad
JCyYZSI6xlSiCrIaqqbPNpPFg5kTBoo7UmnhMXJbFoYQngiwz7g+3vlhZavyMCE3RP0WHsEqfFMV
rMvwKhNeZPTtkVqE6QfCxa22UtL6XZyq07GDUuuH1qDu0r4o30eJm/t1nmc3zs+FT6eRrWFQTVuI
huPqqLYAdQelo0qF5xV65ArqpcgM4ZzhlM0thfmzN3L5aljzkPKXUtBalzSpubVCeDceFPFBAUya
T9Z2qio9unH/XPwo8Es/B4JUvfz5b1XHsEsp9CxCekkqHIpzQb0VhQnKXgWBH01WeqPncP4sk+Gw
VdmkEHLQRVw9OqWigiOmZ+sZfVPtzQZx7AY1lDcg46LvdUsHN9ES414qUn4GN9Y9GWDeP+dKZe7C
doAqUbgSa6E4PNS1U3yuC7t5SPFA+D4genhjs5+d5eW3EhDRDqcThC/u6eS4IUBeCBDCw+C0uNOE
Hn2dB6X/rKZhiLin2TSfS6w7fKfJb0lHnh3pZWj45ijzwE/RlNW2xxEHDhsMGE/puumItYj2vhWu
uVvsNm+8hxf2GmhDIjKA3w79vdUWkLObWqMhlk7qFN71GQwNquzxh+sH+dIodLN+9vLwMTBXr88c
jCWIm0R42HmXR5KF/r6vqlu9+Quj0GSiAaPpxH2IFp2uWKIGekmBGQWV3NDvayjNG21A5eWPv8X4
WbUia/9Jwj0dJQbPz9qMgeeGnXMoakxrnKFobuQdF7YAqRX5MTpoNKHXPCHA7D01rG7pWcXYBUed
vhtMsNtN1d9SlDwbinI4+MWly4HgE9n46QdZle1gzY7uQDjJxpeGHn9Mo7mgDJeH367P3dmZAuFP
zY9rlFSDltlqqNHA7SgLMfQJm0S9a1R8kxo8jQjI0QBoI/giU2C+xylR864PfOEbESUmwSHd51Cj
ZXVy0zVdn3YIowfemDrxU4aXl2dUvYOliubciHMuDIWaAkasTCulxjXcrAqV0AlbFSy3IgHMdENZ
0Qic7PveTbAUvv5dFyaU/h6NP6B7SIKvYQODZdUhdDLXw9wS46s6ceR9E4DhgdrQ2n/3RVt9NMM0
2fZGhg3Q9cEvfSllI3QxkKMjAFmtZhpAHMrVNPCazvkSBxQt8xCaixOAT7k+0qXPxO6Jwh6P8Lk0
0KwnBuQE7GUTqVn9pgX171Gki94aPUSSbS4j487I3eJjGFTJjRvy0lcitQcIhGIgycry5789krE5
wOEZLNfLMHfc5I1t+/rQmZ6uovJw/TPPLjBLIeWnSE1nn768uwofA4CnepEFrteOrnqUyjzc9cJq
b3zQ2au/tJiAnaLuR95hrg1cHKniiwXYwyPQL+6sDFa1nPTiEbSWdggxdvzzbYL6JZ+G0jI48TUy
zwRR0JSNhm9ZjOWUHYHEpFsuDm5ZmTfemUufBuIelBxd4nOkXDrGeDuK3vGwq3XvujLJDwnN2sUV
nZjdM8ZuiA/X1+y8ns90usQHLBtPKH99uj/6/8vZme3GbXRd+4oIcB5O2exBsiwp8RDbJ4QdO5zn
mVf/P+UX+D81VWhCDhKfGMjuKlbt2sPaa5UUxwRIMHB6ykHQpsI45DMLrh2rJRr/Zsx2Qhw+R/hx
aQy3RXBQce8Vb9WYrcvMo4fIK1yWavLp9u+SHFt+lmCKJCmg2bm5nKPSGh3rd3nY4/KbyhM/BpC9
LOfFndcdtJTEFhgAse/UkgVr5/UWMP4fLnOJajukQ+AOKnTZi7II/dgo9NPtZUk8wW/Un5DQ4ZMx
JXF1G1FVRNGph2W57cbiFKfawNw8w54HV0VbMjba8bM7rH91XlH9um1Zuki+JVgL8E/42mvLyF+l
tbuwyDVFiLQZw+ZSA/r1Udpu9s6U2LCrbJ0anEo8zqcjYXa3q2RgDfacCKk/rwBk2ZjoxLZmMZ2z
ydTubLcpTosxhufGBIypO+lyijyzfPs7BhcdnkgwSkItK/bjhd9LV6a66l5zg4X5Rn9cJ/M+LzUt
sMrR/HJ7a2UfFfgMdTryPEiINh81YvYadSIIPnTTYWIsWdwDAu/WCQ1uppxg1SK31UvfTLPszQhl
dtoCaQYvjbgm20GZFmZZqsbQJIZF/atYnekcGVim0bLulLtk54dYniorQCGgo8L5v9jPxvSaBYYP
l8CDMc7VptE4ZhWzmJO38+Vee0HBoiequbhbAIyb9GECmMc4cuoGKbI+aBIyXm9Nrem7eWU/QA6c
79h7vTLsQa4kXA0Bzxa1NthVtiDa4SB52P1qQze/jEPyNDfmfL59TmSGKKyAsgfDwVjJxtVW5HtW
X1uQVYGEuagRPrUEqRE0zt5DIrVE7vX7sqt0Gq4/Vrl4xjzlMCTYaOL6nEXrEjXFLOpiyh8sijeL
lF+Qb8OScG0q1ep00RhID2JGJe/oNWTAG8fikPTe8OaXmDYfCRInnfeYIs61KYayRF20tgMjTGMY
7M0YfmWlA8yg28c3fyqGCsjGdIJh2mHiyr847bXSUHZeczuwGvoJ/jCE2qXWy+oJqe7px21bkvMu
im509MWygKRd2xrU0EK5lHHQenS+AJ2dn8ZIG5DdYoqWGN3a8c6vozTQob8ZgxhoEz2Ga3O5U0ZN
qUHh4MG6DJPYiDKjkydvLTjh+PlU/0NmcbM2i/JIYRdK0DblB5qWBQPofKa2uwvTvroAB6SXcXsX
RQp0/eZcG9wsi5GYju/IOdQyRJo0U3GPFDkaKHpW8zGZjOTYeWW9s5fixm6NAoGAGITvx43eRA7w
24QzXNp2MJSF/R46Jvg/zCW/uHOMliHFVBTUZueOKSTzriiX6fPtNctODoOa1D0IJVR9izImDRwQ
yDXtQJnX8DBp6ExAZVQgC6+OFzC/2lthVXxUA9YP+h1UQ0DAXx+dqRq5ecbCBVRb62sa9ortK81k
3buFW+1V98QJebW3MKkC4RKN9m0ZsSFBzYyOxc1lTk9niua73KmWCzDK9K1tb9bFnXDoocEWzoDr
9bpKtL2g/27sYFKTnukjQxcBQxcgy97+zQOePudMN+88O7KPx/iNeHh4dyiXXhvtI2UUPG+w2Cxd
dqFX1AdwSHX80WqHsU/fplAjDiiLxAw6FRZlmW2Ua7r4Zj1hkXVf1KfRdhqwj6Zy56lVvJPvvi58
C1ticIoCMNWZrY9BOimnLspBsU3Fm9FMH3LzgPR5eG8CaYYmtFE+zS2BkQps4zJrLWTrCTo2CxnG
zqMhc3ccHn4O4Df4izZxL/kq2uajwbLrJaVja01B5cTGTnQk8z5CyFDgHklbtmocStPFoCVGC6X7
yA3IqDIfIrLRN8tlPNmhNQZdUjo7T+/ruFNgHOkO06oh+NxiGMzGbYH52+Ty9VzAnqeDUJ9m+7Sm
9Gz6pZ6CKBvHOy/O9pyt7OyKTAKmSLBo1Pmvz+5S8Da2jWEFlhsXT1laNvCWoVSe+HSZR5hLqDK+
Tbrhf+eXFJWmL7karHebALQyF6XojEVQmSIUveiVcnDyXt2ZypJ5nZdWNu8WCpxO0iYrJb5SHY4Q
lIywHHjrIYnGPXCPzBTleYAEBBo6/b3rTZyMRnXXRLMokxtgwdRwRRoFwH9ZW8nx9kPxGjrIfjHR
TNYpSJu0LbBnnfM8cnvVClo7HtRgnjPd9SOkrr9kRlKmd2kWw18+aB56TybV4NCeQG4gTbzHoym7
jjTCmLcXRAGECNeLTkpjqDSNEqplMDIx9r3zPi7c9Z/b65W9yyJEpHkKTJrQ9NpKi2Z65KkRjI99
rZt+PtrhO8bs4Dye+kmJDyY6vD/mssnLQwq/5v3s1cR2t3+DzCUQF4ihfkbsve2MNu9iXmeCmjb3
oEYr+3k92c44tQHAq/rc6VryHwLWRrETB8muJjih/1EagEfebLCRWlUfIUrMN15VfG47QBroIVXu
jAasQHqo7DEJyCwCTQNXrPJ+AgG53uyy0ufERgYpKCvVfu5URfWnCj8eQeJ/7BNGP3eWKDtDAlbM
FBks96S/1wbhcw6HNuntgDQ3PSxmVD1O3hx+u/39ZNcThlKbDBv8Mt/w2kqTR6azGLyXgBoNeF4j
9zjmKOTB3+J9vG1KtoNULOEXRxcFxOYmhzL0qjDGCUduxyETuZaiM4erpD4MnUbQzsWy8ya+5n7A
Hbw0uAnk4NGEARSK8aBvsvGdBj1LYAwmolyDC8NP03gH05uyk6p17vumzr65E+zRthdGBxuSsp1n
TPZreJ+FGg2NHCD7m9tqI6tZejbJ1tqUzbcElGx7UNpamQ6JYhW/qgl27GOMOD0jV5lWKJzipHiA
tkKhEAG/43xZ1r57M7pFsMVagv5BxKDaVsW26oxBc2di+4XRxuPcUwvtW/thmStnxztLzvOVpc0F
alJ0SO0WS5qi/VO3WXmeV8XeSVUkxxkjhCiiHcyCNq+NtgjKu3wmIWut/GK2C+FmHk5BFyV7IZfU
FPhGNJaYhyBduL45q1VW4zCofM8y7f2MLst9nTUfVwMurzdfHBw8rRXoOvAI2/xrSr2KyXkqAk5r
9qd80p2TCuzt4rqleTSsNN2xJ/HpwHFoceDnaK1vZTKHVHFrA+0PiI0Yukk6xzgsWqle4tRt4kMO
s9MnR41B3v/BMpkccymxMHKwrd1qk9c7MzxmiMis7gPwluWZ8gTJZbaGj2ZrrTs3UvJ80m6kdS8q
OkzmbT5g2ixtaUYrqRcyx9RYqvVotQNEPNyI8gABeHFuowVG1cTsDpBuDjv2pdv8wr44YC+qL+k4
9PWKQwwm01wveqZkxy7X3fu+BdRvgCU/WEu6N0QgiaZp6zJVQXRC22EbM7jw+5XmnDtBWnX1JYYL
9JBVKniCxosvXdjld4aWQQs4lPrO/Zctl5iIOB5XwwMg/v7Fcpe0bnMHt4I8ITINvESIRA6JcUiW
qn1cs6G5DEXzZtwV7o3whIIZ/U8+9uYJAMCR8UhzSVOXwiDJQhH0eZk+4Ej3GExk/oASCQMjHGE0
ADafs1iQzBkX6p6rDZngOlr9YYG/5zTSRdjZSslLyqr+z9TGyy2jrY1W7hD4rWyl26TaJddCzV9q
iCYtAqHT7Zv5evpLwADYrN/PKVXQTSziRLEQALJJL8NQ+dVMtnnvZa13dJqQaky4xkWNRlLnDId0
Gcd3laEw95UtSQRl7NSiM2a2/2QRGmvGkK4fjElxvtz+hZLHhWMlhE5FwYY5xevD5UIsB12v5gRR
EQ4PRMb/TlHT7NQyJF+YZ4Un/HcVipr9tRFTbYbamQYnCCfm+0JLSc/Ie45+nTh7w8qvqQYolL60
tambJAvU5kMIu5C9tE6FitDqaIFil8u/eux1v5Jm7rUnhgacAj68JPsKUa4ZQdPaZMohi22QYg7t
BedYzAMMdrVit29+aQUPEc0g6tQ8gFtH4niKOoSgYgI7Vfp75FnmQ94m2jGeGncnW339cckueJEY
eaKqQ8x/ve/KsGaqm+bIKCuW/jil9nqHEFS/8/y89oxUmYkaRLYvApVNeKrYvRGvSkqiSpB2cue6
uiMao66T5fPC2GNdfuymSbA2avZbcUSkT2RwhF+0Zmklbq5X2zOnQifPCsKel6DT9BpuomY+LX2e
BbcvyuszjCmaZbh/sjaSi+u9DJswN9K8QZ/FK/P3WZyqlzWESJMM5vMfWCKjECNLSLJsqycCjz3D
v8JX85Qe8PQgCJc6wtpZ29N6fP208P8nPiJmIGJ5NUigVhUw8jw04Qcv00vUJV/xZ/3JmeGIh7ce
ov4m25teeO2Dr2yam2/WLAqcHh02JwvlHdWNkgPw++aQzHV8SrJpT+lRdglerHF7PNfZ6yd6OdiD
z+64OnpzimLD27nV0lXxSotKO3nnlp1ubZ3VKEMLaD+8+YfJa9D+qEfbr7J1vii2G51vHxKpPWo1
QmQWz21sgoJpgvITWiYziNUUioClc0+uDo9RU1DBjCxItW/bk15y2pLUZIgxQWNfH/+hLyCnHQ1O
SuYWJ9WCdT+M0dNhxjw+6PrgHhTFzs96a6Q7j4dspWJ8k5iLDtirzMRuuxQ1Us+EBruPLm06k4cq
fXlpZ7W90xbl6+2FSmphzK7SMufJxqOQDF2vtGlHvQFibgU6VKZ3wG2q+9DqV+RIJ5iprHw4hnAe
QhEeKz9co/yiZepe6U+2ZECrYmDGFuxnG7/NS4qytjOTf9dOdmys1EFLwVWsuw4CirtFyfZgPjLn
Ru2bkI+OOgnCZs1D7U0xHW0rGDpu/uoy893b9XJsw+r77e2VLo0Nphok6Ie2KVKTJ/bQ1NQyIBar
j+qYlP7oQPQ12HP+rtL0aOf0SHoNWCNPR0cG1w3fxfXnNPR2nipoVPDbApoVjeqpKGyYtKNB93Uv
qe9yJbIP2jKZTxCedefCi9WDYSOJeHvlwtB1w4ofQv1LFIxUAFrCT70I43XAoT3dRouI2glJQSP+
6FUtGBsB8GmY6r4wvaP0O2bl51kUdxEeFMHo5jDl2ZBnkT7wbdveo5Dcdvrfk2Xkdz1lkn+NQVF+
Wgs8C7mTmM86oljnGQnkvaKc9ISBbhCjcTAubCdx7aQz5lUojc2wEF+KKou/IpP3IcpX7XR7n6WW
RHkB+jS0z7cjUEyoUg0ICUeK3jX+DpcB6SdTgfydAsfO3spMEdSLG0q5kW759SdtVDtaFBVT+mIu
lwQ6AQQd0va0JPneSy01JbwvIFEC9e1cfVQrZjcleKWULOwQM1n9Zc2yNAjtMfn39gaKg7g9qAKA
QuwB8AWq3+tV5XmPVrmlmQGzUu13fUh4X8x4bxRU4gig1QHtChxUYJQ2e9euWq8N9OSDdIrboz20
zld3bscHxdb/7odo2VmUZP+ggxJIXgbSqNhuzOn5NI+aYppBvtQMhGW2E3AN3e9KNcDccnsDpbYY
AgHQi8lXhFAMnE5mUSYcC+ZAmFnWnfveMn8Y3pp9um1J8irzHpO+kaALZOLmU/Ul/UPHIZbKh9ow
T4NlRH8hxJAB0RzW1oCj2E2Enrhyz2zvtHP6ZZ4FvSySW3Dv/LeNQWDW1+tuISaYVCc9Tci5vu+S
3gwUV+k/5lkOpYKTdkLaUbPuy3SsUYiH4+z2Fsg2W1wKTpFQoNmiiucqXNx2JlruFbNXD42e1Pep
y5AJKIS62/EtskMruFb/V92jTnp9NWhM65MaFqQ6mUeYldJb8Cdr6k/tMI5ZYK3Nm9VsiO1Irf7P
pDgCL56NOV5Gt1/QDfPMsb/rtALtTC12n0It2aPHlJ4mJvzgr0WIk/Dn2pQxV2qcN6SLc1VCpkq6
1Zxn5pSOVuYiHEChO/sUzk77WbEnbSfsktmGycAVDSLxYG+WSYdjqhocBoqmifbgebClRLpWHDy7
NY7UNqfjEBXfk6jOdz6p7PxweHia6LNSXfOuFz2v/TpSnzWDsnXUs5PEuT/mhnmu5mU9vv2oMljO
aNjvkWR7s7+lCevJalOOtqv+Z+lk1nNh592ZwRdrZ1Gyc4rSHHrkdI0gjt3kWAq1bRjwKnR4cK7B
2I3m8zi3TDEuqmDccX7cXpgsyAIhQ6OfOW9at9sCzwx0OM0FQsZtwvg7qh71Xdyk1rs51MsfHsXa
jwtTegECzxBhKZP1V7HQOs6qpNvpqkrKP0zf4g5FyV8sfuMRE2/UB7slvnTJFnylVZaHugK+vrba
17pea0rzdvKuMdvorgwBdXpqoXLI7JoaZwZDWJTTELWMPWyiJPjDRTKNwBAS4LrtIFpYWdYQTjzf
mQLbCiARlJnUyPC7iJhhnBlOg4Jyj4Jb8pBfGd14qzqH9jCkxitmdUa0XvTujNCztfMMyM6aQPGg
ECm0rbcVxCJEzHmaEjtIav3z4CTWee3BCVhq+qCFavnX7aMmruMmOBElJlEJxyDlnevruij6xIic
ZgdqWGlCLkb328KeHhNtLC6RWs/HKJ1U34ip/U1hkTzfNi/zFhbC9gaYIWY9tmBgy0tHB/wMqKwE
CsuwSzp/aPXoYCVxef4TU8AggIwTt2zzhRWmr84UIN26iucLZOrlkYy/eUo1cy84l35CpkqoOHm/
5zKvN9UKs7qAc5Re9pTQ0Ckj/akZJi2AqA/6qBr5wj9Y2gt7m4MJfWPdTTDUB16toIXO9MmBFG49
eoq717aRLo3OuaBdouO4zX5cd0nmjoJeEEEC8o46RT77aVPnkZ+XzfgeAaY3U4/yYFNMYxIPN8TI
jDhCLx5shESHMO4p+TPb7RyKIdH9JkRW00vDN49Sb0yJxb8w1XReMrAkkA7rhEKNNgxB15TjThVZ
duUoMNF9p4pMVUS4mRdWum7U2pQLFRiK1wmaeRd581Dz7nM9Us9WTACYo4/9rkrW+rvuzd2eTL30
B+DVBUSR+uMWKtOhPdRBbo/Ieo/Sh59mAC6McfR+FUhlIQfBfbeNUTkpSpQHmpvsEQPILj0SHDTD
eErh5Nm8KZUJLzIBnvBwQ7n4Xl0XyErGrvFhXpM0PNy+HNLVikkjdhs2iy04ktHRvLRCrOmdNvsI
Nw5PK9SaQdxDWmUnSQFVoxI9OLVmv1+tea9XIwvE6BRQ6qZvRUFoc6ZoB2rlYOHONS8uUl+dyq+D
miofNCvsT/rEx83Guj+0RdftODxpPiHo/ql8kTzp2xrj7HSD2s4ghTxtWP8dzbk/UYivLm41epcG
FrUHR6laX5Q6wKYy8kE1pd7rZsgeTSFywJfmm9vbwSBD6RiMX2guU8N6avIQfswo3Jczkfkl+pBw
vgpSC8ZLry9VnsIVgo4tPXu1+8/MO+0U13Xqz7nZH6lU7M3cS1f1+yEBHkmvZnuEy9xNwh50ZGe2
6WGd6TzZ67JXepEdXREBUGtjsJtg8HpRStR52TyQ+DZ6NBsHpW+X920Oz+VpgQwt8btOj+ojFx2+
VVJkLQoGJ5//AM3I8wzenSYNFEBQelz/DEiBkT3RqLSF2hp9UXlp/HGaynulQvu9imYHoZGhPqku
4ohmkVcXox7CHSy87Pu+/A1bp6mmDXJ8oDeThU6zssbtg9YV+iUbtMxXAcRfbnsN2QfGQzmMtDGn
9Gpa2R5m03aQIAzMqpouldXrFw+Rgg+3rcg8IaUGuHwZs8HO5uGeYqqWNBwtlPfq5N+wb8zCd4t8
THxvDMc9XIvMFbmmqMUzZQOr0WYPtcFBuHIlflWMtGXK1PL0+zqZ8vjgxgYyTL2WMFZQ2n0a+T0E
0nsVW+lqiRugJ8UZwGF4fY7MdhpzpWspLViTe6qLbrmsYJYYZ5innbxFbNw2rOVYinEieDFAlF2b
yqbFLld6N8FqqUWEnl3vHRxlKYMeLOcxgZk1yBCZ3onDpFZ/d4Z1+iuvDk1TQlpUiM5tZufVXWVn
Hyumzs4qpAzvFBQj35URN/XtR4giHIXg3wCTbfu7MklGfxfH4moeECpU10/amPQXJk53NaNkl0IE
tJTdDY063PYD6oy5RQ6MY3mbVqcKWp33E8qpO1dPdkxFxgYWSpDLblc05q05QChsBTGifP9ZZVdO
QQv5/HlJShPlTy257+FeAy6UTzuTKbITiqsFZM9/XLzNY20OkR5bDL4F8xCPd12c637IbtxHbbRH
PyI3xQgDERAcW1uyKU9rwO1FlIHhkkMs0um/d3M4IqU59TsBkMQS+SSyUUJcWcCjr+9CO81oSmXg
PZ0hMQ9wxYT34+RauW/ag3F+82mEd53u928N7VdYxC7SxhktEDvolygJelNTIGl1l/dxRnZ525Tk
RcAUGCeOCH227SyubTIQZaTUSCJUHH+lqD34Bmq+34a2cQDVFnsAVcljTLtL+E84bwmrxLF9EbY7
2pQlqo1L0YRU7tNUKOrHOoQmzc+nrp5QxK1z9zS7rcnU4urkaFZOy5fba5ZcwN/SSFTCQYeQgV3/
BjePDIJlKj+DaaefRm9Yjx1jmr9uW5EdGAr7jHdSWKGlsHnv25XsFQ5EghstRCWvn5J/m0FBi50w
ZCcXkpliToi6A7kyPmyzqXnldYgPzibanHF7MdzGfi4jIhtb3WV3k5riRXDpGtLF2layFpXq8syA
WOCM9XqMvDC+y5AhJmSKkp1gRfKZRJ/CgzKeiwB66voz2XY7ME6KrtBoJPMpTnLnjNRztHOvJReA
YAzXTwdLsP5sipLm4AIpEa8NKXJ/RAS4/gdd2OJfT+l+uHrS/3jzqRCcHPh9uPBZ1OZTta6ThxWl
VZhNuvoJrSR4eL1hOuratBeoyPYPyhHRykIzS9vCkHh8ektbaS4lra5d3GYcjk2UmTv7J7diQlng
EZOQj15/pbDJ+poWrkkkUJUXQhL9wWVy7vIH20bXD4gHIwekgddWMq9Hba2hnxKhsnZSknElux/V
96OTfn+7JQZfcPI8z5Djb9ZTCml6WGeovHem+agifX2Zlzg5IE6f7mydxBfaEPrBSwAzOknXxlRR
oubrdESSpZZrvhHVSAaHSnxRYueLoeSx6aOnol7aYYZe2OqIZ9++VNgFGbDEF4vW9PWmEmMxeFUS
nTMHrJ4Z4fxUmRWly9hYl8+3TclOCTaQYGVQiOrhpkCqhmVWFFAGBGbTdoJsfoFaovH0fGdJsi19
aUe/XlJW61PDIBy3eemGrw7ylnfr4jZMOKb5qXHW/jwWtXWMlQrd9Knbk/aQeEfYSsh1QChTd946
kz6t7anv8PnrVOYPKLUrHxx1XXwr1D7e3lCZJSQ0RRjJ7Mkrurp5XemaJDoNuCHLLkjhen/HHVk6
pLn2zp5K4nHWA00IsaSA/olv++LJnr3ZRVaeXh+ME/lPbzDVe6tXs+8RgIZ72M2KR2s2xj+48DQl
6N96NCisbQOsAyaRp9BpBkuaofne0xQZy7C/eCANgttbKVzuJssR74uorED8yBHdrM/Q6nY1mJRs
+plkJguH/pxUVf4uNpzw1PZW/QxjvPKfp2Z7ZR3Z48PrRmMIUBWjxxvTra7XoxLH9DYznVHGioZP
6ayZzxthHDu1bHcCS9lSCfOoZYghNKaLr5eqJHa/2ATngPZ1626E2cfX57ANSiPqRG9R96u+bI9J
3A/H25sscwAMN9IFETxt8O9eWx6ZR2hWrl6AvebgzXNc+KpXNjveW2aGWFbU6ii4vWLzagozTYpa
9N2zwvxeoa9wrnNt2YlMZDeCkEFwstKdYEXXi2ljBkmiED6y1WyeqyKzznVXKGenVkrQ2lZ9SEOl
2rkQ0pXxHHFOIet5Ja3V1wYC8gkroyuYB5PO9Pm4ej9vfyXZwniM4HuD45163PYrVUrs0UmCVUZX
ablUU+9D0tkdiM87P8nRdh+qZNjxL5KVicdPoH0ZvH9F4AvxtVqpi8L4gzUMo+8gDf+unZN5B5Ut
NyPgxIT8IAo3a0viCOnonHo92gTKr3qx8k9a7ex106VW6BqD+8adgFm4PhpxYdCUyJjcd2pbudiR
sqR+MwzmzgmUvHPweAu1PqpqwMk2izGLsVLTgTac5aTmY6kpP0K4fKGtN+5zEFlPfTt+U2f0HfTR
3avPSJ4eOB3pJQnaeqgIN0vUakARRRgJ8rXIe1d2DYyyZmbPfqvNprNzOKTGoOMVc128QdvOagNb
dWsmos1TLN6zGvbOUbcK2sXqUFfz8fbxlxpjN/l6TOoSAV5/vLGLogWMpRNUTf0L59h8QHsUsYM1
2Zsukh0TpllZDwEtQKGNJbNTSuKIkH5G0bQnOEmm1V/Q7NrraUqY8gw8IcwZovgtGBeul5RPKrW7
ho+ltjBW1oseP4x12R2TxRkvecX8XpBPqxE0doLG4jxG+vMIQf8poTYfHdopbxiGtGHxDm5vtfQA
gyWmkILUCyWF69+lwfivrAMTPjpP67esjYd7UuR68Jt5CE/sh+tBTQMXnd8YapYc7Kyom534W/a5
KTGCshGVXMbdr39DlTaMu2ctcAsSgfeM9g8PaWvPp3bSd2NtiWcFhw9vCrhM6mLbWFtLrHAwKGhQ
tY3du6qvlPNiDe3B5sj9A1vgfNCjpPuD80yOLkBoRPKvuDbU1O4cpQBUmHX28lmfUK71tHz4VpDQ
/ME9pR5NBc5Fuw2o1PVetoCcc9ijcQo67Nx+qIfOf5meF+V5aFrVPN0+PbLrA0EvA61CQAcwwrW1
EcmMNIo4PTHg7Ow5d2vYqs3GWf5gTIOEEy4GAEQckK1HGKB/UcigmBFb6yen1dx/G+h9/ru9GvFr
NwEoKmfMKcE9KOrPm9VEve21YYiPU6kFv4PKXnsOGQc8xIk+IBw+J3tZkuzgmyDPRf2BWs2W5wr9
5sgDNAj5gdfaJ6MARpdm/XAaynCPflxqihIOgTUNUOoD11+K1vSooaTBBLeC6FjXG9mlHZvxWLnx
HppJ5lJoUP9/U5vrbLSmU7WNB6mbwXxCb9OnsOf+a4+aJozOs+dPq7YeY7Pt/SJ16p1eiexIAtaD
Cw08IA53k0xXfWrpFu2uwOxM66+MiZNTMRX9ThQo205yMUIlSpd8QuFmXuZiOTn0lIKtyJaovSzh
guw6EMUH6MSn0+1TKX06GCoWQ3S/U9rNp0ujCsx8E4EqarTQumtzstiDro6t5yuQckK72kT45zmi
fPxorxHKKUhrVI1vL7b2FUT/fNbLZvo59aZS7fw42W4z0w4YgLkmMqjNt+4YYso1Q9T9zaL+tFRg
PAD5/gFoBpF5SmhAnUR+aFzvdhTXoZtpTM4PrRYeHbP7XqmNcom09U/cpxiJJHAEgUR5/NoSEfls
TTrQSPiHkbKwixaCg1zVECbNqCHtMAJITxGlOk2DWIusTPz9i1Okj+Vca5mgnbOa+JtHmfCS5qr+
MQtze6c0LXv3BN0JlQMICKBWvTalMlcR94VAyTBJetTJeIPSnahP60vkT8403yt2rHy6fXTF/3Tr
UAXNE4ogQuxvW5PUljI2GaThLrZ9/DBbtePjWuvSb7xODepu3EPFSQ0SjZA4/YaIbDY0RGDBLaoZ
TjvE1CEA0bwfjcNgz9gZ8T9xZew1iKS7+pv5mJMh7F7vKgQ5ireodNgiBAwfc6O3PmlKMZzG1cjh
PGkS9dBDercXTUpv3QuzG49gMdnao9mEh51U/dAmeU0jrN4b6pNvJm8TcBeaGtu6f2HYih4LIoeS
RIOM09LQr7XgmD4w2oLEGbkh/Oe3T4zsRgi2bO13zoZHud7QrM26EZQPLcvYtB+7pTCO0WQ67zPX
TXaiTtkmggVlLIBAid7sxlSkIjAy034KrCHJYr9QwXH5cCXs5mmyQ0JdC9El4leGgTaGFrpNpVYw
396NFSofld2vp1Cbmvo46yVC67nnHr2h6b/c3krZM+yAgSWkATBFhnq9lQOYnigjtwpiRlnOqdv3
39c2BYsRJ8Y7y1Dskw1u4gCnfMvcq+ntOBwZ6puuM76NuUzqJa8y8CrXphUEDh3GBlo7BmyqZytG
qs9HZV1rg3Ydp4ferFFFN4cJ4OUENH7y68E1oQlxm2qvRy37DoDQcUciyENm7npDYMrm4+Yi2qpy
4wE8d3QiZc4Cr1fL1F+dRgtgBap29kFqFewG/+ABAZleW2XKfpyGnqAyNVRRUayMX2k2p+8gcFwf
q4TyG+OVe9Si0s3nXRFUd6oYbNx8fDpRqErBqRfEIL5OsLR1h65s42fYX5xDDHb4qwdG76HksUMH
QrWJFcLkH7eDfuv2KZTdMjF+xEkAcmVuAwTdie0RlR02fYzDM7kCFHWqsZdByq0weg+HMOXU7aST
MudAdwfSeHta0ztDn/IHO7WUHeck3Or2OROENpwhGuZgOq4/5ZwqhtGK/MCb8o6qi22f0zmbz1Oq
r3f94FR+FUJ9b6e1er69ixKWK9EiZ4iK3ASI3jZtdQYNJto6c7GaDc+6q6iHMC+Wz/DBT8NRYdp7
OGeZodf+aLnTA8qmGRxu4oMXs/VsNlq6B7uVbgYdD0jOVKgxtwSEVdhA69A5DrFLuPwwZlVPAHu5
KLToNdS296YWwYHTGuYDlKR7HEOyp4k8kNIoVWx6+5urjFKwZkSr0DoIiyF9VOouD+JSV54iM2vG
r2ocmXvrld1jkVXoKhUcIRd5/fGJrRKrm1jvFIae9V7vHecvHb1C9S99bvTnbOnbY2c1xk46I1kp
AH8cFqBbMaArTv6LEBH3uKTMlMGc7mjpU65zfbW1KH52rfLPao3ljjnJo4GaAeko+hiaYAa+Nrdk
VdZQgOKcDYb9nC8tgkIMln6zw9JYDsvome9grNE+eqXQiF+VPX5p2XIpzfweNOCYb3k6l7yNFD03
XdGKDWtfGaEt8DMKqN/WdvBESOWuP3fulsgIN9ea7BuKC0FvZr26W22xQLjS9k4wd3X8uWtG/exM
WfTM9I39M8mGwl/svq78xFJ+GIvRB1Dz6ztuUnKb+A2AcSDzBd297XZ3doq6wrxQ8XTK9dzaNdwC
zKNdwtUpfNtm9I5pdKc4ZW2R7ng1SchF+kZPn7kZkqwtA8ZQWDZAaUwvRbL83fS1+5nJVfdOWz33
v52tFqf11VaDnaajIfo1W4BMYVDyiCE3CUavTh8JA7xfDtqr88GLdSRmw1TTK6KBrH10pkip/UUt
Vf2URPw+v1TTrjomNJUgVOyKGFfX6vXeh5D/Qk4CpQMezm3n2FaGuBiyBBre0FlyJG/64oHqsXG5
vRMyM5TLBCKEf9EquL5njVUVapVw5rQwjqtgSSrQck2+5h9u25HdJ3YbhBfoAtLMTfRhDVXaewa8
ZMC9suigDWnzUe300O9JVuB1if6+bU+6LkZbYHBA1hp/eb0uzcjKxXUJqhN3Kb+ANlB/Ovawh3WR
rkoAnwAbs6Yt+3VXl6a6OLA4Fes6PZpVSs8DCu6gUZz+L+gq9q6IxPfDTWByLylzAJvY+P7KpeeX
prMT1NOg5AcVzo3yZFhxHx3idSiic6UBXj8iBh3/c3s/pZapU5PPOuKPzUNn1661eB25g6tk6cfF
DKOPvBUcTL22efcLjYphpSzBbauyV4A+j6COoQ/4qlg4NgThSkrQXo+eMQCMWrv3daZHTwzwMXWr
pYbSnJLEiH/FbeLFB1qvyx9UYqClBnYgaHjBt2323F61EqJvauZmpzU0m9Qy+uqVmbf45tzsTdXI
DhRlLCBAIGURUdhck86zBoI4wqs+j7MTepuZH9pL81BG4Y+VhH5nf2VfFXYvCs2ETnSfNq+sa0yT
TlPXZcbVeFhDo72Ug/pkLWVz9hZA6+3Q7OE95SbJdaEDIB/YDq6EuWIXFAjRDoJeDHzT1DAN37sL
LI2r962y0+IdCknWDgJZZlWwAgGpYFu5q9fuQM9dZN9ile6SQXmiUGLlqFhRfxetqffDRs3kgC7U
LqmL7Gu+sLoNlm0ohSEzoyuhLJ367MEAdpoLdfm2lGatHgh9Jt0fBp06hp3Yj4o+mKcG3sZA66fV
hpgJlKMdq8YntrH7EKXV8oiIQP98+47JPCXcWkLpCDlA3vzrrTGUJeoqmhBBPEfrufLK8LEb5vp8
24rscYe3W1xml6dmmxi1S6hmFj2gAAUEEMxFaR7UzFYDYrj+9HZTTGNQYaS9Rl1cfJUXkaqmotLk
9USqmjciJq2kpp9SATtDPpXs3J//x9l57ThudFv4iQgwh1tSlFrdk3qSww3h8djMoZjJpz9fzY8D
jChCxNgG7IsxvFXFql07rLX23t4BUZBIRwRN7yZnlDZBWpW7QHqzIj8zjko5F7ozHhzevb2TBKwf
wE0QBPJX/LSgOcsZiG3IKlu5/AMgL37S2/VPasFHkJI9Q6STRFW6HDG8nbLXqNrQFAK0mtLSOIty
YwrMCj2nPCba/+WPxJAi2Ai07Eibti2uas2zYpRQxxpS6AuK+HmogzsPoCq2ByHtzqqI8Qhv2EIy
l62egannJhx2wPNrmkbo0g/5uaa0/m1FP/4/mCIjBxNHE4I2weZLxSOqARNEXqIcp7lQ2E9CJ0XV
oMu0o4rvXjeG/E/ycCR2BSGc21NBHpRoedY4pyJT64umCyVIGS8ZLmM8+BU15mDOHRF27rj40RJD
pys1cUnWufITdViuXWUVB4iaHX9Hw4spplICnObv5jlZ3Kpo9Yrlq0MqTr09wsCqNeJj3U4DaxqO
JGd37aEBQo/Uhhy9DV55shmQJoBnJJOigB/VrDVc2tn4uhiR8RQlrX4Qxe4dJY8ag8k0c1ja2wEZ
Q2cgezgSBSlTM/2TZXV8nYgEwqn0xAGg50eHZ5OiUEQyZVFYk5nwZjPzqYgA7fFkKVo92kHds7Xv
FK3tUOGit/7KuGj731Tv2uGk4E4jfyWyRu0FzSoBXzCbR3+xSBhPzEuBejx1TvORWFhzwmRtS9Xv
LG/90ExgHINm1ccvGSyIyl/jAoY7fJ2k9Qti+SQoTaV6lxVScURVh17345gxId9rbVYtn4n2g31O
COpjCLdipKYnRPtarM3wjz63heL3jY2M2bJUqgjUtq+XwEhE/jqt9dBckNIz1DBrOl052W3Zfsoy
3fp7FbX9MSlj72ObRO166pAbO+op3EeWsofHJC7mKtD33rKhzAHxEUsbgSe4evN7JxYm5qRWfxGW
VV08B13OxiO67bNI4zlUPz/2fvcHV1rndSIEkkIrmydqYORR1OTy7nZR/Ja5DX3nk45ab21r7Mxg
SnT3+3+wCLKIIWCoF/MC33qLfOHcaA6kZReH/M4GBRIstlF/0JykCbumdw884X3ARZ2VRAX1WFZK
UePWXu1Zib6MtPl65ruhYZL0Z0N3+6BmNgAZtLacM3hTB9t6fz0xSocIhXHovcA0bo16eRaXBl7v
ZHd28bVfU51a5Gi9i0AOH7zJ0pPf3k5Mof9D4ZFiMsjPW1NxNijTEpFfJlzGoEyV6H2cqdZBzX7v
nPxsRf6Kn17+dDHmtLKpnjer4jwXohreOLlRBMmoWplvoH/0Xz4bPSjgfBBteDZvDUauVigTHp4M
tu/DWl+LAGD5fCmyFrwnLNdrxiTKX44F2EsJwpTgN9kjujUKe9OwoPTQl+qT7qNtppE/RGP5YRKH
5JS9E4IUGBwLJEmpRmySuVoMfadYXPvBrFArMUcRoCVp+6jDHKka790AJiVLYRSUlHiqb1dFZiGF
LwB4xT0zk6vR8gKactEXJNqbt/Y6Wb7tlkfU9r0D84NVTtWU7sA2rEpXYbSrzlamgAeny6yl7etY
uHqIVoDoA2FU6BE89iy765QqIryKKHK58s9/OqMqeh595wIoFCLVr0yAHU9wFcWbcoH0YzCA44Iu
QX35L0ZJySVBl1rp5vqZvZuigQTspSvUGvJ+/+fgEXcnitIHypJPQV5pRwvd7i2sZ0mMIbSD6Y3b
3pwdRGZgKOb5GlKJrU5dHjO+PKqSoCmb+aSX3npQmts+UT/sEbRCBcB/ErvebmyUd566jOkaTnnf
vsqe0yXLp+HPPFrEM9hB99JksfrqiToKdE2g8fN4j/fWy5J5HaXizp03dZqBToY9s14n+dPJ2vk1
hVbu2+Z0LY1k+uextb3VUuRhHib+GzDxZncbUtM1obkUxpHOrKNFJM9ZU6nVuekW8UlVGrh42tL+
EQ1z8aafXf3Px/Z3V0uPmEkCUOOI4G93m9F/yth24xpSoHCRnrDyk5n0xVt70DRfWYYjiuadjIj8
vAgCokdGIY+2vPxBP92biTGLY2TCmcz7Sntap9X5LpOySzf0Wmgu5XRSGkUPh0WoL6aWJ58SMGsH
UcHWHfIbuDsOgABkboGhbh7Mma5Gx0deQ7PwltMEjCLIrKwIMjhK4eP93TXFSSI/AKFF3f52uesU
l3pN0yREG2V4ZyaFeu4rtfkyztURz3HHFNeFS0p+Scd5i2Zc+9Ryu45xH8Aa7Y+2UZIaTHn2UubK
wf5tfR/7R8UERSreEnBF27GxY5wpwDdiNdQLOzkp6or+37wo32LC+ncZUpOGX5lldxAV7K3PJkkn
NOUvns3brTSogOoV48ZCp1OdIEKFxo/ogl5Fdjh3cO+UgijiXoCegJO4XWHUs0RLU9Zw9CTbY3bm
hcJAZj+VND7+WIy8+Ht1FwcxXks/a2vjqojhoMh44It2NlrqoUpaLhiZO64Gkz8Gt+0VNezz6asS
m8qzRQ0NUdZqOSfrSIOmh7N1YHRnn4lfZREJIUT4KPLPf7qha2kVulrEWkh6ol20OFbOiTWnH2cy
34P3bMf7kUzRRwAyQO13S6krKyrvmp1rYaQJN3T5x8XVEJ1OS30JhdEMbzwXiUQGcVSnepjzg8T9
fqVSWAPWIBPNpR/YXE5DqWdVsSotbJltcprLOPk99or2tMTren3sB+79rGQ7k3TJqRLULTZuLy3b
rGWGiBaWwJECpyyG50HV1+em8RrfaLv+y2N79zurqQwoABOOP5AclduP6LotbEKE0sMZHpjfqtP4
1Dn938bQ5B8srW5elM7TnlW+tL82VXF6bH1nY6W8JdEmXHzK3ZtXTY+KKK7NcQpRhq9elDT5t7RE
/MHpcvX82NLOOolOUKOiysHIr60q1WIPi7u4uKK51eew9vT8I+L7yzW2KgreS9+91DGTLRU9q09m
NnkH5Yof/IyfEyIaYPhaxFk4qWBWt5iUQdCZ76pxCe1cT4yLYUe56pPx6YiW23HytqMY4QWM6dL/
dhutm86yJZgFqdpnrwWpU/m+ZRpn5id67DVBb6XM85Fsk+WlJ1ZvXga77KlhIVaVXosui1pfCJdK
V+4M0aUop6o5+HT3LofmBB1i2lisjW7F7cGhOy60uK+5/ZFbX8zWnUOtUeXmUTcp4ibFG0a1/c/j
z7hvlRuoSznFu4FGZVugaa1iNS0H/QLLbrr0yzC/85aq/7edSdvLsUr+emx055SCNXal5idK2hQm
bpdqT0rlLUxTCK0i6n0GahhXx6rmcO5c++CY7ppyaKW5yA6qVC5vTYHvM1q7d9Qw7Rrz0oCADvDB
SoCOZHnwAaXT2p5IomdyEuyAzdmYQmi5rOokV8PSdvPASLPlYkdu6quKa7/3Ik8J7bR9oX7fhr++
ncRzRHfg7EAXbKKqiSlqSwPuL1Rn6IS2ztfUEoehbpoVH1y7nfeZ28YDLZ8o+jfbGQwNHh3wTEYE
AqnmCrzuj2X12nNZ0evI1Vk89W3fPs8GqHi/ajMRgLfsD9a749K58WTvYOLJi7YuNnViGxply/FR
mXGdDeXwnI5Z8ncLJOxNLRB3OXiYdwxKFRUp5AtACJD87SEy3DjWDSGWcDDn+nNcZ1S447i6pkyC
CxVS0AN795dSMhtpKBG50CvdztrIbepxdN7V0LXT+EWp3AE4mxEhx5DY3bku5vHz0jn658fH6P78
EuzIYXkOcQ+dS+nxfwo/zKE33KRmWwcAR4EsbDGBXqm+JlVbvUAq+VbVEnhmKQcNwfsrii+gy8Tm
8jlJP2/tGjlB3dLyYupW573mfU6DNk+L5zQvkoMrurOxN6Y2VzSeBzPLa7yB52YlgDZUKovYct+r
rTGd16hpAs1Y+4MIZHd9wIxU2NpSUGwDDVFr5qEmDV9Tq83sd5DX5XfH4j2ZktI7uBn3psgncXJS
Fw4u8zZ6nho7tvpuacOBuC9YKBS9XfXko9k4yi/7VfARHBeQ3VxDlA1vPxoCGqndtSvQv6gtghJl
znPduabvpIry8fG5vI80JBQDX8Odl7IWm9eiSZFEhLeGKUcfrs009r7itOVZmzOKIZxHf6kYjodm
DuT35dcHraI1pJpo1lL5AQYDG+92qdNQrjUjrbtQXVNx7avZ/pqMjuFTLNLe1XpfBQRJ3VNVNMMr
j+h67iFSnkbgBkUQz3Q8DrzD3kcG267JuFbCujfeyEXYuY1QSA/LZp0QbCnVLzRH6Hpp7tFQtvv7
4mq8m6S0OAVKppujazMBujTWqApjy6gChCy/T3bjPWdj34X1aKwfk6U/QqvfuyFpk8hSxq8yvrzd
brVwIlEQ3IW5EsVyDLTu28q4vF3yYjilchKgWBb97HXJ0UTZezePDgYy+3xtqG00cG8tr2Ac47LS
67AuEovIVdOuTebOF2VgFuJKoPT6+GDv7S7pJb6ekEHiXG/tFVkV1b1m1qFVTm6Yqk4eIAWWhu7a
mU9Zm/9GNfOo5b63RoqKkMulJCaO99ZmTtBOyKfWYVTPepA5IgFnlHCZ1DkL4tq1f9n5cXN+srfx
E5PldF6danU4m03q66Jx3tZLX11Ut7EPYpPdpVHkYkYDDye5we3SaiXvmqib6tAU5ugj+kkRoWqU
9zliGagTe79ewWNppD+I8hKIQBe6tbfUXZGQo7CVcx4/uXn9z5jXTCFukaZsB8s72Mm9e/EDVcAo
COLmrcftdLs1cneoQoTOrK8xHf/Ac9L0VDP769QJzXlrdW0e5JlRHrwqciG3gS1NOjT6WQwCb7QW
bhdqwnMuCig7YRIl3Xu46csbuxzzgyrTHcAAP/uTGRAht2bipjEWbbGqkLZ+ippzH58Ms+3euFH8
GjGa+DlxyiRMAEkHbQwvK8nYbXMapjfMkesJ62fzgKa4d6LoDxH60XtDWn/zhVu3IdfuHRTm12UK
RdaLcO0YZq6KdTq7SX9Us9y15xEiQIyWpdLNCe4Gm1GmkHLCVnfz76U6Or83uj6pwbh0Ze4naT3+
/dgF7VskaeEFl4XFjQuys64nTefTzqIz/ZbaXjikkThr5hIDRXeP6Ow7bxciQ5YsqyEbQpp7+437
xQT/a5tVqJWufmIIshu4q1ddm0b0B+dpz7vKMimPCc0i+Fa3ptyhnhEicfl4buK9NadlOomqdj5F
XTm9Qf4Ln7cMgN8eb+iOVXS3aEuhrCrFnDYbOlKMdObRqENUcrtrPY/KUzkCl60J+IOhtrUgo1t1
YFRewM0FlToW6BT+6FBtlR4z0LnZ6hUi7DVnpKJhRm/zyvxujcZwYozK9JxYevxjUM1LN2nFwS3Z
WTJCThSceE3I6Ldqlh1qROtkIGWmTdEQVALewOTFCKLrY/7ZsVstSE39aNDjHdGLVxoVIopAhtSw
vdvoqqKyZhuNewIo3NghnZQVWWAxWt+Ijc1r3BvREpaMjntfzuCGX5asj3736jhtTrOtKAdvz3YP
5K+R3hF5KSCADHK7PWyLSbuzzHVXzphcrlk3DOHaiiy0+rajn4aKaVSXR7SsrV/GKLE3E1Gp3AAJ
2MqHoAarWEleRCcnSaqv7Hb129IeMsO3h+uHFQBIIHYpod6B9LTIowY2lhECOKXxRlcU84/S87pT
ZMTDdW7H4twZjeX3aVq/VKN74KC2DkNap6Ipa8Sm1B2QG/9TUmoMg8VoeNM7xUOzvkkq49mI1fG5
mShWP765e5aIiKjbAESQhJhbS3NbGxOiFGC/yXom36ooSfnQMcUfarVWB3COXWNgcSR5+gfJaWNM
eNa0rjrwdmvNu8CM7DaY6IxmgaGvy+fHK9s7J5J++//GNu93563Dogwgytu+aYA8u+3FASZz+Q9W
ZDZIc4SwaNtSqOzF0KJRIm5h1pz1tLOeErd3Pj62srtxAELoUPNOcP5vN86ZGuargps/IXNYvkZT
/AU83HBemMh7sJ67Upc8elIcE2wPCehdKwqlC0fPGgMCKyhVCqJG8acwKy/gERlemjbRAhGhmo0M
bXcx2tH9QKD0q+j1H7/hB54DbBM1001EMDWiTN0OfD56kenzrOear2rCviJsvZy0WFmfld6cDl7O
bVCAUaIvCB8A2HHpWwJ1b2dmoqYZzsxuhlOptt0UZBWeNIr09qKQ0h581D2DhNCyuUjhFJWG248K
rSVKc1Sf6EBH8J0E1FK2Wz+5q608a9nhzNGdQ4Q1YFQIgRJqbeUZxrhossH0EA3utfrJacrxOTEX
++wQtR/s5a4pXiiqP7gWJm/eLq2KxsKrJtc9RfpUnTSjUX1BOfosTFh+v3w1qIeiHEsWK6XIN/Fz
N9tkAcXIqjIxXZMm/tZABnjVOhKhx5Z2ngSIzSjdoCaFWtA2yOkzZdSY/YKCQFvYr8uot7/RD04h
s1nVZ9JY+6WK1jhQ4ymi5j3FB+b39pQRz7xHQBpBc298QNQuAtg2SNWSytpZ61pxmdy8O7XL/O3x
Qnc8J8U0SrDUndCw34JEEmYTOfOMT/NK+M3CVLw/9NxrDh6DveMPFI07B6VXootuz0hjV7bVIsly
6tup/NS3ZXJN42wMzG5wnzRad8HjVe19PlCgsksBrxr1jlt7AwNGndWi8Vp043BZmlj5Xi528apq
lZkxwSfpLvboVm8jexC/VU4XH41duUv1pIeR+piS78oFvCs1p5NnU+j1TlDw1fg8WW0URGIovgEt
V7+0SVOdMy2eulPf2ObMQJuuDxl26H2inVsy/cdLna+pF4//4WA5pNYMDpD50J1QQkSDr69WD83X
1TjDn1l810B5SNARPLisOwGjFPWCWSd1v+/ATmasuhmqFN5pFWgP4Oka73VJBlfzrdga3jVZZ4SD
sI4O9O7OA3cC5yxb/yA6br89ftZwO0jXp6JO0i+Z0JMnRKua9yKJ7QuZUT35xqzLWemNGvuxalVf
0p5p7aD+x5XyrjrU31SrjI4wNDv7wUWjqAk+iNdnW90oYrMYhkh4J7fVar9n357WDoPJQqGz0fo6
9Vumup4f34QdT4JvZsKILHDKKs7tbliNyOOcbv4JVuVKtmD04WRZI4OE5/X02NTOpaN4ArrDZk4M
51/+lJ8C2ckCra6VvHFTqrQhY7bBPdhdA7k674OeNOFqF9UXU5RFWK5oWT62vuPIOGbQKPFjJKbb
DlYdd31me4l3ArBoPLXMcCdXnJIDx7K3nQzxROxDqsuQF9yu0Rzt1Yhy3lWo839VVhV/iTmDL4xJ
PSJC7bhMAFcSJig1cAnUbi2JVMRzVbKHI8i1oBYo2NSoqwbO2slZ3iJ7erx/e/YgyvOAk2pCR928
rWoqylY1Og+sSl/CVc8/d0y7vyiiroKmKI5ayT86fD9n9BwQxr3KDiAy/RSeNuvrxjjnI7XeaaiS
6pwm6Ygks9MFQteb56VT1qdEuKPfMk7Sl2N+/RTR3LeFwbH1ps5+Giz7OwJ7ejDbFNGZvTcdbMje
p8Z9ONwdvgB9mdsPoA9gUz2v8KBVpgbHObZf29IsfICLUfh4749Mbfai4NXsygpTU6GW10xzSpp2
RvrBQori4JLuXBNifUJeaIP0e7deKImTIZtQ/jgJM48v5lrR8l2V+uCa7BwmciSUI5EfQK1rq6gR
A/ntGwaEovKq8F2r1Y19J+60sDEneEu9a//7eAe3pWPpbsA//Ci4qUAhNgkgndc1sm00qyIm7X7R
XOpRTlS8VZp0+X2h/PcOsYXer9a0OFjpzqcjSqPM9wOhA61oc0pqu9S9yWKlcoKBi9aB79FMf2fG
ojyoQu2uUeotYVAOCJSb/pN/TZaF0qkeR6cR0Z1/IGCgtpYoaiVQkRbZ74sV6++cVomurejb8+P9
3V0mA4UlNQ6UyZbsIofbGA4aIQT5mf5VLOCMFteKCt+rxyMi0Z4t/J4EX6B9DJb3dp115hiLPdt4
BrfUfSahus9Znj+7K/SmX18VhReZCdJTJlS7tcRghplcs4mQQUuFElLuAZo4jGU9BEk+psvBE7WX
bwN6kHNCUPyRCk639lQrZRCxm0SnaawpV3ql1f9h69nAxC9X9ZU1h9IT2V/XXhQMYynNoKq65uDA
7jgAfoOEXEBRl4X429+QRLEJEaxizczM+Q3lZ/FFkF8cLHUn2KG6T3uY4t0Pbt+tFR5OpbZrh8Ld
WKpZ6JZJDbMOho0YtJOJuJB1VrRO+9W5qLgBiiacUUoaRJxb1UVVr/M8NdXotGqt9YelTvbnbIo/
//KpuTGy+YpellRro2FkNroIygmXTa+T+FyKafr3sam9YBZbkmOLcjvChxv3kndllDvGECFCvpTP
eTx7rT84ffFF1/P1L02x0+dFmfOLmIzsa6xncwDErkmeO7etS79XAcOP41IfHSK5xM3jTaBA9YRC
MJjwbZNDmRJjMFctOg2Jll0o4c5nhuTJwUuR8AtxJKmyd5qkwhg5quzUb7MWd9FGixEDmNPjJMr9
FsrR4FMmW8crHTP3wzxSrXoHhKI7ilN2nBEAPgJ37guVm7tucmXOHkwN5eRGJsAkpO8/paIQDM3K
F/PXI44ffXIkxCXuZFv5UxSnmCajZ1p7odVBlwuVcnAqwkkr0+vjg7X3AWVL/v9NbbyABrnerbtJ
QVqrNE7F7A1n5EnHs6cMfVCRpB3Y29tGC4UzcCaIY4A/vPUHmieiSViLghyOoFMeaeZ3PZ1/K7XB
/vp4ZbtXRpbSEdXl2b/DmI9OEveazhdbvHr5azXQB/UNtf1rEEgTz7qtf5JpO5q+ReIjnOFc0Twx
faGCju2oJFGHNMXp8W/a220JeKUWZ0BT3Q4PN6JeKRxFVU6d40Hhgnk4vhdMZ/Mr9B2u0HaHX53N
Lh2hIzE9ZJvk+1ugx1I0QlGXWqEgnvdE0k73zRzGJmQa1rvVs8r/4BKpdqBCRBGXatLm86ZDRENB
y9hztyqfsnJgnowL/yWV868f7+XeSXJg+XAnQRHfNT0JyfN8yvCIkMajL0VW/w6AxTtrTvxfziwY
TMgRdOGItza+V/OytUztWTmts+78vozJa2u20ylN9SPysvw/bd0p6ArA9KCCwJ7KNf8U2S1OkjeL
x/nIZ707NbnZ+ZEyH+3c3imkFAw1iY1z7/TjSTFXqjzcQdNe2ovbTdNvwAMjXyn6/BznEKYff6nd
VVEThoIBaNjZZuSK6gzLJKUah7xWT7OTiddhyQCkPzZzfyBIZEATAGmCzHVXV1FX1AorJI1CK7Hr
34oWAHHQVEv9midr0x1ETzvGiJogQvEY8a/tmZh7fWbsZh2Hq1augdF73kW1IicYHX06CPdl8Hl7
KJAoY/oC4Aypt74FizTIDcDAMLlTk+F8g70WX6pmUjufuZHDNQHH+6QJa7D81TK92Y+MZTq41fcf
kF8gyTNwWH6w2m6PJSNP9GQSnnLS5ql4mftSe84qRPMff7/7YymtSIqt5Lbf8dqNsV+6rC1isDcx
AlRKWv6BrGiRhYlolM+KVqX66bHF3Y9IXIr8scSEbAtV0dIwlinvY8pQrXfN1jRCC0KYYUKP45ef
dBb3kym5+J9u9rDEU+2ZbRy2dV6ceqvq3zQRaZMe29HHx6va/Vo2kvUcGp04YlNEYMSA7mbJEIfd
7DJ4Wuu6T2rslf9hQXSWpK+XRZEtr2kQplfZCVKvddp6l8Rq/o7LeDynDgOhH69n7ytRQKbNKmPf
O9BFGxmrYcxRDF8zja+2FqkfqyYta19NKeH+ui2Q/pKSy6vJG3b7mTQ3zdS5V5STsNXhlACqe+qW
bg5tkH2/3C5DWUUmnXwj5AC2cpBmaTTJovSJLIWUT2tsxE+tJhg3Zc1HoJm9E8GDDKj3R4FiOwBG
tadYqwc9CaGk9mHfzZpUsxPnX987KW8g6/wAprc0VDOuHDNKRRJObe5A+7d732amwdUQ8ZH33XEV
EkZKiZkas2SK3n6mcfaSiQ5/GtLuj9/0TNU5G8rkhKIsiwuoJPvD46XtbCBEECpZNAHhYmyBugDQ
c80WVgLIxZzeM0YnfscsZ+PAAd5nN5KbxEgLqHQSyLUpNJqKEguj9dKw1iIjGFpjDGxAwxDuM+WD
nsVpmBI+H7wuO1t5Y3TjLeK8FPGYOGlot3UNuKAaP+Rz3r445Tp9c5u5P+BD7mwl+srwLnjOaEdv
Z3cMk97peoxXL7vOCPiS3hVxx6ORRzsVFqm6J0d3oErHsd+ckKyWshNocIeruiph5LldMDttFNZ4
k8DOFP06VlV86WGHPvPBmZqt51P4+NTsOC7I3+QeDrqrcr7p7Sn1/jceL87DxWqSU7HW48XtlYiO
Y+X9/uumyK7xxbzPwBk2X7HoaL/BD8jCSC3bazMrqb9qzRp0resenFKXX70JR+TILmqdsEzpHMo/
/+klg9Snl3VSMDhjdJdnjkn7yiCS/NLzmr4Xqiw9jHWREueVqCc8XubOYcU24CD+ZvDR9qsinuto
sVXmoRIrdmisc+0jK68FhuAR15vpSBR07wv+bE/e2J/WKuKoXCwTexCGu8DNpjpwY7N90QejOEiM
dy4/1R0JQwHaSDin35pyp7JXC8PLQn1N1L/mkib/bBbZq0hNp/ILKoF/kt2Vl8cburtAEkTagjid
OxLtwJ23MqQ3QmGBneS/K54AjGjPnhiSgwXumcJ9Ss0iOs6kUbcLVDuZjAiPbzel0ymKs/SrroBn
aJFfPjC1t5fEPrCuKY6D05I+6KfPVrdl0XZ0G0MGPVQwZUV9jlVGoiTLaL5fp7y+2JAVDsKuvbP5
s1G5/p+MOr1lKEwE4V44avNs97EWNGlRP9fDkD67Y/+rIjjcdInnkfkUBHqo+7f2zARJnzxKihCi
3tuynHjTh+RC+GVfIjjKQe25R3HE3r7yPNFOl08G2dytyVFfVFt4UxouoI0Zp0E2xiBXKzrBw7YS
v8YFXdLW/fVeK0LNcIAAUsiZPdtbb+dqrHj6koZ91Q3h2DLUQfGc/k0/WN9//ToAwpTcQKnZvJ0S
rWQ1uMRITUNo89ZThpB1kM7GEDS10v2Hm4e6PUAwoCH3GEx9iNrREV0aFm0av7fiqriCJV+eltE4
av3fP7nkj8BKickkhsnefLYhc+mJr04WAkirPgB9rd+YvTga7Xt//tk1g6oeYDpT4i1uDwf6EmM0
SAKVwcxbxACGs+0O0NJr9ZtYUuP0+EvJQPz2FaJhjJI6KQilZ3S8b6112lp5aQMS26mS8iLWwj0D
7nlvDbnwnWScnjqvL9DQ66OLYc5HDZz7iwAijCI8KoGSZLmtxifDVA7aDDMsjyILMb9xeWYWRf3J
9IYeVWHRgZz02tfHS753oGhS6pS8wCejfLVtlLt55piV63UhKdAY5HnXXRiTrARMk/vVEfD02yCD
kARhD3z/VmBrjrxkVLyxDCFFMiY2G2LkxOOu8mpft53sAFF+H1Fg7QcXRCoC4K8339LDkdltjr5m
ZIjnCdjZaUXbIdAdQEOlW30sI8O4AlR5eryhe3YBP8upAJDgmM91a7dq4XL2OigUIyudt6NaZO8n
m1lI8aR8Skq9v1QZUvX6wlF+bHjnS4K8ktwXRLZo5mwMpypzcdjYIozbdrpqY75edWcYAKS5hXo0
nWV3lS6FFYiU6LVvJeB6Yxb20M1F2MGboFsxaJ3vdKV6zoflfS4m8bnyyiXIR/sI+7a3TDol/5uk
wkO1+a7mPOqU35U8bCyVeLAcjYuI1vlatWp5cIR2TUHMgBiC/+KK3H5KBgLiRdNO7qhr0AmDO2Yp
bfzeFE11cA339hNwEURgYJLgDLaeR2RekSl1EeYuXElohN2lUcYadrCufR2NRr8sujWcoIQczWmX
2SbruHV7PPqSEEuljFhqq1fcjVMX59HM6AJmC42GT+6hMdutYZqc3yVaiVhbpEZJEBnzghPiNIjT
EIvaPClzpp9iZmHNvtGvs+2LTBGfNPoRERrOhqj9aZrMawl6XgQVvNTGd2Dy/NsqvL9htZjxt8WB
YxQ43uyVfld7QkBZZUaJ35hOzxhSJlpOwZIuvCx6maTYSZN5eoLMUDXEl73x51jkorzOY+ROJ70f
jD4YGv5LDOVozCYlSGV/apv8SbXysgvKJtZ/T5Htbk99nyzv0JSIs8sQD8qf1mJ5T5Ud552vzWnq
XmJWHepDCmOur+dBD6hGJV1oSt9y8pi4eWqUrIMc2bUakCG28Kp2dVz6KJ0gijh5aKb4Haphb7s0
Mf/NUF1tgz5jdAPku7ERHFpdS3xXKErmF6m6voxpohio7GSZelXA0oD3GMn4/KWmdHmJFrf4NMYa
KohpHDuX3OyZ99m5jffd1JXub0BWuSwG9sXzkPWO+dIIN038SbfHKYhMZbzmjSG0d+5iq29yW52M
l2Re469kA/rruKbTX1WZFn8gWd3+BZSmGX2lc1WPbouRv/Fqelph1FlAtiJLsf/SHJKKoHXcKT6r
LflFp6nLe56ZtrnwOKevagcDOcijUTyZ6FAhTt2ndhGM+liK0yhQqvZVJBESfy1b5W+hVNngJ30T
6WD8pvUqGqNofQ9pgyZQBlX/0Btgi57WNSqmoC8Gwwlnw6noADBQk3EG5gzsr0M7yPVR0um/akkX
vdOWvE9PbWP2v2eJMkvsa+7EgTuPxVtBnvKPnhEF+mkDS+BpBN75TR2mJA9EPRvGW32IM0ZvxQXC
nZabV8NJS+vyNyZoRnWweOv43HZx35zQJKivo1HZpq+oEUTdZh2qL8UYI6zViWjug6gXfIm4EEwq
Azhh/kNlqwAzBJe49e0hnn+zI5FHzyXG/oZHY5QB8yEAGpErEw2AvFm+Tcg7veSVsL8jr8UrlnvR
2oRlicpgmKOalIeGM9QfOs9QHL9TvVb1Y7tPzh1lbsfPImv4V6fq+T1Rvel5sqK8uKjKqn/unZKR
S0pd2R17EqlEpoxSO3OIUZfJzDhdAqcpvBjteyXtznEyzu1pKkstPS/qWNVIDut5GSBxVi+va5qt
dlhMsV0i91Xbb9piGlyfOpT6VzypFf114LXXydBznsEmz/8eBTM6/aUslZfEGONvKL0sn6xep6Zi
ZvOiBQWl/TddBwQggMGbmn+rTuo5H5Yc9b+GGvx4Mh3RQ+U3m1kEa7QaWXWa87pJzkuGMjJfg5Q7
qOIRCMww2MyKBijj/WE2/8fZeSxHjmxp+lXaao/b0KKtby+AQDCCWqXcwJJMJhyAQ7pDPv18UX17
ppJJS071psrSgiQCgPvxI35hWO5dZi8ONiBKgxKMdTDP8jjZVod+n6F6oWPYKt63esS2ad8Fvmx/
ABkC2jsgdGGmHbn9zWiVo9kkrhSZm/AlsvY8R/i5iotAi/k6r6xtikHFzJfBUBkuEsstEMPZGIby
s2e4ACwWq2lmtpIRHNHVGaZ4tEylkkBmmXqcFtdZz9ohH6t4NjbvBb/P/ApFPl84iDtb621ekQIl
/ayMPA67eclJV2VdfYsglQ0xetJjeaMxwgiHuO0DYd1XIa2AZPPL4kM3WkYUB24xVTj8WRPIB5SF
0DPqjBmApFp0uxO5dJw4XMVanEXONH7yvDzz46DKQ/uwbAYZHGd+IPb1WizWfttQ19iv6N3blys6
PvXLtFl59uAMolH3bda6DxvwdIwdIle3115p28WVDtHK/C6NzGouEDiIxHVgLtL+jKCdHV6FU1dZ
Ozpsxn3XiU4SEHLXB9ipUNd1/MV2EnetyuJMmX71EslgvPTmataH3iLc7IMODdlDFLQ9aX0xih6p
qr7dksYvfV5iYSicLfxZnzkim8u9V3UoUNRZML4IqzCdq9mv6x9L0XobFBtf9wS1ZrSvynqTHzpj
0dm5n8N13nV+Ed4Ho2nVKbO0etiv7tj+8Meg8QFgifWDocdJJiPJYHEpdLH4+4jv4+y2McJ/zl2t
Lj83/WwK40X2RnGQhovc/hii2IPkklIXjlt4+bdVT225Gxpv23aulF0Xm1pV9r3qi0bcsgD7KvG1
I40+qU2W23VAJobofBFANZGrtKMzv6v8Pi4H19HwlvMguAfXYJh94quxzvatLoxlN6EEiwiZqoZV
7SU30191KgcRaxZjpesEHYvZiYth9C9ol071IZq2INoXZr0SNo1lpIuW4bDnpmHeF/p74Wz5F+14
pUrypg+DtB0954MMzHm4LHM7LID8YeD0AMTbL3eN62MVg4zx6MBfCG0xbgtyRZHayE5CwWl6NQVd
bUA1wHM7yhHjE0v0w3KkMG+ktMzpk5UZuUhLucHJXhg3es7eb+ot3A/Kn+UJnOoPKdKsiGQonQOu
2M+1tfafzRyBTyMWQJGqvaGMCUmvxsVu/kyXZdXFLnj78oWkEe1Tzme62j2Gev0Zw+hZP/qGOayJ
6npBVEQy1NrNQdOCkhdbxZnnrGPElrdaZ1+GY9AD1RuGLm7BY81xsAWd+TUqwrKNT3pVDuriSxfR
J4RmnhC9mjnOQ2fpkgU/BBrQ+E0FiWlXRABt4sl1aqHo9RIaDBI965SJm3Hy6zUVY7aKK3vp2ovB
kLLcFUMvL62oMupDjba3mVizzJ+mkneIzFtYSbD1AKKSsuht2iRSj1EMANRbd2Kso+VcuwS5eLPz
eUsWuajPK5ImN1OzRiCmh2DJkrEpRjPO4DEdlzyfXUR4C01wm2z9aZxENGIn4udOXC56vWkm7RkU
n6adJysh9WM0D/gz4asjb1A9J+TW4KPEziIUVLE3unZxW5ia0sZyq7qOq1wX0Q6KxOj1xDBtu8ng
2lu918psq5025sber5mkmK7QEJM7x1nXG7U0g5NYtNOKuBX+4iJ2ruWU0HP2bRbjNuXXOVQZ8V3V
pV5k0k5ZBWadrlyTeDIkIbZKtDVjNkRY7mW7eOtlF3rKPSpXOPZBNkuxHDxl6e4sNzLNdwdaUq9Y
Zwx15D/23er3FSnQqLIIkHof5LFbek101but1FddKdyR79ZBb43tYFvdMF7dwOg/k6723aeg79rs
JqujnBhoksfPeWx41dhdTLO90cq2F60PVubX1znQjXwX9JXQRzcLVT7s+I9RvAwirz06342adhOS
kk3qGzgwxmUZkp0RHGo3zgeLATqiIKqI16hGyW+ZxrA90JjpjB3a+858j4Wy+8Hir21nG9iMPF4M
exjSmn3Q7W1zDb+1/tZlMY7cbXDoVY5HAaVkoVInyrLpYnYj9RhstDlTN5gDWDRNjvNB6Sk93HRa
Gma8+MGfaH2NF01AgBBxKT1FJDJQ7b5aSJ+RJORomXbWkBXP3hKEK/ul9L7ac+b1yRxE+Z0iJ7F3
oDDcg+GbqJGtMmLwRnkjNK4jVmZjc+aqS9ZfZpw5JSzWOGJAcaOcqF3OGsVnTSjcaleBmf6BNwoe
lh2z0vvCnZcveq7L6146tImLCu78ZdVJl/yjz3KPfuY89gdhqhwySQsz1c5ENu18q3JEiiqZK9Oo
m6wPXiWCIdbuCqINknhzg1UHPFJDukOUQGCwb/sFhkMM0yrSZ5Rg/fdt0/VFNIZhd1hqOX9GJTC6
KtcIQ51xAsNO9mDxG/4UrepQVMFeVY5x07jNSAgWTngc8SP9XuHo2tyF82jfsDCdgcIhNx7AOwSC
FE9W50Aesg9ubdQqrqgm7rMqy82dWwztI7fliotANDmXKULzZjHWyEoaw9JXkb+YNgmv2rILv13c
T8oki+VWslUfytVvnZ1yPMQ6qN62TzhmsOOdaFzdMzVgJ3nsw14G8VLzfnZhmw035doPQVyNZY5q
QjvxtE3Ougtzts3nxs0rzln0GJ/w5LK/G22OKOSqo/Jq0T0nWzhOZhHLifCTshXcz6XsdZP2kOPD
pNaeJ5OCiseL16KE4+eGeoutvLCO4WCfukhzmCN45kiVRIs52Ynj6jFIK2eyLtuCNYrstpfVcank
Vic0ZbPmEM2u26A1gHJ26tmlcU49YeR7vx38ZzEa4Hy2aagL6ulNVpwwHWfI5jSRuiYTG5s4b5Rn
7RUnABx7hhAvem0XnAYnhJDOKq/KnvQ2ltQKY+l4KXh9349bG6iSQ52bw/QR9qmcMvz1wVGhRb6J
2MZFZyv+Nqg3U6J93DR+Um2rPNvGbF7ipqid8n6cLPMZU0Z/TPI+qJp97S3s/4FSumT/ImTGueBb
z1UQyXzXehZJfpX5jUVB74GmaOlbLon2pS13JY7aVWxBnptjsTSTm8gWnDHNo4kmqz/PANSNxoWG
0yv/2yTGYUk5tnPFwSx7K7Yis3fP2tKzq7RZ+nJKRy9A/6RodZQYzZStvGDaLAdR+m0ZW8Mwhonv
5mK4XjLZXdfoY+kYrZwovMoodg+TrJ1PgLKyMW5n1SocVSLnoRSgm+n2FNtOyNPZ4Iw2PqamOZDW
2yV9sWQZg/Hed5Ut4tEXbnne9AwYY8jf7iOujGo9qK6MPkG0dS7LIbe+mko28nIrUB/jTN36Lpkb
6dzZDX7pt2Xjd99K15DNfiOrfVk2DuNE8hV/tBBqiCTrFlzNNROnmCxRF4fVbkeep2MUbQyo2dao
d7RFFKvwJFVgFy4ZS7P5X7tmmfJzqRpsHP05dKcEnp3HsMz16gBdp0WxTDH95gjzlYyux2ZeA9o5
tFtukG+txhiqgbqz8zrb9rO5tC91taxTEnpLRDa1ZB49IcsVT6eKhMONiD3vKXen7xwEVoHgYVMg
MSdHHogfLsXe6xccxekHbLs6b43owtXCvgH8bD00XWSKxJzW8chEU1A1BUF517jeOsWdjYxZ7KMb
7cahJ9UHK3OLJ9sZ3Be96IjZdNa1Z4tGgyyhZKMUd6l+PbZg1J9X4TapWDchippF28mMeG6tL8T+
sMVseJy/Oq1pSJ79mDP01VV4U5+0JYFSifq5dWc9n7l1pPodzxRHFD/37ftsa20rXpbNqWOjRff9
zJHkAjHPePjWmWUzxuXkj0sMLKN9DMJWX3oQBtq4YSXcDG0pPxVIsb0UwssOZLLGjEJtXZJ7KP9Y
zVv/eZ4gisRdH9EkaJy+pl+OEyqT20AbNQljZZ3rQhbFmVPbOb21gRZ3jLnjgoxWlBPmynmYi6OP
e3mXMBcCR9Nqk0rArFv7WtfBiuGPGKeBG3etAw+jybHvcdwu5W9MD7jZMYIra6evdvk6t6z6SAwL
aYDunmi4BCa5SL7clyTvDbZCqBPF5eyb3z1G23ksulKGMJakeqphhPlxNwzUrMuwhNfDMLRoydal
9eAYpvU1kmK2kkUP9rOWUXtXsuC3xOvt6Txc8y5IDE0GcvRHFInpTXrtOR51UZgYpXb3YqWuxfTV
DOa4ssLFT4Mumw0StLleCU5d8RkFH/mpj6zqsypNWg/KXHNvr7NuflKTaO+jsqV/qSJf2Tuv8/wv
mVgkD41m08Zg2TGfCrdyLmdgcHNiCgObrC2Y8u/h3JIPjtROxAHbM7/4juhoaeVTTuo09+rSR77N
oFCvtktcmDeRTNEGLsuOWv/RUqV7tKup+tx4iHKlQnn+C+nWym40ev9BBSgT7oS5Vp9o4ZZPlvTW
ETZYO32zYLnatBU2ciAfP3oBIWME5YWTefu0WiC0Y62j5SMAzlonaLP4rFJ8hOw071qL7Cmrqd06
tUxndYaXLqp9nnvogyI3Y1m1Kz2RcDTErsqGU8TGS/eml9aS0yvzwudF9Oplghmm4iYM8X1xNM3y
JECp6B4SayCTVfX9s6mIuinLyntZCcsfgYm3HwtP2XQfCo8MIjNaAqiUfTckQVEZc7o5Fu5RbVDy
ratBmSFNCKZ16AlGk7FbIr8/HYVhd+ymmVAwj05xExk5WpZ+oOddNaEcmUxuwSE0UxC9WJokClZn
4x3rscb3lzLH/ahLgDvXXkVhmHBg64DtoWsU1LWQC+KtKFQezaJY7NvGDVhD24ThZCLm2bth7IkW
lTOKIjwMdHup7lrfFecOTUaZalHK885Zpmlfm4aOYqs2vSUZ/amzkhBfDCYXi+tPsa384Bvgi4HX
smajTcumQQbPosV8FpXW7CQ5cw2EdCpRXUgM0owrp6TK301OZHRxqB36NlHuuaAdKsciK5/Clp64
KvuHeTKrYje27qJjXUejuKF3n3/VNmrdMGgqfatrzwJKtzX+Td10Mj9KTvn7thUTbAVB8p9CbW/H
WMFiU7DZF9LVxmrdIcE+wDrTaixl2q9T/TDogFJ1XAKS+YysYwCp40dXLQrY6IlqPV9D6KNPFME3
3mJ79DnXPOkFPcmzs1Vxrea+iy26jQ92MxviEKmy/EI+RB1oZF2AoHhEUwaGZ60ISMyk7/LGab8U
oZt9GNdl9k9dZIThNXOJMJlLKppkU8o7D5qqm5I67xmKRShmt/FCglafLbUXLseWTt0XfJLcu9wI
qiLpOe2jOGfvy505W9aIn3Q2XuXOEqB+RfPFitEcocPWhJ7xZaG8uBGbpx/7aa1u26ojuWrCNnxk
W/GSujCrLto5o7qHIRXa92ZkGMURL1wHfK7umlNd4U/8jDFdqJx5y2pJpBqUdqkJXYqIciKLWz2q
yl0WTiD2cAnuyoQ5kXfm5pONyVNTuS1HpN/eET2a27aRS8mpAIFqN2SelTpe3zj0sSbrivRtYitB
qPLCy6GjR3o5ULOhCYik18Gbl+nOm63169iMujiPtCIM5qOyD6r2RZDMJ+uTpM288MXoPesmJ9Sw
hbtcV6kMlugDQjsWfdiiCb6sWQ/IcI50yALLxuChUkNT4kLhw9Br6qEL4iJCryYOqy4QZ8Vsj9be
DOkHcLr1OYDLRtYZ/Twvr2JnCEZ1SmPDM9nSvtstZW89jq4rP3j56F5jR7virDWYdH7bfFnPwCW4
zKGcpuxQAzUilLUiIT4PeszUATxsjitOJJ/XAlJE3G8BBRFcArPeh0MmzdRvIu+m0SObQywlQxw/
dxcam+Sa5m7yRXcXMBb74dr9VKJATCJEZKfPGod5DTBBbrn3JF1dPmFk1+dYFJTjIcfDsbpsm5FK
0+YIoHTxg+Wc1htK20MeqOKucU4EN68Z2ndApr8CKCKgiidaFEkvY/BXAKnM7IceSW/G0aNL6hUJ
c9+ZysJcUniPZa6WD7+fQr+BkeSCLgYO4UlmE+2xn4emSmpEB7DhwEizWa+dTC1JpQiducJVK7Mq
2mkUFcdaqnknjCnaj3X5nrjyG+J2fAmwkSfA+kl47RU4hcWu4feLGnR3NlxsrJGHMdLV92LrAp2i
q04mKXJUsuNpE5w/8L36fOchwHeOogod2t8/lF+xMgxYAVThY0ZHEH7uz89E21Zbix6vT/jVzSUl
fPvYO3XxDuj21zEuYyFg8+GJQ4Ku9Osnv7qKuchWp2aOlBxTy5kA4HsXebOJs797QyB/YPm7gHPI
gl+vKsFwtJd51KSRnKJ4FN18wZTDfGf+/gYg5sRKRZ8AMA7Wi6e1/RfwW1vrzQmXmhtSAzGgDuRL
u/XDo5f5MFE3fO0Go18efn9rbz1FBhyeBcj35EVw+vwvF6UfPYObCut0E/2ctOHiHNyozfZKtM07
iMI39wpwuxMRHeTGLyQEA0O0DQR9k7oi/9iNQHmdaVIJk7zmEiOO7GAjmLhH9FJ9bJ1tSKS02/cU
RX9dmyzKv3yHV2szt43cmXXE/S6IB5FOyeZSGNL++wCHkxc7as0ADRBReRWHzABL5JVeSMq1aEso
s3yiT4zp7Da5TwxjSAfKahJfwNS8J6H8VgjkAZ8U/DB+Roj25zcKKXIjHpVN2kh3vCyCHgzlKgZQ
Baj5aYMB8u9X0JvXQ4bHBzeNvIp9wnr8ZQUVHdx8Qw6o0JpyTenUz4lnVP5+8hjGjSdZ3t9f7w1O
Kq8QTZqTN2pA6D294r9cEIZmbq6ebNKslp04VitXSlrbyy7X2S+vh8XR90oxnmvwtsG3eWZq7FTG
5se2O4Vp3tbeeT1W9qfff683VxbqZsh6Ikbuv5bBGxvPKTJ0JlMMlquvxgil3EDqOf79Vd582phs
g94GOENN/vPNi3HRVIA2qLKNHkARGe1NZc1Mpqnyrgayindi+RtBCacXAi0iTzSIX4Pihd/33kRJ
kGKKGh3tcdR7xpoeXTMwX2amvbstGNrp797lyfcAdT/0etBRtl9LlW59ZblkrU2qmi57Cbyy+ggp
ar3urGU7ri6E3Hdu89fY9OcV4VTjhgQw8DVrVNSIARSraNPA0yVCvJ776MqI1lm4BUkBxjtpJMt7
XTVtOysAQlGDh/n9u/0FFXX6Diim+qBnwUW+hlzrYXLLcjVY2GbgI2W1heeVe2K6TfTbG5nb+9Ds
wqTs5fh3JeW4MgwNHjk6D3yBV6uKMZqjs1KhTY7r9mHUfZ4CRFFxt854Q03uexLhv6zi0/UgbGFL
T5z6JWviBF3zdatbvG/s8lso/E7uAsqopw291T6xt+E9V41f1jFXPFGPTxYp4LleiywsdcQQEJQ3
NJYJP7rAVzeTAJxSYMNzAbQhuAY/EbwTEn45XE8XBQYfoMsEzva1H3cxTk2IGFybjl3YxFG0wY1k
cglOUL6Xorx1f6fjm6uc8Aq/iq4btsuUpEmLwJR97Bl1Xx+QDbPC2NlMfUbhUH1teLhnv1+zf26M
n9B03COSwkDo2ajIBr1aOu0EkAQ4UJcaUMbuNWUsPbEIR3BZzg4iaejVfqTXV6Z9l4efwCM3TJum
LL8UYLEYSQDsSgV4jgchrCyMpc3A838RTaBKnXJExhC/kH/JPZ1J+Fmbhl3bHAyaaSm44+4sjOj9
iG2dbn7/TN5a3fRTwdqTzp2O4Z9jdB71unap8tNu7tfEW6XYL4ZwL9Csq9C+Kt/jxf65eF+/A07D
E+ENQgP/+/mCnV8zCa11l2azS9vZzLZbkot8ucgwsLoJVn/T6bAK54s27OC6NJv61renIYvrYXPv
OgXo/e8/cpQ2Cd+cVBHCNafl+pczetJdP6km61JccOs0Um13oO8iUoS5rH0A2uGd+P3GTrOQ38Ck
AkMgWE2v8i26FU6TmzOPvHSKwzjoJ2/18zREMWf/+5f7yzFPOgcvnjILYTeoAK+utLmZcHObaUlJ
sqxi3yycF5Ty3hM4/PUsOK0fVLh4pSd486vqJp/xbcH7q0+rpjP3IHwQl3Yc4zzcJJKLHviMPguc
IxXDe+pUv1aTJ5oI4FwiCfQwZD9/fnc4oEdtMDt96jCJpHyuwGQEgdhp9KymtBtd/6jbeUxtQZ7j
6qi7Ef2oPlMhvWe6++tbxRzRAdBueRY76bXGdjVTRprgMRAICLODsczLjwjGzu2svX58Z8W+eS3y
Sop4Gv4oPP5818wcQ/DPXCvsTR3LxUF01yq3eFnXKv39EnrrUpAqI8zELSDIr/XVmtHr2i30+tRc
lbtjicmjndUfKqsv34nOvy7W0y6EeomWMIKVryMRoxIHnGvEq1yqTcV0hYGECpV3+TtP7xcqCWsG
TXmLx4cbGOfBz08Ptlg/u2OJk9SwflTafzRgP+y2qVSp5+M/vTm0n4IT9qA3+uqdLfnW8+QWaX2c
NHg4cH++uGpNZxUbdzkbMtoPTGiOgJGKQzVs3TuX+vWY/dMVEOdy9j+5xKv7hHVgdaBjhjQoPb2X
nenfrmROqRlkHbgaaiSPUVs0vNPreHNPBszN/ue6r2gAtt8Ls8JiFQQZMWHup/xY16G1t5tO7Rvc
KHcIHQ7HuowiThg9PGzuEH5r8Kx+L7K/8bAp9OgQkRPSDHnNoNncHMHhqhmwABn9BES6eR7UUHP7
IXqPKvfG6mXJsnzRbfZ5ta8edo05gqA+H9KVoeqObpO+aGlvf/3bu/GkvnAijnIh+i4/rx40SC3O
x35I8exqzrppFSnOdXa8NNbyzin1a2IAuZiKhuoNBhkh9udLtSjn5WFvs0t6OaShxKMzV07zsrCp
4nBBIeedbfnmBbGANrkHG8Lxq2NYhIsFHiQYmDIh5zjDpt7JyvsOmgD2gVfJd3bHW2uD4ImqGPIx
wJpfnY24MQs8YFqFRkLuJEXjmTGyhmay8lDf2RFvrQ0PG1eYhpwOaAD//CiBSweLjHDLGHjad9aM
A9gu8ktIXb9fHW9dh6yaugHVFh8tsZ+vgz9cJ6oqR4JXh2EaZfoaIsh7vmlvPbc/XTLZVgEEw1cX
GSlojTybh3QWEXKxDAv2eTBuO69hn//+ft4IYFh5nTwrSC24sVeBRFmenoalww3OdU62v0jtZYUC
4zIVyxXa834yFtPfloZk2cMror946sAGr53LsNoS3VTOKrVqKvdomIcDNJXbblXWOwfeG0+SOGCG
Jytl8qfXcgEWrMJmjhqVhiW2H3OFxV0JbTiZQ4Zuv3+Sb6wMHiPKQMFJmwBC4c8rQ50o3+RPKpWY
udwyhQpiV3vTO+v8jR3MsWaRmNA1jbzX3p5+g+jXsrmsc1mtaSlacWiYveG1wNiPVvL/Ig2CEEo7
GFVZguFrBqqdKceS66jTVsD4HrGIjfuGNLCsxfLfTYd/f17+I39pb/+7QFH/9Z/8+7ntVubhQr/6
539dFc9Dq9of+j9Pv/Z/f+znX/qvm+6ledDDy4u++ta9/smffpG//6/r777pbz/9I210ode78WVY
718Ujcc/L8I3Pf3k/++H//by5195XLuXf/7x3I6NPv01BgzNH//66Pj9n3+cuuj//tc//6/Prr/V
/FoiXvqx+Pb6F16+Kf3PP6zwH5QxQJwQ/D0x5E4svPnlz0/sf5inAha5CDx8sA0iujbtoMU///Cs
f6APytyH/hV8Nlp1f/ybasfTR274D9IyUjLOAEBADKP++J8v9tMb+n9v7N+asb5ti0arf/5B9/j1
DqPRC2mXuhEpIRL+18t+zavQQOGtSQBAhg9tU4Ip3qIDLJMPZWOoY79GQLbKk9B0AWtoGINvTt2F
t0VtBqk0InD84ZPpVndFX6T5UidVB7x06logD9q92lqvuUYzA+2Uknn6wiTcb4LrYCSR8VR73Biw
uTAEOTiXCxQKDp2wUO2K0tIrTwK6V8BKrqBWxWyVK7T5vlIbPzOYPrh6+KGM6CpQzrnZBfcCnsSI
TJX8KKKXdrmYoo96Mw9edp7P501ZXFrhh6p3roHPkLS6MjEbbHzXswih4N7xnqPuiW+XTPkVFIwm
ztBDrIv6FgjKDnQ68YfubP9RTs1xrZY0HBGjzS8U4DH6mEm5PWzyyqZBrkEw0615Livzw+Zvxzna
rsMI727aN0b0SAWEAJB3Uw5fNrqunTTpyfXAp5nDivMc1YIV3LdfnAU+gLTdOn7M6+6MZzmPIo6K
q8W5tvV5b26JDhtQQN4Lqh+PSADYSR1BwnNvVyPbWYZ6HPJvnH74gya5fMhakUi7RBNtgdhi7xo/
u53FlnoCl5XBvBJud9jM3AV773pXwVadGd7wnC35uaLVEk+LtwOpcAnR4UasAzWUOExF8VQN+6X6
1naVE1dmnawSDKZR7Gz7rMi7u7WxIFQYCSBdJspdkiPncaQ1Ud7lXFaQUVTYOU23g/2xpPc9emvS
zbdSnwNYjhsAKCu0JAD0kTiKsb2cKstOKgP0RTbc57JIAuuW9mYqAjQ6h+E296eHIQTv13vrGVmY
F3cl/zLW+svSgloL/PUOh8sLB1IzPrXoS4bb3tRblCymu0c87l55POStqj6DpNaJ7bUJMq4/LPPF
tZAat9vpai0/wos5yxmxquAEjP3UMUc56q5KSq/amVDZ4n61P6hsiScoRrNZJjVwxHU7RjAHPN1c
FG5fJpNqb/z1yvHHH2WwXKtI7prB24W6PctAy3vVl7obdtM471RYXxRACNzmYhUPQ4+LHVBJKF3r
KD8MeXTIyyyWY73zzOlWlVBp2vBS6THBzST1VZE04ruwtr1ryU/aHh+yojnacmJwHO5ofuNr9Nhu
awwt504F+B938ihd4zA789Xams+R9L6I1Xouh8/RdlBGt8tAEkP4QKDoYzAE51OzC2vQgF7wgP5L
HQOwi2uTZehPeGJmd9lU/xBYWsS9ZuDpAkxhlY+7zfaux23S32D0PEdDey7+fBl63wiwgsUE1oVG
buyL/jxcyy/CyD5FIZvE8JwfKjJfGNlMcRFOUSotwkRWpGIrL2wDTsyQ78q8vo02kZpLeLeMRg/i
d+uSrTKbvTUvD0GZf4nATu0YoQc3BlZDsJvCo2jdLaGPve4g1OTwbeTNElAEWdPwYWUfDQuxwZQH
cwYC2XxhClV43meoVIcenhtB5KHQz1a2bmCWtp3f0GvoxJMV9teC+YINCDqBAlTElQzaBJ9kQlDm
bjdy9JZ74ui8YwxxCZMOXqHlf5/NEOCZ3OLAvrBl0D+0wrhEvtk9EtDds379MDZVsrn2dAvo5HNm
1UB1WvehQrcp2IoidbUCoyJRrzYz9bACb6r91b6rVXPTd9XZZgI795fwHINAZClAbR+ygbkQTF1/
vwm2ZgAxFfO64mtlq4s2jNIRpkY4AQY0qsuwdddHrzY/DXK9rcryogy8awtBoMy9ABa+7bqpeNHC
uN9mjMuLyH8ZUEdPlgpfKbWWwKRW201nGZYASeplByb7dhpBJiEbOUlefFglq2eD4CJ5iSes5Pd+
7++Cld3kGtllNm/DddH3CwDynMGGKy9x1e4PmV7nkJja6GtUC4urAnBgXEVjGhYOSCso4kc7bNHJ
65wPQZdjKJCZ/jFkqvtgDFDUg2ERxG/zKluz7LMeG7X3/aX4iLLavPdWADQskDKFbVVcBnWxXORk
ebtcue0BT2amSmHXpzI3+rgmwO761c84FUsYudZ2FQzRvt8GXh42xgbKNLmDVIVlPyPGPcZWOawx
RKbqIQ+zPh3GgeGm6NqjtXWArtrvnc4hpxsHpzdQJYMuV7TOZeYykbWHbsQ11GtvhwC6NRQJv7ke
APXvHaGnJ2Ew+dogcVjHNXAg6JCeEm/t5jqYw203b1MPN2Qb05VGj7d0x6WkgG3WcUiW/AdUV/hv
9le3Mc2dwLczmh3ktjsNhAs3Zpeqt3b7LF6Xqjpil+qm/rjVO7FWX/QCYMebOw1v+f8wdx7LkTNp
ln2VfgEvAxx6CyC0okqSyQ2MmSTh0Fo+/ZyoqjHrbrMes97N8lf5M4KA+yfuPVe94Q1G5GqcScVG
IL04z0m2lBfTSbO/pJ7imRdTeoyy1UUsYWEITdGOLjrqRbPxXL6ZXGftUZHTVSSUBbb8g8+8QSat
88DaUOFF1T1Yphg3VpkjwKpFv7Hqooc9fv/TjLuXC4fCrSzlJ0XxvLNq5ISdUvuicV9w9N4szZ0C
MiOb86BRKDivEljhbo0XI8BLs+IxXv6QCTdwSszJybWmKNA6d9kX1F27jl91IJrLMu+0lWJp/cHR
pYeeaLUgt9u3tSy/8Gs8ZlajbZRbcBrI/KIv6S8j6Q5dvFxUoT+CP94aRrnvreFFtkWom9wo0fp3
ZjZbNVRpot61fO1Jku8gNu7gyfjJvI3M8zzboV7daybrmHTWzsvaQCWZjxYzrBCkTZ06roWLF6sd
djmrmWZpLpWVHb25uMXeEOTTrSG1rywFu7N6Fxn2RoxojCIKt87UNyLj1TD1+sp3TwXxLMzUO9Y5
kjnsAuNpHdc4JgOM519po37LhRgCLIHMXAtH64KsaD0tWDUzOsBucndZDBi9Lcc57FUlDL+fzBKf
XrNqRbhOHgynlamfb3SjtcffSf54UiVpYLW6d8Rb75woku0/maCAVFpUnXB+ZQGzMm1X1at6ZGvI
zahkRUDlSPamWCNtZ8cMFGWBUHEceyxjndSD7q7EKb0GeoEyxRPJZvAUJlBHg8r084jO/WPB7oC4
lH2qEitVUpes0TPpf3gZjaVg1KNBycYgNY83iNMZ1n9L26f53Ly1JqRiczJwFmhjMgZsg8t9rdXL
S7ou+qUFsXDsaDN/Cl1VgFan/hHU8ac1lbg/ciKHr2QoNv4cV9QzRaOJK41bth3cMnnB6a8dDD66
PyrNeaR/IKtwjK1DrjtYqLym2aDORPEayZ6TTxloq2crmPSpOLaJ5PZwGmPZcn4Yxt6ojf2c2/Fx
9JJ32XWzudV7zXrTc4kclby3sMOY8+DZhF1z/3fGwBntIK5HKfrLHgeIhaJc+aWCjIjbiDJlwRKu
F504ldmEADn1jDeYMtF7YXT50TCmqQyKYqVUrBfncx0pjEWjx/fDqRt2k1MMlxly8XtLSPBh1lHw
coUW0FrKvB6/1rw296TrgipX/Ydl9xoHoiFCRwzmRVbuU+JZO2uuWPjH8BNsd9u0Mhw0cYTsiPMx
mYsd36TwjVhcorK6uu38amZzSE7wVc7oTAI1zvOJ8r0Lm7FcAxb5qz9k0YdhTttctzXfQOaUaPrZ
U9yAoC0OhGO9uFPxy8jXbdrXXEozx1P1wr16xLK00fCIhrgHctxN6W8x6DrR9vp2Thx0z1q1bqa0
e5ADAuNmgCliWQl+J+3uY4wuSKcuta4OXvfJM1gFecZyzLPj1yqbfdJkbl0jJAWgRupwpdQxdTPv
HsFLzgH4Z1TE5ts6aZIAD8mX77RBJt0/3oyQe7CwntkAL47pYtYvUjZYUhlRvKx5MgQWc098TXR+
ZqrLbZXqbVin7a81X72nLMtgQMQr1t3cPhYOqSSJwwAqyqtb0w6Lj0k7Q1qaRf59oL6Za3GMHXMr
a+9p0T+qxAqMug+ssd1FEAi4UTYOjBNsXHwz6awxeq/9Qcy7ecmCKePbG+WwtSoM1MjdkdELXC1d
fPX08WvokOe6VNg4nrR2myc86sS9CkRwfdLyCfnA9ABTdtLWYQznscIG7mRDOFCHck+I4lT28RHc
6TUW3XAsteGhxtMBBcFCvOvhM086tatFG+KOjcIutRXCgxIQbj4WBY1K65Rbbgfnko0W9ZW8C5MT
A3dWy5HQKdvOfT3r7K2Jov6a96UN7jNvbspIxo2uQ4csotg90crxEuDhLLZYPtJtpeXmnhAmdRQJ
CWGzEN4GcJN6wI6WBr0ynDcDc9LOxtu1ww+CWWleZ+8NQfr6YI/2+Cu1l/zZsQYJQmaEINFGPWE8
uWe9SavPL2ps0kteCu+5zIWCHJKbuMnJaqedmZqDriXF28Q46AWMSPGJmrz/M1JfHPt1EJj9ld5t
h0bvf3mjM9wGuKxHoVzAjHGG3RgD0Lgzy3ZcfMsrvKs32f17b8noOWvT+Eknbdz1xy6izpVRUrwM
xmJ8rNgRshDArF76s2yIHsbmtR/SLAqkLJ0Xq22QzpTZfM2IqTutOr7G3uHBtJ1Cf45kI5i5tuKC
i3I5YOVurlGWWDIw7ZqjPs2NXkO419hnDv31tJomXRvLwvKtz7gndWtZglFrzWfPs9Q7CRdtGxpq
6d4Gz+rl1oR4/8oAYT5A3oEMUGTVBsroYe0RyM9x0va+hw3oadbJrKGPJb5AlkvGVzNyMbudFwAK
UK85RrtNY5fxgydH9TOYo4fhMDYxWEfVitUgclS0W61mDCQUpe2KXw+foaiXE6yAu+s+c4+4XyJ/
rtAGNgQGphPaR57axJsP+kyWcLf6hqZ3kPMZSphs8QrRPnDPdj7OLJyxFpijwXzWCkULw0IhR++2
12dRAA/FD2SUq/7lFaONQD0KMdMmsGnBYTBE76/YNg9JVIybkgYdF6Pux5FwN5mXvVeRzHf4bbeT
Z25SgzMbg8IjNug7imei7Mp+lyiyaM3le1sU1xqdP6+5Fr+4Zpv7MOMZOZTtQN0gJ3D163jKJ9pK
9bMyK0G54o+D9jao6EBgxGYy8TrIboT2Idejq0VR2OMMmMmR9eHw8N/l07mS+XZkceJ7NGBGXYR0
o/f+8dElrpS/OY17tP4kP46P9vortVYcf0wbmCe52KSBSL5oSc9wwKiqkAr1oDnV3mpbHdSqTtZ5
r9cXWX/38rbCd50sfC9Y6a5MPZxAxzgQqFmrSNVgkoHh3bfd0PNOSbM1ZJPzDiU9fq74O9XJvSyc
73pO8l9lIS7dzA7BwWiO0Swy97okUmeR9FNZWt/opA58lV+CxQD+zkhsIBpuScH5JILwgUOOM75f
Cz7t1zKWG61+j8S6BORThKxVJjzHdAJ9c2/KUkzDLouknb1q/Pg6jlpbiNc+7jZd0dCTknk6tOtw
0jJb3zZK7brI9jatG7MJzjCrZwVDwnvildbGW9M9G/k2xgXT2FgtsvqvUB7REAN3ZkwyTAAlxQ2L
sjJ33Dr4ozCCQH0qhq1SDFGapTY2RVU0+4ZXKChk1T3Gq046UudytBR+rXcvWTWfowGAcZZVry1C
XK92P0GXj0FflslORzw5ZnsP98bQCxyM2XrR4QmhbApU6l3iSAMmXfTZvkmbOKjBQm06o2bc4i1/
2HCdBy+yr5zZ0wbb8gm6DPbptvI2pSdx5Zo4JSx11pgDbTBYpJ8xQBgKoqZ6W6v5R0fPsF3vjafW
AnWGMnPNevPo4UFimPHJFl87Y+48Dx2Er4zF220osRzNkzHfMJs4u6mqQ6mWU1VHmyEZJLeS9aPZ
5d056V0IU4FW5zx7bV29GtPqbFA2lgH5ZxNfA3KSeUxbX1O1CwZgts6CidMz64ER+zOZj33XX9ts
3dlJ/IgvhNd8lK8LvfamWb2rIfFdYnNZNUYyHXQuSErFmPG0ELVdGfnOK6Gl2DKiYC/VoVurrXvf
dLVqftDzwnopGC8mriG2cYEBEqiQs8P44pACtaQ7EhLA7SWV+yhU9reZ4ge5mkd+klfuxIvAc1k4
7qeXl8y1FslRmHI3RnFysBIzkLqZBHNdahtLVA9N5DFetMA6uVmyk1E+BHbZN5vFdE8eFU9TzssH
lxX2fejhI6Og85BBKyOQPQ0nbWkfxkSvb5QGF73vTux3DXgxphG6U/qYecI5dlH8rY8q25Br+de2
EszRrHuf53zltc+qR2G0HJLtPGzjvK0e7QyXqcpxNfuVPrrQCVZ5rPFjncEzxLdKyGTf6V6yTSAo
+NoCeKoxjYCL6yG3ozpIavvVGLLdtLh9KJ26fuDi2ZWN5u111CW33koULlrmnlZ60+3iGcUJ55Xx
RQL5P28lfiPRgsPXk1mQU9qEZdr8spw528eInPyl3yID8AuQd/3QvBr2R4Jg9xbPmnFTwyGOqtAB
owY8N9c+BXO4Z7eyoFIBKD7q7dr6dF7m8yKXDGL3Or6UUVf5qzsPt7Q0xEavskMbrdrFUsOySVL3
9+DiZ6P2em0YiTFmv7vQ4UT5BtZw+KB1UDeL4pPO9ZmAAYh0Ef8QP0F2UvfUOe02Sms+pqJq/Ds8
H+3XRmKhLFuENnZlbjLFCwGmz6PEXXIKFYayQ3MAK3bQdHGZYuwxRuXX7hzI5BdFrwzGVu6bFvGi
ZfWbdKUhZuz6psErvKhOWb5ZOFbQEcPmZ924azlzs1Sv/ch0EbHS7RvFvu0ZitQ2+4r3DOSCbzWV
dSqrbgijZDD3pekpJgaUXVXfdReuS8t3x4V7MK1/lGjCuULwAVtCsShZ060th45OTwnrqGVsJiKL
dHCsnH9lTHJqU55nEA+HbMje2yXWTuNgt0doB6hF4nqfaljgh2iFfVWguGVnASRj6PRvV8uRiMrh
nN+/dgFdhT66OY5J3m/0ZdmM0uC7bP94eoT5EVl7BBdxOk8uD3kSOUfWNO22wAgeGvAijoXe/R1y
p3tJI/sbtXg4xuZxYII8qVJsx0FxI8XeFAwpOyy/7DUdflnR/Wlc6zPD/h1k3mi81O70wmPwMBR2
EtZG/E31I8+11x+NCZ/PbIlTPKYFFBhGwB445U1p1DElR7TR8kwLdUAgahDTIa6NEk0xDWRVGJcs
nR+ko9/sOH4TA9yiwix21goVsUnlsYiT0m8baoG8UGeZTkdg0HBIJEwCl9LWZ9IJCyYFwJVbdxjd
MesmzzfSixoQwuyJei2zS1+3N9rUkBX8Nlocm7vfzrdOQxwYjpYS8JnftJUMC7pfZoZbt24vpqZu
o6k/DoJ5pmqzTd+CZELveWPLPPvrNM/oAL+F61sFD36lVSKoYJzj5+32htY/4Ax4tvoiPljDdNPb
5thO1RKYcrkOGWujRvuK7ISTPkksqGCw9lL+hZsDncvPbOhWOKd5z4wlzJ0PrdV+KLX3ZCmWISjQ
rVjcZ69Jz+WS3Ppo+CrNxDgDEvF8CIE1Ti9rui0iPrULHVztrG99jPoDwS0X97UQ+aMX9z6jwgA7
4lEYy77szTRcvW5nz95x8sjK5etPAn0q/a5ZHkdoKjV33qT9wqNNeaeCtJh2cNzc0CLfpmi7Z36t
uBZZJIFcrH14QjDy7i+wx8ms88aBh7yZ1XoaFhmSbHeOYwZi5cqt4UTqS6r4ArrD8yWclnrJq0Ns
eW8O16ZPtAzhn8Rsxw/2fT6vi7fBSmz0eukNEtkaumCA/CGt1ltCSLM/GVUUZoNjHZipvHtN9Vgh
2YdY5R1K0oWGGLgyHmY1i11heb8N/siBZ3oyMnaew9eouJ/xW7bWNrevnldsY1ttEfxeSAAMkH5t
c7rGGrZtrv9GII1h2/4zqegj5m6zazzk5QbI88vSXuxSXMx5ON4jL3Bf74fRuSVJdKoit+EqTlNK
wCQoUBxsWmZtzzbMpZ1ZSTdUTcP4zaZVzrX12WOx+9J0s/WMIzkNhBHrL0Y1pYoVYhxBp7C06kSz
fISmDJ3Ki4ogBpd4XExQGyQ5PKb0H0yozS6UTS98fRUH4BcxgDr32ys5GnWWt34p1/weLc7FPS6T
nzZtYGeFHkhz8cc6dYPy3gTVA2DvpkhDbxxuWULola4twLnyHEN9JR6zoT2KPH5sMcWXrnnDz5Ud
W5DWIkPKCb70JKWrjp4ppu3sxm9ZrW5Lmx30GCxWnc/OhvGd4+NMHQIINniotflEmJ3zK62aH01j
pLo49J3pyv9ATN6zwwkYgmBhyIXJaicASJyEBOtj5mE1rk+FlD763eJx7Mz0UeGxH31P8Jng7PVX
6YlzrbotBpLb2kiMHik1zkr4w98+aiCKPpVVtB+KMbAKEB0U0lc3r7ZkfuzMpXxyYadJjPZe9oUW
dktZvwcmyMnC0XVI0nRbDuNO81xihJTfxA1bbrB7qUGVgWW71gjHOaf6GDjVqS+BLZgvdtbdQBGd
Y9VcEwl0AOq3Y0y41Fdh/vYM5DSoyMygxzT1Kno7BkEIH8ufpuhO8Rn4dABZton9omIgyO2rmS/b
yMquKKW3cXtIxzCfzxbmZzP+69GGD4sFf4CLZOlY1Ujfyn9kfb9tZz6Vt7Gy5N3u563R/1XmVjPq
d3zrn9EiHrTpri0wQtJWglUxAcqKTduf80wGGhHiKg9q2s2UY7jptynanB6eKVh/P7d/E2vDcTEm
IQV9QA14dHC+17glwsZKope6wf4PjXGli9OdwB5y7bC6tNp+VNvaU5o78XMbd81DiS47qNdmPHSt
8HZIOWQgjTb5o3mRuSsHnmjMXwbSh27SN2zqqwwJDRZ2Dl7NJd0caiZaAj4qgMlLXQ/dMTJKSHuj
VW+qojRfCemieZs7jnoIVV3otdjYZlXfzLTUf1sOb7BVLz2D2zz+6UwnPmgZR3RqatXboPfjQr2q
5k2buvXTnEd2sELlzmOsIBl0St41k9ARIuQwasjuIaMceJkp6mEUQonTOxZ51nvjRXvCR55J6/zl
9GBWGKX+JuwLBCihTk7OIVrJ4bEjNpHL6pWFebWrFvz50VTiK6BNAIMTAPSDXcjjfERsDgEhyv/K
1H5gWfcqR0ggSv1MVkaLccd5tDljQTr5ARuJ6x69iLluPVs3z2GWq0XGjVh1Jk0e5MOazVcdvXPK
J2FWDcyE8f3Tv4xQa8mqBuUE0G5nTmpfs8UwZTX5wugflwnmiVsVD+3U71fPuMa5eWss50NI68mY
xDE1+vOat7vUmlpmBFPGr3IV+zhLH/LKdqgL4+dZS4+F0b+b3K7+0sKc601l7etcbJmPTkA+1XMz
Gw+FpkJXMJWuDAT0M/vGgTWNnl2iqNKYEg5/rOyn1QcBZmnhidI7lCSMeI0MWwGd6E+vmGeBVEHr
AvXT0esQkjygkZniNB8t4qrV1TSGR7fHjx+tQPrn7GPwstSv4/p7iNQfQ6sor4m1bWdZ7oxS7EGy
9Xcf/x5GGVD/Zuus8dGzWftEVsVGOz6lkfdKYXg1dJFSISQPM0TkHHI0YVX+ElkzzrfinBpcp5Xh
8va1cJac+5msF6EdqTCalgXkDxOSquGDZlH2Xq/OzlXjUTfn+0Ix8uvSCzW4RLvaomWJ+o+lLm5p
1HH3u+pZU2DUm8ZlLxk9DXBxtVx+lOZyADp268t0GzOriFT9g+VJ28bSA0CFdoIwrl44m1aT4NmG
ZueWrrF3lnLZ9sVsbNZUeoEyTa7r3LzOVIp9YTyMRXew06INaCY/dcVyRrPFhw6HjTGj/pPqixeU
6T+33gyR3eFBzfot8uar1OKbmKLQ7vp3YNTwHNutcJYnx/tD/muSa1fWhXXgQIxASY3RyfPCfLIC
OCabTBv3eZp8W6xD9cpvdN5JbYwDOVJq6JecBbXZMWIp5CFluDbr+dMyPLvOYUnk3i2Lx7l4lpmA
6G3fpQBWzJrMagOaVNq2KDvE3nxqFgez0SQtf1Z3qFGZnJwVuHujR7cUPRt7PqZW61qxRqKzZaJM
cQtWdd7WjbNLHa8NmozOHVBRoKWggeLC/hJrcUb68WwNyUasOtwaSHs+8JXH/p4MK9Jlq2bm5iN3
WqDH/XteL8fcMb/itj/anv7Eai10UvfCjONIu7qwD2OvSX/pVzYey3gsnJ3RLLAOwdfV1g76qcsu
qAWG2w9yV+oQqBIx1jxybCApw3K/qcbz4GpfJjht1zR+NXXxJ3KK0+KN30PefAnSorQBiKuNjCCQ
Q/u3d9NHYZnMoob2CbYWt4J9SOoJpVV89oC16kUO7yxlo/cD02aEzvjdZe6vds6uHcnJTLwKeW3z
5tz3/U1NqxYAMUbB4BWBV3GODmt1qoCp+gDrmD+l+TtF7gE2xWc+qPepiwz2EM5pnvTXZWx+SN/Q
fckAj/G3eNF4tXUGULt1+V6tbvCzilMylm4wuPYn42Nox4k5bBLVPHAXH6W7PMCtDCgwdndVhnN3
WCXFFJqFWviI2Qpx3dlZizynZXFjZOcQyK4q3CD1WRQol1QmqkDpy08ysLcCH8Vu1R3CXGMzm3d1
GIv43Ha1A6GWer+TPe7XLrljx5jgVYs4uM2o+dj4Vx7l+ZjERQWRiMkt2hR9W9veTbc87UwSzB0G
VRS/OvC+lRR/1r5HEKVeBuEA6x35E8dU4dV21SlRC19fzVYM0GfF86ifShYPQduAI+zbmnk37yrX
g9jVaHt2rQ1bL5LJj5V6zwsomzBPJXO7YufF40dvw141zzjQGNS2fNEKJbwzth9lO59N+gS1rc0l
8s0aSYZtvUI4CVmSWkw5unGzjESBLaX6FG36y5pBPpYzqT2ZzK0/wLx+7LLlTNU/p4k+q6jr3zJJ
z8kCrHC+Y8oG8afv5O9KawKLzWnaW4HgXUBNhJV4fF9hwIZTThFlyOIcAXZp0uSAURdIXnESHlI0
VkoPaW6GtcbTRIgP3BWcklHtL9Buuwvw6LnHIJ2aYW/bh1TWx3ht900zPrnQkg9azatl6dGL1duI
IwZEMIuOqBEsum3M71ba2Fdtlk7IBvd5rQGIesVJn8drnzgvjeQrNOQWcszWZCLmT4UtdmQwh5AU
fkfVYyvQutXeuhUGLPVmYJ9VqKeG2TQjOd9UqPPRNfYg36E6fzSrMnb9lD53AhQ6gsPI+TYoGzqW
vJNlsP+wjqSGiGlXZ4fFqlErsHXN8sv9tUirba7WIE5/Dez1vOEpYR4ADN4Ml5a+VmPJUadwyrSt
sSA1XJgZ9UUij6U1aEd3ys7KQRLmaptfygv0m3XfsCNGi7PHRtnqBV5c9NRqfFAkqdpRLn3yDf9x
3RPBLL4zh7y2nDjL5xX544+hXG4Y2W91xO0/xZSoa1JY0xJK/M6sWpf+LUOkdUVFW+xKV1tQFAzp
ibRK97CsjbElVqs7L5RA5wLm1Z+oBM0DZ43lSdTatE6zti0ird0L0jr8iZ3o+2THn5GHlsVKP52G
XZLsATgabc+iRzhygxywPo9qbS95qrKrYxTaQe/GV0z0AwUUU9CNIUrcuBmsWkn+2lHP3ZiFZvbV
ktTAmYt3SGxX3QznwSbNXL9VnXpb3BERm/3aJShMCXEDLU1j7JRShgJ0Ef7ivH5pUls8QvX+axuf
FYUFuV13WKl2SevsoQEDHQ84+BhA7JkjAYNy2mLTmKuxT8b+oUmcp1a5ydNkEy5QMQPvZAkxCKF0
OOedghU2XOGCvCcJFiD5F/58kIx0IGxmgC5NPfv4NNtlCwhedlSET7272mUCMDxOZ92Otw47l9h+
qJxxz1LcbyjsHP1bTOwWlcCLQC6w0XwY6Z/V85ghv/LeBsyDPcRC64dIxmU7CKZ9cQcjW0KcBA6/
fhpOdOo1JKeWXdnwnqaaatE5krewYVJyjdP6gBcICVOMYFAmb6Qo9PfupeFUicMVa5wJv0oH3i9b
8VBBZiT26yST0JSHqigeGscct24ybIxci94h6Rdbo6KwFogdyaYI57V6U+VurJNTlSyP6X2YNKdl
hA3O7Q5L59HhzhoT5/E5H7wzlHWIU71XhqubzAe5kvIcp8T9Ed/LTArd7EOkCfeVyaDaGqtH3Y/1
JfAmbTuW9z0AurWshmM14r8NPcfd6Nm9ZmkTO2gIyw1yYMWg7QCtWuoC/m87zvrb2renrkebW1q7
ZIkRK6felyc5IhmviN/w/vRgUQD+Uxt+lCvWk6im3Zgvu0wQdy4gCvsJ6c3UWbj1y3WOkIZFX0qy
AezRuZKwdCFn7+z030mnIcwxKZFMa1mDYc4/uXJ5dSbUb9X8Xq7VpiqRuLpc6azKAeZ5Ve2PDYVZ
of910r9tDRifUd8FGDPsEv7CQjLqWxTZed32ASgpJq7AxDlIJneTkD57RUkHk5l7EXYnk9Gh2sRe
/LL00A0BVDnfAMDKUGPeFsZ6fWT9f2kT7ZUNtwrw/Uwori1o5VneFfwUrGn/6Sz4X3ks/p/uif/i
uvgf3Rj/H3osoMro2Bz+Z5vF5fPv91dVJp//8fWd/8cVp8T3f7Zc/Pu//5frQhr/ALyB69nDQ4E/
08bf+i/XhdT+gdXBhrOLUxdrvcf/89+uC1P+A6M5HjTLosn/l1Xj/7ouNFwc0sQKK+/eIPwg/wvT
xb/4Uv/J3w8I5c7KkK6DxRXn4H9302uLDZ3wTmMXTjW6e21R+jm9k1TrKxOX9xQusSKYhwmu+6F3
9btS4mDbk/25CrHsuFi+LGwB/kj7gtfcwvtnW6DMmVwuFhSAgZFkLCQDKX1HHtOjvnShYTVoI513
FlLmDci/+rHuC/K2ZWHCRZVY9Vabu2uV/xjEiXBmdBF7IC957nunurEp0dCwLFnxnLGjRfAJqDkF
DQ2YmgZ5yZ4qDJcK6B7RHLvKTlkr9aFHHBxSogpuPQfBRS2Jhx63RA8AYRbRXnlH2v7KKzZExXoB
LX/RJxVTJ9uEJgjmPSjEEqTTQ1Uam8UBSzhXlX2zcC1cnHjZkcZyKFhrFn10GNr8F0I2b9eZMkgI
WTF6vsDovqKPixhTS9V8M2lw4DWuwRjRH+p9fe6b4Vw41ZdK9K/GFXvgiSutW/HmjNoGraT+0jSr
sR1it2bsYT7TRHNODfCAifzZ5vP01sKGI9fmpcnqbwMgHHi0ku2083stnKNVzPHWSOVXiS8m1Q3O
+EU8lvf5bemNgGRjOusaGQ/kIw9Ov0HBF9EPDzXD5Po7YmTd1T8Vcqakd7rvQhda2AB29deuuSBL
9dm4qhfDhhhoUOFsGPQA42ib0GI+8AWbM+MyTe/emPxFtU+55G9EOYLBPgE8lsyuE5BW9YJR+ZPQ
ANwj6XauwPimLT9qofcrc0b6AqNa7/lBS83x3V67VvY3x1zNcFz6cZcUo05yBRd9x3yffizeqza3
Nyolz6cCTOriEGeDUHikMqDgnSex+LOOxojo1mYjuaJ8UdK/as0AW3dSqC15ohFq5349OQ+WiDdz
PLon4SIvIaKR6YltbnS5cgmzJuEtKMywIC45qOgUE1UdJn3t9lnd7qPEvTrLehtcYmt0Oe6WhnLi
XrmA2Ux8e3YgWdtdgAMaBGiNRlNWfyoHQLnZQy1p19INxqJl4iZxc/yWbvfbUaJChuMhbwCujJI2
mh9V5TymXfc25ZCUI91k1zacyO3b8ZiT+tigPHLSF5sYHN6PvPmTTgnpM9U9VY/8nN/iDv13WGjO
jXjWU2NEQCSGmfiGrKcLlfwGhCgerOpGQs/v6j4k9+qji1ZkfWOCG8KHxMhaHIjxkWEnHHW11PrY
IffeR+59OtDuTbYg4CRhLSGxJVmpgH5efYuWnRdU/WXjdHWAQuAjdrRA483V4c0w3vxNRc0hFd8H
YwkDCVtDEeNZRpj1sgkAKC9721nqPS7Y6cEoLFb9zGHComvynTHqzzkat8Ej9QCNdTnb2gYp3A9F
4sWTFWnh6fppLZFzVbXlBRE1X4a2tsj5oxlHhya5XDMK42g8J/SMew3OyQY+tf40rA0it5S+Fg1J
du6yKfJbi1eMFLYwY11K9Crjnmn42+BIGkyRbesWcQuLnKBERYC8XGcVIeu/lOss/Ae0hLn2PbbJ
cVDqQfFj7LOFQYqcySCCb5cwP4jlqN1cQ4amLk6RIsKL+crdr2lVLa9MXPY8s/pOePOH3uBJceV6
11a4ZPjUDc+KtO91xf9h7zya41bWLfuHGjcSCT8tz6KnRJHSBEE5eJNI+F//FnSfURXZZJyOHvSg
JzdOHN0joIBEmu/be20rW9t6ePLT+QpxXbHqZvaboNGPY6iwHcVIx3E4zen0AG+O15oZB7dMzRX/
NqHLLPe+i7ZoyrWDAtS48sng0g6mILJf529UjY+t5X2biuJyhKJ40xRluvWcYtjipPxKfM7Gacer
KDcQItvjjwBcDgjWXYTyzLfnayOO8RHlaJZgWx+iVt8l3UDXXjPR113/WdAoGtS8rt1vUU0tE6k3
ZjF3783G84gNC5XTfCCdYBUL/ULzfw9F/fNIMcyfxiejCvqtUOPXqeuvYYAghaHYkCDdmbEnXEfe
0N3kdmkcDX8JsSA6ZSSNHCg8fWCnLMsfVW8alE/ZojbF8JLMUbz2g/neI1iLzT8SSoVXq7fay1CV
clN58oceRwsA6pchmtJrS2Tjt0RlxY7QpKcSygbVnBCFJI6HpZstoSyF5L4daQ94mCVUe+cP8SeK
Lu5OJGTCTEFUXqAG5C3S36P3hRrIZil0XXVrI1arxu+503aL+egreYBUdbyvZVkjf0T5tPPnbduK
HvGf9jaGSG4Qn9zh07uk1Pk7QgmxFm5vrsrAPiYp4zlQAaVwUF1kl/U/6mRyAFcH7doQ8WPkteZe
ue6PSbcN4UETEj4AsveRzYramRNbA7P1o4usVfbGAvr7mLeElHSlaWxR9jub1CHbnm40ujI7rr9g
XW2vdZh1d+hl+9WcFOrGDbPmYYxT4yYqEuei6rW4jwY//o2YPL+i7lDeqZwz7mVsRGSuBvRJY3NE
nYX3w74ytZ53lKvipxqIwUWgiF1Ha2l9D3QYXuUsI2wpMmOtp5HRSqXRbAZ6VF7ZPUV+VL00yrCP
ilQVypsuCnm6wtvRybIH7EdsvMm4Gem55MVByzR/gIItb334xMe89zcpaksIzQ0C/qStdwGMj3pl
xZX+TfhzsBYddgYbvPGLSzwbbjpIy3ZR6Fvw2fJytqYXg3PdT3SMHD7TQn0OOrQdTBRMu2NzREyL
tr1Mh3syluLtIIrwRzcO4Uyl2zZxyy4i/FYR/uFIXV6LIa4vLTjgWxvbx62Yc1yefNXM603T3jlF
oq6FhgcKjW7ndC+QndchBw74cAU0blXFtwXBUbdj6pOP1yhXJRt0h839MAbGUdeY8Uaw7Xtzjok7
S117uAnSWuHQCon2mJPoaER2tJyBA8LT0pBw+DCBl9XlifvcjtF4G2fqpQ0CWnpTO3wfHAnr3ZDV
vo0mhxZXaXGizN3SfXDTej5KL1QPSceWrh0y52tGNakCZCQ1aUvGvI/iirJ0LFx0ETehl12STYJR
duOyhqFc7zm/7jvELfkk1sbkbgYq0t7UrINS5hdl27ePST7eYMDfOP7wLS3yS9x5LNT5cCGbIb3t
usLZeG1ksyWrmZScPw+WeOFC7BGdomxqxFVFKi6TCuKrFvHB0GBW0+nGG9vq3quq7rLOZxRzmk4E
XPkezrSvGbc5q8QMbmA/pPlPd8RrChM8f5xC6i3h3BHdt8gl5wXKi1zWKstoV1XBZRVRGFO1rG6J
kbuuCv/gu/ajyrKFphyoTyPAPcLL7oP4cpB8hHNoYD+gTqbLUtzYSAzpxNVobcY7hZxENNcIqdiH
0olQCR9yYuTVWltG9YgpjeBocxGAXCAKXNWkfdV5TaymQaEl0rDk3WjcRYM4Fkn4hTQdBF01vXrC
aYqjRwWIVlwV3JN9UmwR8O1tMkx9J0YJ1qgrb2CuxHudp6uunJ45VDyzSF+mC+yna52D9H8ryBy3
nsyii5Ey0nbg/4tOzHchq7BKJIPeNOOE16L9EWF2O3bBZ7wiV9Vg7AqL1m0w6uHQgvW3Eky7HYJY
fnmBpDZFbPU0BihCEvaCOcoRznV3cpw5Z3OkKSp1Szjq0Ws9nNUqTH6RRBOwB0qvFe23ld8SlamM
K8vPriHnzNtuoJKaRteOfrS0T1086a9Fm11N9nzE5Fau5ypPVjLPPgUOgnf0R5PilOFVJYj44Jib
E+ujaCez/5V3COAQ6nzLGpXsbRJOzRz7o1EQfuIzjDrKL1tCIbIdKtiYYlV5tHv23qxdRgTGm494
W7ua8npDmEXEX2EsVeTGRZVYIjClFxNgAdWzX6y8ktsM2l3k2MkTjd2FcK5wQv//AkI7LZCGhcb4
v68e7OFElPrX9HfJYPkv/l0vMOS/aFkAJSNxG4cH7OT/LhjwR65rAStCQwPH00b58D8Vg+BfHiQe
2wPvYDsOSK7/4TQE/6KBSmtSkEYDQfYfVQzOcFGcy2FO0sk0pQ03iToJ1/kbv4e8rR1nLxpZJ+Pg
0jXC7IuhuvTGq4z4soOHuGkTx2PlqAmqElovpdZ+VTmJ9wERyDzlzfz7Tnz4TRRKeBLM7Kd30oZs
KX2KuTAhs4qmSvItpBt6ZZGk+ntCbchqIONv/uTEt3aGG2/VUU3ZN85AcKI26M1FCB3usfbZh7bv
ASShEU8ecDXMH0Ab37hRXDEw2aDuLUiXMwZP72orHCwemeq7dGekhrVHQueR6LtQ6NaFH9YfQFfP
0Jl/no3vuoLKEXUk6KSMob/fkqEKvw8l6qIqQVw+xwdPVPEnwxTI/tyJfbY7WRtKis9J5hI0JSOy
qlumXe3Tr0fDQWsJu/WehbXZ/F/+6v9fLAiKd8uBnEFefpxSV/h2/+uDNvn8bE/ihAdUFPAPcHj+
E7ti/cum6hcATeK7JHoXYtJ/FQDdfy2wFZTeqAIF/8gL/K8CoORzhv8dIHfGnQqB759UAM9RQ9KC
4MJf5KI5NvmKlrH7F00ToGswGmUSr+Max7yLH34T4WD590s/wfH8DXexzllDy2WA6XNwd5Gvv0Ig
EhJo9RXxd2svMbsHV2rxRbmCFTixVfPAXrB7lGlPPqtT1QLZLl7cVU/QB6l8PoUqpJ2eeIo1iBi6
pQg4V+bUuETDydy4dEq3+BzDRC8uyW5eFC4WrrZg6OOUHAh2+EgJxpQGlex9vEcUzr4WoWl+GvIk
/dJn2Ugq3UDTaxMXbfCJQ5An6Mc4YhPmZXoJL5rTgU2T/tbvSNH7AAL2xoMJfPC2gIqZ0plVT58/
kgqwyJWZLmHL66YMbrzZ/2SXj5ED5ee/15j/5O38/QqWL/6vQi8zAZzLvy60wHf+etGccYB5ay6k
ou5pIshWESjlUiXCQk8JKwASRxApQqn3L3s69zGm/pClGOQOi5njnfNjowRSsVWKEHhCUZJnE2Bj
SXN2/aEX7uyebSXOP2/1/kXPFql/X1XaDgAtmEIedKvTH6tgHYXBQENnttj8ctxPaIPg2x6mQtIy
BDyx0p6b7YZMEkunYJ2MGE43OaP4g5n4D7Tor+cuIchZYGN5w5TzA/Cup7eiC9TsUTGSDuZWTg1I
JXau4fpKxE7WqIj8rQj+XkHrDG58kl3Hja3z4lolqZMcMPWg2BVtJ67AmLbh0r+dnhKYQw+2yrp7
g030dKyJAYcWlEUVKgNjoiyPXmWqsRm75Ctj7rauNf/+2pG083DyuXejYfXDikBCl6K48pzvy2wj
dqIwTaQCje1OmKAo/NRRb5ZrIHk4YT1nGjlmLM45r8/FSPFNp9/UlAn1wWRxhoH688RcUlZAUgJ9
ZhN0+sSw+UZzNVHZRnbXEc/kqi9TaEzf61FOH4zOsz0EA4W3Q5NlgYVjoYRufXotwMbajVKMqp1r
ovAkacdd+7prryySzu7SVrTr0UMypj0pbozMICQ+V829gz770PTEBCHaNborPLHVcRJNuq3IOMVx
YLfpB2P6bKL4c6c+q4VvM4yk9JY//+v7xRw4UgjEfzeVKBigcWY9vAAQR0yY9UNu10O1/eArevXt
Oha2G7aZAAqRB/pQwf6+ZBc3NagcqlyKb+zByT3/F17gskdS10QljReD0pIScX4oJgDZq9guyJhH
02s+Y3tEOtaTSHqh5gQk5FBmdOoHp+gfE09y8omTHtXx+3d8tpgtz8gOfFDNwrUsgHZn3Dxw221K
lKGx4uN4UJbGL2A5JR/7+5d547k4pnR9C1ApPqU/s89fr2JCdusik2F2se3ptu3GFk2G/KSMucUK
jXy1rsllfP+a5ykCy29bkoeY0gCj+dI5e/9O5FmG7Ar2b2JCyTFjHkj3TqBAQ6VVV3+12bdiudEe
WznPHvMeCghIKQheVvr5/Xt54zFj/bFh8ZrUJh1xdiv2RAi9j0cEYkHVo2YjkjhO5mT3/lX+ZBKc
zZyOxzEjcFi8BEPsdPgVTm47Pm74FTJicUEiZrXFbtSxVSEVD0NtZNvfetSvF6GsbU7uBNwwCxbx
j7qqE9qHPnLVzg9H1PexvHn/5t58BOzcEMiAJwYPfnpvE6xcKBZUNFQetxs0QMYFW5zon1/FNWnL
OpLkj2UxO71KHTU4zoKGMlhqtndeNRQrWUvr6f3fspzYzp4zXzedaUFWj2uff+ae37rmDA9hRVew
2BmuzvZUM4oD4WPzzehm0cGygbrRRQwv3r/y8gbPr7xscB0OcMJirj/9fTIZeydtGUh2qn3EGLg1
II6hkr1PbTKujBYInXBd49kjLCJZDaTk3r9/B2cHpT8LAN0u6QiiMfi4xNkg05ESne0vi82QwJVF
dbRpUjsmbtpNH4xuyA+oM6K97qyeINW6ucSF1x0y06WuR3YoMqeBlTVCudn6ev6HYSXLR88Xxv9a
wnQ9DvanD6gzq4Tkd5/4Pq8xbzPX7e4jkoBr6nlzT8vFrD9CtL81GFgHl4mNrdurZWYkY90qLZNy
vE/rU9GivrQHo/peRkG+hsWqNwknzusJ1tDz+6/ijVmV6gY7DQkGXzK9nP7WIOpE4WAEX1udYivW
WAzIeug3QWQ3kMo09Kpaq/CDueyNqzIAfdYKj80pQPTTq6LGIhJ87FjjBBUATCDR16EvFB4ma+jG
lWMmHW6rfi727/9ae/mLz8Y+VXgTAzzb1OUEeHrhZqR11CFMWpPOatMqgNvQHly3VMcIU4OzjVxR
G9uWHdgRe5bVH62iM35P7WQY6CTtGb9TL3DSyTCNDkUW+eaaoAZZrDuILvUmCab5O/FwM3GRncKs
70Q9ZWovt1W+5Sg2DzsUev5nP7Jh2emRTc/BtAEfXmhZoFAnHVzDWqIgW13qbNIOOqekODDjBxOu
Ft99lAR6dWtpEPvgk+wc7M2wwpHelSntxRZHAr11FN5k6Y4ZFf9p7JyRgvWgP8g2M5fl5vxJesJy
UWCz53eDs+XIIn6lc2hWUsOVtNyiJVfGzBGPW00V77uoxHpVYNpMeugLiLOry2AaBWa41D5Mmaou
/KmrL9LYCm5UK+Rtbw0cMD943W/do6RU5Zp8VzC4Tt/2JMndLsnNWEtRuj9TpjP4S6r/gDf+xnyK
kIeVAkWRC7D1bDdrB1S9eftsvOKao0bh00SVlOIVlWmRbPywgupHLIQL3pHuDsH14oMN9Rvrog+I
bEGe414X5wFadGI6gphdA2aOYT6bctLrNED6/v7TfGvbzlGKKqdnS+Yq5+yHcoArBOdmygm1A8Um
B4Noig4+foiScXI6CuC0HgO673h1HHSEO1+NyZ3Uc0DAeSZxbk1N+SWumLFTgcg+MDGUoaDMzQ8e
yOv5lI8cxjeML8n0IpYH9vdeMcDB0GYsrkXpsUaUFgj4WqRPdTVEN/MUgMGL0qexhfz3wTNahtTp
ZwEU21w27lxZktBweuVSNEFQxchK8d47hxwbLUaSoLpY0poPAR1XtP69+9s1Sovs40gfAesONw0B
sMDBYwQB79/P65HB7dgcXngabM/PU5JQhYdSFKglLHiuiGQGDY4UqOL7V1l0eq9+tcuJziJSzLWZ
Xk9/NbqvGoXlgCgjli16f1pBqpmQP5iql/sCEx60WdV+nU0B6KBBpEqEfTFtdCIqe5cLiwhBUwTF
WqeIFeCRxN+lh8eoVIm96grb/+CTXab587fk/jl6LhVsPtzT+6XIWlRtS3lgGKrvdlrpGv2H0a4T
ZwRo9f7Deb3WoRfEcsyYkC5RiWfPJirsyjAnng256/5tNzeQa9GBPKpJuI+L1xqUyOR+f/+i5wlC
7GFslIxMBqCgMKW/2mEVlN2akcJzGcSPnh2qHXpxZmcJA3WdTxmta6OIzbXBkSoj/M0ukXksaXPZ
SIpw4rj18f07euuRc4Km2El5ga/jbOUl8XjsBk5T0Io0Hi81UoQy6qEhsjEZw49OMW8MSJvajy0p
xUsm5bPP0Ipd6gIBD12WhvXQDSO0HysdFbuNQMRBdsCtYkGc4Bg+HKIkdBYWXZnm6zj34TsIwBP5
xpf2wmGe4/E5yKNaQ3GM2/Q2UABFdpB1igRCKfyrw/tP6s17Z6Rw0EG5ys84HZyFEZlgybh3rzeH
+z5N00PlI12vcjBpFZKtaxl26TpCr6o/GKuvlzLmCsocf0rmPLizS6fm3FCVCCjM+JYWyJ/6+UtL
kHm6RheSGPdtkOsruF2O80sAnvk89jBLN+///DdOoNyEbVGWpXhJIMTZB0NkdDjWi9angwf5eVCp
Q7UF4WYzOo++hhAOupijgrDaLV7O/rnOVaJX2QLSVAMwyNQB/3II61h8sOd54+nQISSEgEA2CrvO
2aBKploASIRxSd71/LUb2tTd6Uqa10lv6Hk/1EGDVDHBSBwGqBYu0BGZ9eP7T+eNCZ33ulSuiTRC
xHz2GQH31oH2SKqfQxveL3QFJKXRR+eRNz5W4kV4AZ5JLCfD8HQIlj5kaL9i9hgQOiL9VLgB2GZ6
RL1XaFXe/0lvXowJi4rDEtdkn+0ky8INWtt3DE6iYJ+hAfgvbVk8D3I0v7x/pTceHgVOnppFV1ZA
sD/9WRkUMseMli+rDNVFjK8e52aefFB8/tPmO1tdQLhjC6JsSHro+enGy/GX2N0y1WHEXWFtG77E
Xa+tiySpNPx6GcsLL5PAxmBXb+bITDHFGdFPOXRds+rb/MXvTOpp0Pp/FwjkoGq5kBj5y1Cg9BUg
imrC5v7pnz8c6h0Wx0F62mjjTx8OVUUUvlZvEJXlm+gFAzSfAsjm+1dZXub5s7GWeiH8CpcKwPKK
/tqZ5QXt3jniKgYYqbVmRt0nUpuPFqKdK/ax+oOVQC5L+fkFKZrxGmiBLe370wsqVGaazbCBhZXq
aY3E9knKWG2sGTd6BNIb+3M4XtEPzADlZ/2mzcY5Rc2C0rPOkvmiGxwcQcjaD672o53y4RsgJLcv
YNZewaLA9JW2uvlgs/3WUEVRIBk/QgQctE5vW4IRM2svNFYVhyWOpU1yMCYxbd9/G29ehWof3zpN
Uus82DtuG6Nzcs621YwKrpnxFYNRbD+4ylsfuGNSU2Ht5/s+X9DmKCPLO2S3paswQCPk1iiNAgtZ
mVmYyf/BbILCymR80Xhzz1t74+yIosknYNIxhJhkSJqLSlNLsqso+GCz/9bT4xNflBBUiliyTt+R
tjI1lIqhhU0DDKrZ6IucoMj799/RG/tH8j98BAycL5fmzOlVsnjymn5kNukTr12z1W921dwCRtEP
oy4B/hJx9/4VX/8uejN8LkDlXMlJb7mjv75RRydNbS0UWuDjNQLhsb51gOh9MMJfjwrHCSxcNQF7
Yg6tZ/ONaZYmFQ5WMliO+U4YIHxWxWx6W9PDA/LPfxHBFXR7BfMAR6HTX9SlyGYM8mzW7JpxUPgY
EiKl5w/mtjeOQVTwLAaEuwx26Sw/+a8Hh2B7SqqwjOAXaeMHJgg0zGYRHYGTD+BL7WSl07x5EFmU
3iwilEsnnboD5Wab1jduuQzP3MZsuh/ZUAafRkz91za2vi9alFgf338kbzx+FxcSJX7aTdRgz7Z6
eV9ZSREwrGDOUFA3KjorXjtgnbNC+fX9a70ewlQLELjbBE5zKD6fg20npCZiUiHRwkOKW9LpmwwX
j6JFchVLXxN9SnyYiR/8xDd2kqfXPfuNAVwrDEMMZLR44dZprBfyMfIdtzJvPB9WYW5Z7j61YRl5
U+veBn32UmQBBJDJyKpd38JWmbKhenn/cbDOMRBOFyVubGktcUJB+uCfjUdyGGgpo87FUBGr+l5P
+LoeRT3n+bGJCif9NJe9zNeAgM3fvuZ7XJO946JhbSCK3jt1XwbrpjHETUnQsrNL405xPrCAE9Lm
c+0DLz73yGCJSFZxmgkAljc2dKv7yAUZUgfOFl81LLFKzCbAN1oAFmivMDXWvp/FbKF10GSQwOfZ
2dDOkmjZfQvpsDPD4dy0Y2ZxOBhc8Us7lfPQBZyr1vMwdPcUqVIJEbopf/SVmejLtoNPxU6mtnEe
jRZMZu5yoQUNDO+r3KPiyVq7NG7bSkJBQxEyPVkuEvtt0Jheso7CuVqMJ7K+pHaITB7wjFFusjkb
fsAG5kv2EZo0/IeBc4W4pXU3Vt5iLRDGkN+jUhl+kWOPrkSPrZqunER0ehs1WYhXrg/Tbiu6jm2V
qPT05LBZeAgX+ukwepbaWzFsdCalysZ3ri25cHj64B7ia5JvidOqrLXu2fOb/gA20K85TEPc6Gdr
U5XS+upBCfqpdY0seXR6+whnC7dc7kBELusSLJMpam9FjbBh60HGvLcKdTv/UFZXP7ktHjhsWGsH
FqLEujpyFJTsWFfNYIEQNgvLK3ZOmaJclmnT4ptBQhCsTDKXH4aY3g/npbge9okf2z3o/Bibftwk
+QNA/vEZttrwPE7FvYWK8ALHb4MKOiyaXwoi/o+sB2QaBsZ8B2ioIocDxMFPHxksiT2Zl6qbmo5C
sSnhNIg1eQvVQjzi6Air1S1okEdR+9nsOw9XjafNL2VOTs2mKT3GjpfWwbiuwqw2r9sEGHfo9g5K
n6nx81VjJtFwyIphunfN0HgRDYK5VWL6xlObTP6PtG7smdieKP5klUvXexp1A02GlGR3DcQZ50vp
ew1mmGq+89xyHxbGAg5vXYBqIkmKZ6XyBPcSiQbwsvyohbjMoQ1htOOGn6Yhl3KV95F5NbiA1FZY
9uEcT0n+PYNVhzvFa4k8mqr0whvM9ILMR7ma8TUxPk1Tf6rSNDbhACYJXo1pwryeWaN5iZGo8WDG
4DBZ1VZVxzsXGTwGuUCk6dZFCYIrKQyxzUxBB4rdbhNIQ2CCwhfCAyCMOkEL1jCaQ9o0jD+QheRz
7kdjXMjF3gy9BbFxu55Lr6Ga6kHX3Nij3+T7tEv7n6VOUYwobWabuRaAdiqzpAxCoav+kpPJVW1y
pXscAzQqv3feErAEM7Lp1nVk+zM0RXLD9iOdIFAVJPE129FNJjKJhKoh3QTmTK4VvPPlO5ysp6zR
2OMKc7IwwNFZX8Ri/e/M9MrPZsd5E76nM3RQdPRwtOj0eiQBLWCVdCiSX1VgLi4QYYTPcLEr2IR+
Cn8J3/83UZX9s12RVUO4DQVvcGzj4AHXJ30WX6EwHcLzuuLWyItqyQSQ7WdhWfNzt5QpOvTWGqFE
if1jaiVW+7id2y9CDQAH+9jRt7PpTD3MJUd+9fo4vEuYteHY6KR7oCAw3wcT8HNGns2pKMERivcU
P0e0Cq3J7o/KXzJQkqkx1QrGU3Bb6ir/0WqTyFziL4atU6c2Zr/EGO7nJnG+qz7Xt2KowPvUdi++
Dwq6JsN24Y2kgohkCqF1vfabJPvdNY54mlIhY7ZiOrpHzUUKhpE4GkZBMDg84toncKTCT2hvYNHl
D4NPQtsa4AcM8DTRmMtqbPsbW9nddd61obtx7F4Nl6HRkbxDIHP+ObIG/FpUuezPpmyZ9VyVpQ/C
V/F3jmwU0UMYqC9ombKnhECeT7bs8XoJz5IYYz1KmysUVe2TiMvwz/SDe3Bgomg8F5ZFFIuZ8WEZ
4W+w39NTi1wi++TCmXhm8g78K2FzVF7ldV39aDEeIZwltAkt4jDlExKu/NHP1VzsQj7T8c6NEqdd
4yIjsMXEIqZ3hiRnC02MVUSr1Ipi8thGuiAr1CTFldWGzZViLF8N0Wjg+40UsJUGljBGgLIrxYVR
pDnSmBArIzWITr5QDy7J70mH6DJsMl0cu1Q2rETk5G3SIDFv2rxhrWodS5sHSewLU4UVZrf0q8MG
kkKAJgyvod2uYmqTKeIhpk6iERzvujMyvJ/4g0a6q/DPcScUEiDGSAfpU6FU+EAfdGErw/CLd7Hf
mtXWw437SE5PI/ch6p0GrhZYzyUubuBbmwwQOmumtALvl5/UBNF0hmFuKkbfdIj82bjRLhZRKEal
+13FXtHyZ1LdmjW3vzVxPB6cNqak5jNiiN8YTUVYUNzMw16ksXrIStNPsHDYCTsIr8SAWygLc26f
e+GPiAn2y8zB/adteJk4VCQe0nZ0B3nXurJK17aNWWjLsqTcVUl3aYlayRHV6dbBZcFxbfb3xWD7
z9Jbfo3hsnAsNBvvbjRNerGjCDFrGKWK5aoKPXHV1FiUN7UwqttosoNkTdADmS9yaobo0Jl98NxL
v0suUtWM14RL+0ASoTIHN3kJ0KyQbRFs8JgiGNJOad+OUN+AIgc12rwI/Rumz1rM7irL5s6HqOvg
zIiCVoU7ZRsJPt2YoiekdT/vrsLEC346jTd8pYppAwZJQ6jc/pxipW5gSKwspYoX9oG5ROkQaEZ0
b5NbZjqD9QJOiLUyZp9ngOIaBS4nb8SUmBo+U23YEX2xcYNU3ri6C26NtG0f6jCOb9xZRbdxbHoT
8Ak+VzlZJdFeljk+NGUD6Bf6N+klfo+OkdASPX1jw4d9vXYymW5CMbBICDPJYH6qERsWWxP46lMu
MXOBd99E8wR/J+tc7wZSC65huxvoZsdi09Uq+J1q13jpJD1NMcP5QPuoQFKbLJpkfJQRCRgJm6Sd
ZU3mwQFI225jaGrZvpEJzCF60+rB1WJMcaLKPnrg+4jr9dhCn15XDjMRIGHD/zpMWZwf6zQt88vc
tmH7w02Z0kuviBt0KrnIm42OQX5cZI6wr7uywBhVe6oDxcQmQq0k6oLm2ukArrK+FWAllUOGx0Z1
qmz30pg6f+/JMqmPI6QZSR0whVxvhMJJ90HfAJfOuunfPuzHHGD0pyqRAQhG+gk5FiXDdlZeVDaP
orIy9kCzg3czMbOCaagNIuiOTppNm64PsicUUZjdw6ASX5zCiz47QH4lRroxPlajZ5IKnNXFrs0C
VOAtQ+WOuJC4QXXqp4fAxH539PtuuC4pk9GmGpESYDmGpL3EdhEc0ONS67ba1d4iQVMBiplkhgeY
+WzRrGBkXE+O4V1lozCLLaDHwrvKK4tALTZTHfsV3Ld4IgYdPIC+Hfxdxb74J/FIkbebRyK71k1O
UthBEvGQYuvDAtqTrMS9sTshN2QCjBfKebk4QoZNPPjyB8vl+IWPyRmxzU35fWUNwC3buriD1kNs
Qy3D5quog/IWbXYWbgsxqH1FJgW6BVnQn9S12Y/riN38tukiuuj0A/QVc0kLRLUWU3HVzKTMbWcR
ms22bsf64LlVqjGNswsAru7IGcju5Old4xZ45Cs0aQ5fWJcxJWWRiU23mNj912E5rhuqcK4D3Shn
2gcyOX9BK69uHJTr1iGeJwOAWqCz4j4b4qzeAtcOe+gvPbyv0FQF2M3YwmzvWBP//f8C1YVVsEPN
Q7gWDV92hWodtb0BQpx9iPygwvlGq4+ShufDJsG6gAnlrFyT5Xkw9XJgDQCvhQq5/QmPm7PdFCOU
wv/Pc/AdCs6D+K4byLqEc+ljXo/hL9cdP4rxfqusQMPdg27iLZLQs2rVhLKrbAoQkoyZJSwn0wtx
KyQ73I7iD873r2vJnKJ9cxGRoYvC7XFabnFwNluVBfcaOUkF8y/Qm0Gn+ncJ/RMIdCE/OLe/IVtz
sPegCUMotUh0z560pdAw1DZlJNulTcxJD8//bMxk6/n5+DOMi+Gzi1V9J8lifMwMv75VEwkoQDn6
JcMNtHkMuUFhNR3HfTZD/fvgibxVaHHRsVPORY4CEef0iSDRFJWrIWFOEXc5wvIHvD8SvTr3vnHX
1mguurKaPhiByzs9q2ZQVUDHJQIuS1/99KpexOrIF8VVLdy1xmgOgGnbNNikFRQ57YGMJRACFKGq
yCJ4v5by+toM/kWn6gnMXrQvTq8toyDM/JJrNzATjlU2+AeQlPorvLEXtsHh3VhQHNBL2Ob7F379
qL1F62PRIaOpTV/w9MJjYgTws6GJaGPojpx3iiNRbGo7U/SElTvlzzTD0w+e9OsRj/QVBQ6tWYSp
ZnBW0DIaM8ghfC4a4NQ6YmLhZDAvgXdEQ1zxB/n+/R/5xohnYgmYWbCz+RZVltNfCaegG1WNFFIb
VbWr2jTfkiWRr+eRPSZrmhuaGKttVkpicgaAjYHiTIOUM34IhCp38wLqM7EeozZNgng9SJtd8fs3
+cZDYRlkBkR8QtX/XNM3EF5Tx3KM2IQQyzAQ8rMT1VWcWjuhzJ/vX2t5q6dDHfm1vQx0pC6IhJfS
+V8V3sEQeTGWHhKovqqugsproM3ZRuBurdgjYaoN7Oipm0cjongkAoAyPtTa7fs38dpoQ/kG/wcN
TBPdPU6b07tAW+e40SIpkeHUFsdKzq6/buLE/lSYzfBgKGV+G8MecDWWegOYoiXZWOGt8IGniqD6
4AW8UWf1xSJ3EvDPEDPL5Q399VQSyzfqP5YFcmdIkclnGwsQG4x6zvx70DoUtYu43kcVCOBUzQQS
dJbaqS7sD02a9l976n/brtbh5v0H9XpkLPe1pKRbJHe+slI0cgysCcgBepsi34wzkgYvmfBCRb5x
yGdy7t6/3uvJCEkrfQYcI8hbaaaePofW6GH9jHBJCIb0nybaU6ukbXXG7mE5EkQADyIiqZHaOD7w
u/cvvvzlp0OTX8hERFeFKZFG2+nF3S5NrTqckLYOU4PVtYZQwxHtg7H3xiNl5PERYIrBKvlKWee6
6WwuUsMYANTnDAn1Halb5k4Tw3Dh5yB5P/hZrzcUrCg0wPhQUCiz6J7+rIy6hGE4LGmdaqJbpxA+
sTalt7ZbRGbvP8E3LuXRY8PhuXjYhHU2pfeFbMzWxnmDsHbezK1Ot2BhKfGpcPxoYn09kXAFBgv7
W3rS/LDTn0V+W5ICpGWRhply6XZl/YSRJ6/pJZY+kXwRlJ/QGPRVERjiMMzyt+yTCrBkItZ1S8G4
A2VxtBtElaoz5i0lmnDndja4VEq0wzFH9/rBPb/5eLDGo/hFaEp79fSW+2BE+xnxNVGsSn/RMeov
zWowd4mY54v338TrGYVmNO96QfHxCbOTPLsW/rgs9yFC0JwWxW3TZcSEtJUaf6YxNn/saX3+tXRR
Hx3T0SZPGB5n3L9A1ctawDaNKoBtowLbWLQs5H39H8ydR5LkSLZlt9LSc5SAQzHoiQEw6ubEnPsE
4kESnCg4sKe/it5YH1RW1U/3yIyQ7NGXmmVFBAxmgKq+9+69J4a99YuTxz8FER9eOGQSgkWY+h2/
COrbj58RiCDYQnUBXMA4cH6OkinSvBH7BsEftKsnYpaHOd/ZWhkDA5h0d35EQET8Mhy60J8cSyX1
BZwPowqW+C0pURUuv1oSOQEeAvE4kx/Sd/JOb7YDqKFxI80QPo+OIaneTD20pGNhGc25L5IWukwe
TUEbAQo4KH2oMnOA1ztft5NOKtjPf55/bnOfbh1z0Drz5huAt/dprQnDgnK1wkrfcKzbjQqZT6RL
i+yN3oNRkUfaF2lAwxAGVTabeb1lTx0BqWNnPGPsmeYrmYCm3VSj7dy3vZMabznzhXsjSeevjpPS
LUzJxSC6ueOn33D66gmDqXRaDIM550E6JXHLNDGJ739+Zz8sojQsKSlc3kn+53w+TsoozDPOm1BB
VAo9tyFTATTB+Ast5I/HKjQD1EcGcbGCU+TqM//jhsk3RbTgSuFM+xD4VdG7064t5zYmMtRsdslC
XOLj3IQgepOkhDklUlAmSQ99Z6iZaHowmFzFjwB7KCc6HaEeDGJKl18omX78NjC9IZBlTklUJqE0
Hz+mTW+b9EYkGkxupl3Ut4y3KPCCv/ud86KzDApcXeub9OlhoidipbysNJFiJ6IJjmDAG5Y0qX/x
1K5f6seHFlUISR34oSmS+eY/3o3Cf9db0FPeWNexD/5HIwppmYK56AinT6PJPg2NZiBCnsw1QCPJ
rO3P7/SH8wE2Ab5PLNmIn9QfRD0j/F9DLnwCABbKtgXvsXFwml0xnY0GWnjgb01FA0HCXPD255f+
Yd/m0i4yKOokFLHM4D/e/MSovVcThXnqGuA24jw5J7IKLyw62t0UEhj88+v9yaOzVqHOap8i4uBz
YEnIW46clmZLV2fqYcrNbzMe+1/8ov9U0n38SVfTNpXQ6s1cT+Qf7yqkEu7yeUi9xC6s50xAAN/G
7trZbzg1xEHaZlFGJGKM24bBbzkEC9bRuUYJBi3RRoBRGcMNvK3+q2JqZOnB4xEnpzerfs9kIX9G
TTJ9CZW4Zx2oWrrqrT4uF/Rr+nXuOB1UwzFxwIctlQH5hk/6NtWaqwR9lg2mv/BO2bw8YCVwOrUF
3TbLqfqbaoYiDEDCglhHQ1G5T9AAht9Fbshhj2uGgOuCOCY3YA4b4uJFJZz7mYIowO/MolsCGs9k
XpJQRhAWGz0pq0iv7Gc9xFftN3Wt31GTjNVDRftnPk3AB1CZTwN0RGTXE2VKO+VkzdUd2GIyn1sy
641U8+OotogpimMMpolN337XZYvLiQLs6Q3YBQf+8twyqWp5We4ihFZkl/RdTZBgGoX7WMcK81oz
aj5YTg3DhDJwaX5fLf5WAPJfxhp/CD/+aUzy/8i8E1as/4RL+O/d+//6XnYEM16/F9//z//e98gm
/u9/0bP6/b+ukUccO/4deKLr/6DqcFivkdhTi/0h8MT+BxZB/julCeUx8Sb/HXgi/kE7gR0P/6ng
/1i7GP8OPLGINiJwCKkx1inWRu3vBJ6QefRpBVrdxJbm2JyT1isRyfPxXa3ozval60qvFcobB2pN
5vdxuHR7ZqXW3tAZwVHMqlvRMpLUw+vBitW9UyzST53Y2DoVI96M9rOfZsVjyNRt64wLzbUVe6SM
owqKuzIIDGXcSu/VONcGAC+MSu+GSNJbJ3Xqo73UITqTCuIe/Kh5tL4Nzq7ow/em1fOgqkV/Is5h
uaUVImm6h4anNyQc6omiBJC+NCaZArgdZ+Todooqmtudpe+WNDx0NWYXNM6k1bpvKWgJ3OgL6sPp
StEmoHB6p+ximyCDsNcAJiqKcZ5sxQhURTbMjEky90MROts8B3BBemZ2AfvI+bB3U/FAqB7ES+rI
QFL+PE2DCPeGlZqab7QJ7f0GYbBOxF6vPtSKXuADrJSHWqDv8qYGQp6pR8Nz1nJIzpOQY2TCkXYv
+kZwO05EHJns1eVQO67yQCwgC44y1t3ICCM2gl7tLDUopyVk7IeK85QoseZL+j6xp6m8407EkjPP
yVj4UWuZ00aJy+rFjdG4EE4VxKx1b0tGDDImGDA4Cd2SdmMPTnYPQcsMEZQvCHJ60DhEOaRkairc
KMyHMCHRzXQJXRzyYvacJUmCsOOnMxObKTlSB9pQvQajflMLrWAe7OjPA35HPIVzcZCZnPdTnX+F
J/69ykmXThY7yCtz/o1+Ob3+WOmlh2JDnkcY4Fp9p0V7/N4FMRJW6lUSahy1BLymvk8xbcE0fZm1
uD1NnGrflV49kc+xWYgc8KKkNXaLRIEjZvioUVUe2sH6KmW9UxTldXKWA6mJX6osusmaZVdO6r7Q
ikvjOtxADk5I0hi47XVX+04aoLlpqqVZjx8FKbgx5IZOnSgINF+HpIxcZDjpqch3vVa4t2wGvkCG
MFlNMId7l73oKqqNYic0SKOl1XzBsbhfSkN9Jy4Sei7VE+QEjlhQaAe1PHBicpkoMp/e5L0+P+EN
458jKhX2lV7mV0gYm0DN5B2JvugRxlo8zLKFVzSj3gbtITbaMCr7zsyGa7fBH8BpwKBF6KBPtQEY
ZyWqpinaoVrVD4xaowAmpBrkaT49MrYGk2R1yVVf06dopBoe7DaPDrB8xcugVMZ5HMg3A1Fer3l8
9WNaNq9OT7t9WgNEvI5NZ9MPNhwb3OvQjToiidOXeiSS0miktnNTA860iYoMj/PjQFl4zYgyOvQ6
U8FsHW1VFFebybCSK0cOX+ecVAl4MnyuMJ3J859BZFmtCh27Wgm6VHIkZzfmxs3BtyaVpvo6GLEz
M4josrQ1TLyWah1jbHmVxa79ioPoHi2K47VVep/E5VGpDXUDuM31DJdsaaMb4su4qtNwipQHTgs3
VenuKkhgdNBBE8DBI9FtMeLENybHPol+lGdCxXmH76umcAN0JcRXg3Ozzew3CyTWRlfwhGSDrm4t
klRvQgnMWh3tHc3M6WAsjnNJ8Gdt1mX6WLP28wyaEYi+wiFOcY3xhFbODBbRQhaMY+3RXt3blX52
tWQnRbnL8awxph8OojTOYcf71o5fsawAUHXxK6P62BQ9YiUcKoNfOvGVVd/Fitlv3LYJFnBmQZQU
jjeJzL4KG8tnUPxdCpqZ3M5xAOZDGOgYQevJ68emZJSrtvalqIvkzi0XgJpaxmA4FMt2so3qmzXh
DMrrbLwlSjXdk+pTP1hqEyQlQMeMo3aMhg6Zy9NslgvkDMC+lnUs4XYvoPdmTWWpEM6JOgqIX5U0
G0xV7oE5PDGVlp08xAXAvQ1Rnd1BWgXDYrwABOAFKE5qT2Wy1aEjM4HEDM7jVJb88yJRAqYk/AaA
ab2qb2O+//IMfC5BPZeHwCwW2zPmb8RCobDo62LHSzftE2N5HoZeZ3ewIn+cZf9suYUPwXiAdz+2
Iw+xO9ymDYqCqI9whnd1kA5dEnSL5TXDOB3jkPmjA8EFUE5BVql+PTOF72AB3IIAmG9DmWQewc03
BXFXIoxPmVbxwVTgKW1yq4T162hMCePUeCYgVCYvVoQKzkwKbpLVx3NQFekOIhu95+ExwIDc2EqL
ygXqNNU6QObGuKY9bBDtZSxnN9WmpyGS3T7PlwNY7WxnxSlahR7iYKzX/ZEeeaDlhFD3V7NobaBm
MgWaI2ptF84uJM0VKlmzBUdptV8b7Ju0qF+GdtY3SlffF20jjiWFBaor9k3cHOFhbJJ2V/VFyBre
jECjyjuyaAI6Wt0xMspdUbX5fqhb9dgRAfDQadeDno5+vwyoovIFuYKZqkGFyfqqTV8XgU5zVkOH
1Oequ5A9Yu1D5Dx+0ykko2Wxz0Oo7R2purd9hsmQ81x9YI8w9zlLiFcBs9uqJWdiIEeVvbNBbEpP
aVRo2kqU8rdRNhiioFTozyRBlTd94zwaabIz7C6QJrC0ggnzhhhgNyq+NTCdZJuzb8Th15zvAsVP
94pqiz+bTiO+RfK97CUJX6QyjJeIiNJzmKqWZ6OW3C1uPF11as3ocrDlW1w1A2THpQkD8qmWJEhZ
blaWzL5YIrK8xxrtXcXTRGDslmX9eYTBOZM8PSfKaanTqyl7iQo2zPTF7fJr28oZd64MnGpnpSkv
W2xcaH4RZ/A8VfN9mVp3UfbFLZDFuDmZ4+4bDAVfy85uCLsLxnXVv+g9m+vQ+kNX3WCh2suCoOSM
ALlYTiIA18u6aHQX3CTqUZa00zWme4nTgPyLnk1Min6i2hc5xN0+BgaDStC4rWhZlkMVKIOhBt0w
tEFS74zR3VZ2fjSTl1la255M/N1YlO/ZlN+oYCzyWr+nhHqp1fhomf1125k3TSVvOx6YZUwQfzVu
5be4iALseE0QjiApGVUfFI6tXqnNiR8OiPbJGYmu8zjaLzV6HmaFniqg3eVF+SYyNNFxIt6UbNSD
tuVxER3bw1CRyiJ516ZNpiLyZSerNkMGjwMBqIWuydb3Y1buslJ9XWSNQsfSFg+E9610lGRv2qXm
9wqB1HIy77FxINpV5z5wjERe6oZ/y5Z19DVRmrc4HtJA13N27CazThacjZ3bdwJ/3OzZcRNukyY+
F7PyPXYdKFUjDxfaa0M23+bYPc/owt0p9onI32bwpmdpmIGRNK1nrB/Lkc0LBzb+DXKLa+kna7aJ
MsXzS65BCSfbvHjhQVuTl+vnPBuve2F/LXv1vqCMuWbS9p3TWX2scEm9GI1xV6gdnwop1RjHG1sh
mV27E0PLowSc4UZrx4uMtQttUbjtxa6FWcCXCLvDmsrdzIX2qkqyOMla6T123gm07vceraheCJDe
XXleCNTfYtoA44NoSjXj4iyGTMfAV7s3RZ4RX7AU8sI7dSuK/BsK4KCCBUASPFiuYc6mwLYc1EGD
DsajYZp6ZYQtQHvTtAKpRqeqbQHqISK+7xQRq3jK5vkRwZ7zBX+M8OIKnlmI09Jfm+ybFffIL0UW
PoQyFvNK9j5JxBCMHCNH9tuU4CESrIC2faPOyxyEGS6KOIoPOATrq6rK9GsqpT7oquy1D8MLbcjk
NWwgK7HTd/XgBnHNKdyOc3mC714DAcsatDF8Rq2iA1qNvfmOXFnfFyPzHifUlUMlkCxuNNTf5Ctj
4nPSUZ4i6gZFN9n3ieEoTrqbD4TaZylGnqqggrL6YzXWzf0UL+3NECJ/pPNaPCgzimTbkQC/ooKv
g6mqe2C3lCec2xGwY0cjb1JxoWVFMLPgCL+JOom2XaQTiM2avltGEy5hAd+RdXLYRGNV+bSl+2Od
M+6Upv5OlI37beb9GJCVpZcyp3mZyjQlXq5TN0B1X2ORGaQvRdqBwXt5LKp+ARjj9M2haSLtcQJ1
5+NDrnhI3earDph8m7XzqSQlKt+UmeY+NjRAgsFVUKCrnUPAtB77lQABJcRCqHQxzF7Pp3pCMobQ
e5SWczPFLEn6qDn7zCEHt7fHYjPUKN73QtegUXbz8zhPAAWdGlUhGXn9TerWiDmz6TVewB77Ep8F
ljM5yzPhAeFNk6Fha3Jn3s2slEFXK8s560nS1pZa7uZ2Md7oB+nb3u7Go7aqAj1hshLnUieGoyFu
HsOLpw/26He0mbZ92cpj6xIx7w5UxUR4PDpapj6Pg655VtuPTwvH7Sesx4w8oG4Sd2EVOw2U6R5Z
XO9VMU4DFWkheEY6xiAZ+tbXyhIFnRO255wETh8gp3YjXR2vnpM2vw1GN3rSzfRzY3S7RCsvk/uc
l7EC0aZ4chh3rTjXMMgcqbCTh/peB7WD/l5+dcvW3I1z5NabcA5HcLlMmx11MoAqWSH5qpp5iyj/
VbqK9QhGokF3imYShGH0POur0Nqyy6sQFeYOCm0DWU6xzlksH9LGWg0XpnVg6AoN1yleu4LnKyTN
e27S9mjnfQ5XmKP83MCC1tc3kuCdp0yrs7veUCc0CJnmIxq6NSKUSQgdocQX5VXlWNOZ6ny6lYPm
Bl1fvgxWG+4GZFJX9ZB1uCvGheUoGk8OMx1oIWE6BEVmhSSrLinCw3khKD/F5xFz1m/JUtixgywx
9gox6Ob1qDXhi+gruR/ARAbJEFpbF1zKRh0dZ+9QGHqOE4N/tN0NMqvuqGjcSzjY3XFgnn4Ih8y+
MyJ33ktngOk0c9r1S7lYL7p05zvSU/ULBzXriyGa7npSiaTnEGiMN5I1nZUoNr8pJc4IoxgOkVHL
QDI2uivsr7EkcaG+Je3sa4TfrJAHXV7iqvOEvTe68svMnn4sFiLnoLkVe9eBA+zSJ+fYOabKlSst
5S7XKwiENFmfEN4lviKj8itPJFFHAkUGMczRldID3lPS5ZIWRvTCF5+eJsPJvpuhOREDBA9GZG7+
QPgGC2uKEFuqy4NOVgyZGOH0FBea+1KOHXXLqMvXaUjKA0if9K0xkY4ubqix7AwESpESVlT7udcA
Vzv4s3uZf6vAJiVex4SzZVnSlsxr+rlXAwVSULMJhbHEr2sQ6Ma0o+7UxUakB7ZQVG3XNS3iXXMy
FeAb2lrXYTB6Mc1IyTj/5/1rRIgF5BV1qi6lXVa3Gfe4yyuOjR6BaITcG+aI26SU2g2GLvWQGAWC
0VnIIqY4j7WzPtXGsw03/HrK9YnTg0avGMyfGTdeOYbjfU+c/+IbXDIOqpUkmmj5k1Jr5gH+1HIp
2pbKVHPgkDaGqFx/iskHi0ekAJtRVs6tuWTW97CPGQlyJGYTE8jAxzaz6ZBbqXNyTCvZwRqfa0/K
WPgUovoXci71jTqFyjaTESW01OvAkorhz9riUCxUlEwpgVajU3VHte4dHCwu3o+TjT9P8Sjh3S+R
u9wWodQfq4zaoihle9KbkJYNpdWGbc51/JBemO3Fwm78RM5U1Vq+tDs9FO8W3KihdytP7SuV1b4s
PJNGwDHu1cEz8qo+R3U6HUg5Ok4pBVOqnMrYeGgagAwSrwGZdtuOcqSP2vCOnN16b64WWllWrde3
DZX7ghvUbRp/FsuuMc91geM8ydkhQ/2OuzjoVvdigp5JZjNIexH7vS0PoilJmlwfgxc5Dh7Y3F3h
jl4fkpiaiE03XkccXS+zcFrfIkPBSpc1voVIF7b1ShqpZyU5W8yYwMTBnVEEDeMSdXrKcvuO8Epf
L8Yt3qoHUy2CRIYDs6H9mH/PWja0gShzO7Ev1tJWD1SGw06dxG+YPjApqRS3g7AwnvVGQmtkkMvJ
jm376PaZ7SVpuhVq9HWM4u+GNs9AprO9NVujh/yi8mYdt01i5k90L7JNTWNxQ4RovHHFvLOmpNxZ
wj3hFqBWjK2TMKyvol3PdEMSwywWLid4FWkApafJnnCXxYvhpaX6HUoLEh8i0y7swIFTz5On4Rnc
OygSEZHQ79DpWMYmSnQjvynWBc9CRI5sLZ19UWrmxrY556mWeDfqzE9SfUt3LyhcRG1iyQA3wJOq
4FNNdej3GYV2ZF0sxjIpLZQCpmaYtN/0yblZhHYG441k3n0sUX56Cpq4S0MJuOUBfSfFxdisz2OF
b4zLzddVNFObCOwX6sxTUTLSMr63hA3r89YkgpHzC+RPW0xBblQBwtt7E4qLIGwbfs1pcqM3R+wl
KRGLRGnkuA+LsvbGxElbWUIoAEip2zROfVrEgPY+Fo9hbV2kokUgABmJdsqNoRu7vpre1Tg7Ryl3
3OkTpYAdmEB6ALhANp23U+6wuRfXaXjVxIDo2iQ8jnlz4aR6nZk0iavcToMyFK8ysUZ/mdc1PboM
ZY8BKHEx/of6YZ4rWNAi9JMRJ49uLkj0lV2ZMkPLkDhuXEqYTdVI88Cu/5QSGRXSefSHiagFYnen
xY9y/aBR91Mj+pVqVWCG8XYlTDg21rTQ4jYNnsYiiAbnSKsGf3XjsPw01W2llNm+i1Z6+cr7IBWJ
01LlGQqjSgsslqj2o1PiJC32s3FL55Fj/whDHdaBGWJUm8cSIxhfDT2w7phn1LcobjcdMlcvH8tp
38xgnGuVDhYSD4/m3y2kkG2bdbxryAm6YQUz0GejUXYYYPPQbb8shrqzJQN9G+a0oNBrQjZz95uD
otNI0Rrn2fe6CWnYm0t3VjFe3jXtPPhOXLO0yiEjMktET1iJTL8y9WRfh6jMiOqqN9RB77ne89rE
PN2VcrYLFrwcUK0YBh/zaojYgtHoMZbSR6382jRPmsCV77o3jO09mbhbR2KAHXr4OOR04nEzzPsw
uXIT4Vcw0zajCeCnPrqjhmvxuda+I25453A+bloNKqTSitusNMJDZE2nKgc6icZlOU0MSJ1QvS06
eU4tWq4s8l9KdbqhAjkU4/jcTs2VOj+7enspJVI6OkxOMLYcCUheeE6TdBdTptg1P0qNGiQPm2PS
d2y4k/Ko6OdEqZlpIO5X+xMZlxtRoOki4UlXiY4truasPCiJ2JfNEp0a/tzYH/DQEIV1W0Tzthp2
SnNl0qfiEGQehYuZNH+k77DJwkc5Xg82K4qz3Gs6kDn6Iom7G+iL1h0m3tmmZqRJDZcdpvmZkcom
7k+pfGYp2nDmwAXEWAOLh9NcEk6kkzn6s42zeTFubesRHJ2n6a/W/CVrHxm3UOxRDrIftKy71TKd
ANeWTr1txUurKgzYNZQT3V5dDwtded0p9NwQzWQlaxr15POktJonqvy0qL2zqRN3emhNQBR9VGWB
zrTGy3XxMDA335aTfjGdfj7LtqEO0THlLN13c3KOBTnApt7f5JR4ILVwh5s1swbOL74SC+1UheND
XbfXMlUOoHLWp7rkJ4vdgqKxa70Y3OGViTtuMSLDT3tnH6uUoUysMWuIu3Qx7cBW5hGcWkd9N9vR
Sdf6t9IyELIrTe+cjQJL52hGe9FZ8xXtLDO/w+n9nS2I7ofDScaM+yu0hFgos3Ul72ZxE6bdtMPa
ggI+o/HB8stE4yWMogGE6dLejeqjo5TX0AY2OWZQr40N+yZZXPtQE1WIC+rezOgO25Q1UrJ1TIvm
L2H00nXmDDLJ2nK2Zl5HCBWUdWaiDoFQ1ZWu3y7gsPHrZUk279txcrfIQsZAm5wH/CS+cI0TOMOb
un4am4EOd/GQKc6mHTofuprAKKcdx9TcjgUTtnL5Z9NUn6NjAvt4b+Ui3NIKT/e41gjo6Jf6bKqT
De6tPicqfCw0ZrEaX2oaubRZkJa4pXtX4OWmlrEm/i5HMYWOu2pgmwkLekou9pFq9S2rGXOOFlM0
PeQ0P0fhKdWtfp8Pc0QdEkqcYFVzp7nOS5pEyaFtIThoTYLlFQHiMXEyL+Zb8Jj/O2diAQ5FUmFW
20qjYFqqiS8Vf21j6bm6U4Ys9GZEUtOG71jbl/RWd5o72pj93GZf2QkHIB5CJ6k2oE6hK9rKq8XZ
MHOVeM/hoQsUZwaXPpMhP7nDtJWCwxGGM5WDhei764hD88Nslw5bNXBoqrcLPMl33IY7TR/weItk
R/Dd85wr17QSHjMr22NZ2mu1uAOmDYtV7elYgUbTB+u4xOLO4FjXt8xqETBv4s5IgkJ2j4Usbiu0
H56xdCbN36TzCqJhzlrb6YFljkOAWfa3mCP0ZklFs1+q7Es8h5wQLfarIeNchTbnndwrZ5F3DsIj
Wg68Tup8Jm77UVApKrTfd4nBqSkicmpLLY/7XFqHAlmhl9Zm7DW1vA/JDEasJZb82HZZsXPb+Gsu
GOXFazwNO2Gk3pOddigXxvBVwUlYnXnaUuCrAj+qE1a+GmVXioNqmlqAGUKhlPHRHtIjLbZwO1bD
vBsk/mFy4CBimsauWhYvthv+zIxaz+7HQ1JJxVvyRX2MCqEBdLWviczldGPXrrdWKPirsd2XxEkM
zFq9RKwjN3nHTptAlCTdiuhceyfL8XtN9OOmt9MKGLuhbZc2Sr0m08hDmq3mOsuNmyQduwMfDSh6
J4pD19TFMZIG60099X7YN/3GaA1nb2vdWxgv9ZaGhe6PTRj7SltsJ0W75+W7bRJaNfSxYk5XuhbI
pWO2u9AJC4FGvtg5x8dmnEcqtUaexlxNv9mNSYStjJvjUsEYmobepIM369uE5C4cfaoVJEuf4D6L
x4OcrPag2CLlRSwyr8qa9XgH1VNP095bDUS+MU0t5jrUDmpC87VPShk0kfqNOMZnpeBMh1B+pw1o
DnRjzD27gUHQifolYmR0q1Nu+IJm1EVMZhnQNko9XeaKP5KxfTYWk3lFNah+ka4hTG56P/fNw+yE
r3mvKluzWdwrjoYks3SMvhOcdbD6Vumhap8rCuBENM1JIablgE0ufSS+VVy1fW0dmp5+NiIwOsyz
equvs+Slzm8qWy93idtV3zo8gftJh8mny8j9Mo+t8lxl5fSSqOVCJFM/0/eM6P4X8g2ysk2ps1zX
dnwzx/pFIe+CpiwfQFRLdT9JA/ybw8QCiemmnCROa839ltWGH7tDGTh6Iz3a0Bx+ksxFosCRoeAs
jjM+NfODmROJ4eijfYkSU/cLp360Xc4zqS5QF5jhELSTWPZR6c4P3UTcliDv9hHr6rnQ1OSNIUqz
n3B8QuCazoXNdwh0YjckSX1wyI/00ibFhoqSJSTgdWPg6KQJRcxKYQToC4tDDE/Ob4wxOVRxukXW
la1dr3MV5s0NySnvodXmAdIHVrR20VtvjDk24Ilofbdujq56NUfqe0f3IFa0rYJStDPKtTfF24MU
fyIipDeMDSPY+1Zt+12V59Ueu77xuyT0b8mvfiqs+iDB+kuh1v9E+dUKf/hr+dWhzd/Lb594U+tf
+RdATgMrRSNZhf7FW6Ajdvo3cIre9z+QKQKjJ2YdMTtJ0f8RYNkO3DnVBFit8rcc1KH/EWDZxj+g
A5DFyd9BzkUU198RYK3qqv9WSlpk8pK8hEMHcRh5W6gwPqqv5ma21LCvhsBhlNhUCDHmVE4M9Cce
sHnJvVytf5Um+lHxtV5zpXXovP+8iELVPim+etuKWZnrlp5vm7wzoC632qjdlUIMt8Oo/iru6aM/
4ffLEXrL/APxG4G7n8SgndqFVWbINiiR0+9akwUNa0pOvkVt/0J4+qeXglujsasbOqq7j99m2Ock
qWgZQUKagjrHcVcjfD8z7yPPOPtd8fiXGK+PuuV/3ZdLjPOaNacRnfvxYm3RVOTkVS2Umya7jhHy
7hL2vjfJeIdR0mj7TU7+8ka3++ZsWhhO//Cc3/7+kPyRYfVnP+Oq3FOBPsDT+2eY1R/cXWzeoT3l
SkMKoShO9aoCZ1KEannpUwo+xfiF4+dPr8eoDI8tTiZemo/361Lr6zppRqBSYc2KRcqzPRnDSR2F
OLngN/8/bo/LmAzHyXQ1PsnCJeL7EQA0LnJHcXziU6RPQ0BnbC2s/eiKfP/3r0f4F/Yi0sl589fb
/8PX2c51Uq4WrWAWk800y9Zu1TF3z4UeyZtRN/4F/PzLx+fzs4pNWbUAwKnrCkRe/6c3P7foPJoZ
Mq6SIuuWVJF0i9oRpwEpP68/v7VPxkSCxj9d65Mb12V7TUvGw6Cmy/aQYWsiU7MlTzlLyo0SRT1n
cp1gj2q6E4TPXNfjZF6FdYjU4+ef5M9umgeWwMQ1qZdg/I9f8pjOqAZhRgWzW5T+7Chk1btxcqI7
P375+aXW5+OPKyv3rGMFJTNZX+lHny0jwtLqyFpiGVjxGg60cpatRZvuu7nKXa/txq8Rf7EI4ogM
kZ9f+vPKgG/CYstZ1btkJdnup2Wo1jKXCWBUBMVTEijXJsjiF2XXz/7yC1vMDxdaSTUWXh9eEPyF
5if3QGR2CAoYWgfZmIlNxXvkdaEjYyZIiFgLN3IO5MYZgZIP7Uvd5f3u5zf6w3cMjcVkOVitKBg6
9U9LwpCAGFUqmlVmPiQnfF3qHsHMdCViVEky0r6NJLUdIhKwfrH2/cmNs1nieORZEmzG63P2h5cV
aVypSYJGgiEvmz0XoWnD6BVg8AzaQgDrQKE47OSAFsWIKI9/ft8/Xl7nYIBJkC2NTfQzjIlpqIsx
ANZyS07OFl7oQiyIND2jhh4U6DkYYWHMtD/trhP7iuPFr7y9P37zJunp6Mexea3xo5+++TYvCSPr
ZB1Mbb1Kt9NviUnsnbTjcqfBYmMSXbrbUVN/FUH95xcWKlESKyvT/fTN10kfMSmoUbymGh0nt3KD
jHnvbgEWcB2lvfk4zcMFHUXyi719vaMP7zNw29Xwjj0Twzv7+8efXJ2hVDIQIXYpFa2vTDD9VAGK
jzwJPMTEqmxqJMu/WK/+5G4F5B8XiAK9E3IFPl4UgUXaDSTLBaWcoqsxRknZ2vpwqAsXqWSra2R6
teK+dK3kF0/4j1fm/Ck4HboOnFxe7o9XNsbRmVp1LAKjIL0lzJTqNVKzp3o2V424aRwWjXl9BNvz
54/2513e1DjtavyulqE6+PY/PVjMVAGbsyUw5WN0mY5kTquLZZzIoEaK7SqHn1/uE6+G1WPdbHWN
nxb5DaDyT9fDbqi7Mm0Vn7p7eaduI7hAjzsCZ8gr2ouJkLD/x96Z9MiNZFv6rxRqT4GDcQJevQV9
9hglxSBpQ8TImTQORhr56/tjpLorlYXK6tz1AxqoXBRCHoO70ezaved8JzZ8hBByzNPLZAmzKx+Z
/vPARHnXZmUR4TwUJznJ/s4Q3XiEBzT9h8/iX5YezzjRKhwjFsl9XBl+/SzQD3ZpHjM28SS8LmOk
uSpo9Rw9UeZHlFPjhr1oOPyHdwb/HN/3lyUPigK970fNRZX5LwCPIG6HpLS87dpGrTamO3bLDwu2
SvkuuFG31xDNan1ZAb0wL5Ihyx20gvniHfBoOOVBLpOdHzR8yPJrn6Fed2nYYa/cmiq2sx8qVibB
Pw4f0dc4VVXIYLWXtAPbxgVioeu0PwKzr90foz039ZEW1FJskah0xkBvykzMXeWX8XIOUqcqj8qx
THJ8bNkPpDqXZXXtTE7w1AOI8x7joU+TK5h6ndzGjTMjuU1IIAKqNQzP9Ehn+2ykyfiwzD3CF1xY
MAxrlnqGdLLF2OVoRQdTO6yDyi4KsdNOucKbIFfftk7KQLdqKA73dWjN5p0KJvFWyAbaklvjD0g0
goeAxrG7UWOY3HNBMunHVcM6KJETjAagmvXtkpJydTLSNjS3sqw8Wg+LNC5bNgFsEkPVP4VidIj3
czsyJ0PKilObYIKhEzxytV98JHR0xpgBtdjIo25x4x9kG7XjOekMjZRId/61DoBQbCfuQkwpYR/J
QxHGEjamTmHwpsIxGmRKZc3UfeTfkltgr5CumTy2PrP7p5XiY+2Ebwz0UvHHkNpC3uTGGDqkc3mf
6ye00OO1anxv2k/GEI8346hXGKOSqdoD27TQkFsSNzP3BgP6U+ZeWgtouZTvBwopyP1rWtvNO+yG
oT7YHWm2J8gCg9rwd2d07AExkeMQZNDy426pL33LTGFqpaZsz2liGjsTWK9x6Fx3SPbWYsAeqO2s
Eht3mEEhoor3rn2yXAXtsqHNthJKZ74Lg7EbwVTZJNO2aRrY+8nTfnHORI6YKTXmfs+h78S7nKIO
jEdV6WlrzSnDErOnB4jdXBGe0ubJgF2BYE5cKC1o55KyVp1Ci8b13p5l/IZ6agLeZpJmSm5oN+0A
ICbhpvCX8c7BVRxHGTTidFtN8OiR+xtxtYWG2qCFZIS3E91g1SgfHFHvBROvO6dOMj6GbsB3Pffx
sHeWbGi+2Co3yq012MT0mbBhd7Zb6OoCTWBWHSo7H4KboWHqy3Sr6a/RHzvJRUu59RX9vAHHoYFi
grLWjIOvcqi7S7nQaduFDGz4CXQ98d3no2LGVM3YJus0c6BLzBbS9VrlzUG5Ir4VZddXRyqIHKGc
BEm+Mdu+pRCuJLi7mmMP9JHOBw4Ymqf3Vh/GD5xnGGuW1AQ87YQx+mkd014DfOthNSpBMzPbsxXT
nGRunr2k54yiQjVE5E/hnO1rM2/HWzQyufnZTgkW2NHkKD+vAg/j4DSm3EMdR+9QZl0z8HaYKryd
pdeGt1x86H/LPnPkFVoo/RWRo1Wcw8pUl1lnpd3OZjr4ohnewNDQaoy3btDEpzrTCG01JVu+gQKJ
iR+kno3kpzQtTJIuIAYwmXCSt3VYqXlXYWxD/4lugxgeNvPXfLDNZZcsgX1llALpDJOm9DjOdGxQ
6wfmzUBjOM7R4qc0mglGjN0Ubq7L5SnFxjJszBLf9wZzvdU9JkbmMaOXPXI9wGmMeoLWH9IbJS2s
UgDPZXoGpSuHU9NMPOZIj0J/T443gpTELqdp784SB0tZhe61CtnQ7ouxECMlCFL1Qz7AP/oi3NYd
t6I0iYCZZzd4q8wxpiPscUXeZd5KqvSIGYp03o/VZnDk8nUAfMWwpbb0fkFFUjMB8HE1IMbHTAOU
ziIFug6XOJJMr80TLfD8pp4lEZAYsxLnRplCPfhm55vHxFQTSOkkvYuD2ftW1RU3rLHue5LIWTYE
QjLZRhqDQTdKdSFD+OpKZFtyhkS783w9we/WjLtIZcOHB5Y9kwvnzjThrZqz+r5IYnfeZXGd33pd
XsPQbtOZfnNFo3Un26D6qptgZgOdPeurX9fJSx+O6AUpEOmbeYz634qZevIEdauZTwXPebIntHEu
Dguouv4kwiJgbJL6nOnAZDmOgix5q5KihcMbmFlyQAbn34fwDBj9TVaB5TCYY1DsFfweFF+LUpEs
54Puh/rsIW7Ggt/Ew1cgmDk4+dSYLpZeAGGFPVkisYR2sxwI/UJXVDe+8a3rl+W9rhyNHDcHP3dU
Sxxs+l7ZTF7qFGEJmWxMBWggVdmeJcW2lMCcv1rCbupR3MXGm5W6w2ccOLM8gQZEl+X4yFJzS5r4
vfIcRXlqmPYZ8Z9Af49Qvdw60AvbfZzHPBhT78ABpDrjJFrpY6vECMb/NphWdWXqOTUJ2tVoqCjJ
KDp4Pmb7eUpJGjLTPnx2U+DC+1TXAIXwArb7WXbgI3VToW4owmx5hsRnyA2JzAXMDW/CS8kw1btp
7XbG69Z4o7vzzYIBeuLNcuDmOuFOqtL+nDbNayIoK3aO3/jXhFb39P6r4kklZXru3bQ2t8vUiFXG
5dbP7lgS5mgg0bziFOxHXFaz/9yIticRpGVquNHKZlxNShKY6rmoBgZDxGuZl9nQuv0un7v+SljZ
cpf4uv1ezswXI0TRQfd19oEcHyTO2XbjJ1byaqgk8A6GCqz0vuqW4oYRSDkB47QXZrdQIqlHjbJ4
mXE0njovUd4u9mKcfyDGw7uZZS3wvpiuizJlbb4sRdFtO28sXuI4x1Ai4b5CQA0Qnp2bUa91rkPp
4wu4v9FECXcx+0qVp0poFPbTEhZnc7D090nO9lHCrwBUKhDWbUo+8Gor57o2diPCkftE++PeFmwu
u4lJ31s8mBNGGPw605bmWnirmTOnx8UfLZpQUEMQERmIAaBO+3O5pWIKzk1tDOZm6czkMwpoPq0+
YOyCk37prCvP8vp+XyqJF2vpnDDBwhAwRxOlVScHyzNSf6uF48gLw+rrjE12RHHlIojbVFqze5Ve
V4tja1vMykIeaDOyl3FO97ZK5HxukzJ8mBpJrGHwTDUpnCuyoNYhdEqbyhnQJGYL9j9Xy0fwGNlD
LbIliZKuATUwSL/PifAR+t5ASLgTYxbc1Qss2m3YxoBEUurv14lClIaQl9p3tTEmd2iK+oYCv6we
FyIK5SsCedyLYlicPdRYXV3V0P/RjTCmB7SPbLOguk3a4bJHG3CJ6MWVN6Pbtec8xl2yl34t2cUw
G06nBd+VD2R4ro6LUXnI13DGgiAcndXq6I5eTe5L0yCkAT0DOXtqSTtn6lh2+zQejOq6G80x3QeM
nOBGeP2ojnJq8RLjQwLUTI7i5OAgFqI6lTJYKli2E3mONOAmjEkumH2d1l1wQck7ZMe8I0I3AosA
WXyxg+EpnAk4jhi/4XHIUNddwHkw+0ORdBWVTRAnx0YNDpTwXs5YknTqHI3JaTjWUZQqUr+s/tlw
lPUiCW2lLkoQRi6Z2znbSTHmJpNTVMR+MHq5g3OdzZFH1IKxKQeGZtGCtBWlk0hKjSNAVXvfRdpj
oElnbt0FLFg/bCdMPGLh10vtNOQbmku/Zs1T5W7soQjGnZ7jQNFOlfnnvB3YE+3WApfaczAesYXL
Eft3yM+sZzt4HTLhzyzPWb8YqUDpw6fGzueLaci2qZxzvXKnGyrONGszhGoNeNF2NFYJW+lPw3aq
bDOOuhWZ49RZ/jQWNIMOPUkqqMRUWF9lZRwCaZd+5kTN6JSPOR2Wmlijjic0CyC806ma7BMZLwNl
p6DUpZy0BF4eYN0CY1PlI8kI2jZkzhhM9cbOC1IG6lC3NYVw3eWnYLH8g8kkOUQLVrjDDZrWALAq
0AdUDaI3qEImUoRTKCvJlrGGnHfzbKBNabGjPI6cXXqbdthIlNDoQQ1LlriYUU2Dfi2oM8+6hPSz
syn1kPNTvUYjaTu3aaX8u0Sb/dlnRotWeIq56HmmnvaNcA1zB06JGtJevfAUZ8Ygtgg66p0TduWx
Nnp7jJSh1ENBT8SPfF+SsJ1LzKyHxkIcvbF5W1mY/qpPROsjvZ3EXPSaT3Qfz8Koe/Miz9reeQ2C
YT4Kgj3VLi+z+jlAjSH2KtbVS84q5UkRSnFW1L4jt8XE6A9QMifdFtxKXUS9IBJ4dbItBz8cUImg
sk1QQKYJTnbSoPN9bSvm93IampMxk3t/HP3KeOE9xVHh+jUuyU5y943qcgzPc6PnL9xiFQf4giOA
MFCeMsuwdX5jLBCBO7sK68hqk+WidQNsiqp1jAluvw8tocx186UYoYph8HZD8gYUn0cEVGrqmMyL
5abpIM+z+5rT/ZhTJ/By1EH8SmgPiN2LHwyvdDviReiiRrDFEUALPJObGs69RAcBE2tbJwulb6rj
6lLRPMAtzGztvqjMjGWSCLY/+rsq4h6T2ZFdltzONI9tdwxLB1HfMg2UdKms4fNgXKdisXA5aMpz
L9j3A0dOx5VObf3SJl8T93z61a1wySA6zcz7MqjQY7ZJE+zU3I9ID+IedMTcGv25z9wwPAVkGhCz
WJmgelEg6/0g026vIIshk9KD7e4sB1J05JLBhoKDixEocGfyW1RnxQK0xevJFEtQGaBGqK1nT+l0
2gMt978G/VhfZmIgbcOs0iDepGmuqfCaOdQwI4LB3jp+xqnn0BZJbphHeXdCLfOE7g2OhYCPJdjY
7CGMKAoqH50cjYsLoyrnBoUdrK8oK4102jXzgJhMjoO8xq+n5hMgmCnZM2jjrct6hFAY++wAZV2b
+kgEmnQZN3hyGnGoci/FBJAAsuQdjeOvAfzq9YIKWXSj8kr0e1cusrtRntFnb2VGBiRcLsVevVX8
Vcx5bCI5dqqa4cMzGS3CU5v7yRx12K1AI5M/gCEiF2a7K+FkLB8wyIq+G0QB0q7VcteOMaSpJlDz
Q2DiiNy7Vjyd4qbG7WdoCrqNnjL9Y7GlcdRQpKvIS3LOJDOT6k0U/XKZGGphG8FeMF1mC8GcyPls
1Lpl0fTWNqPs0JfENVaIpGtfoROzegbfTcA2DNGmiY2TDGyY0A75J59jU4Pcajg9+pva4ASPXAel
O/JKP0XNx0FGxFhu+8kR+iwj0bYwwnZfUhuPW68J/Wy7GB149RhuNKWZSJz9qGa33RqOrt5FafhX
MrQXe4/3g4/E7ASUBDG23tbjioWgPqFDTVgOTcqIZdB/92mHBbsAZxEC8X4aoX+EwwQ1AwHvj2Dx
qdC0SA3vXi+Vcrl629ZZqyUJNjkz6s/+TGIAHjzRzRtXQYrYkpk94GEL8Mdehp62X5qqA8jBVpx3
aPUaQCLaWu2jvKbDOOxmubXRDYc5lhgwXXtOK7zg40CuLXMumdybVGBkudRjh0x/6GERkps3MIRb
piA9wHFOAYBUAVSNpDWmbrNUpoEidI5Tf1cgSe65WnR2gru1CEjVofQ8FcSCp9s8n9QVvQQfsZmO
pww1swupCGZChwUgsCsb20aGQJ9JX/ak7V5dpxS1PKiN460I+5GIH7ob8PtT0uFwOGIIfbCqjLt6
bGl9ic8K1wJmX/9yEcZQbHJPxu8ZO+9zNXjBfWcABduQzEDSaCZGJi5LILuv/Eh3PqOmax4IMOw0
GsU0fk1nEB5HGc6GfUy5SXKi9C60klq2/g0V4jIfvTGr9C3hNWjHmE2SG54L8CHEONQde88SkBhT
5kN/nfdJivMf0eWzb2UryYLK7M2YS//ZHFpM0kuv6FroAOtAX3vwS8qSrstFQ+MmBUrrupd5woz5
SBrDkp2AkpgPHUfOoxjxK0QzUSr3GJjN19a3tH0t25oW2Zhmg7M1BS88LeWUHBrZJt4eC02OZjGx
GVvTK0ORuYgXRoYHyXFjb8bEAcqBZzc7qN7hDtt0FPYRGrvl1kPNeprzuXh1MOmGnAyG9cz2odov
1NCpd+zj2SfJxKeA2NJnKFjvXMfSHZZqqhFaQ+T4cEduX5PeiPWGWzPKezpk5s7tHTo2vb/wQYvF
M370XA25MId4MA/+jE7vIlswfkYkL+AWCCeKKLSGkohq7NsO11No/sfZBEUgVSbzremUmnai0817
ICz0Gug9YhqXle1zdS2WERoCUXzfKqcwSFZyOI33ozWazyoUnBC0MBmLuShRvuZAOQIiRDT6QVsM
OAutvJxYsSEXyQsP9OU+aRV2bZ/8g5Wt5w9I8p31mcWgNp45mKpiz1pgttfIUoM4coqb0lk0dUwz
kJ2cJ70dH2wSsZx9mofK4FbmcYsaaRf/YKvDssd6SK6LIkzefCNJkaCafY4wzahzPrLWV9MBBX1o
kkbO47BRglSHjdHORsP8HqQG3a0xVDsm6vAd+Bg3jUKPeLRah/sUMre43LXjEAK+6BRpponXIlas
Sr/DDj4234nMEMvei8fpS716YRHnLASE9EkAGYAsDX2yhqqj59B6VXUsevp4/ISefQh0jHxI8OJb
p3Bk0/9Kw6YLd9UiiMfAqOaI/bgoF/pJMqR0qsOGyLbCSucMpX7PzZ2dwiJGQTQNbmUby8fGi1XL
xQXzrsNEYBzLA4tuuDEbLsQW8RBcDTNrNRsuJMSIWAIimJe0p3MbLKu9xEgwK9Pgra5TqVJaUam7
PNDLYXgWmJAy0iWmr2Hiiv7Wi5ZOg+2ljypUo7txc49w7YF7CNGDmE3qaCaegE+brjGkz3Ee6UiC
7nnN2bBoKvliPuAbQunou0F7mIquvefdsSROlTK9kIyqwsgfl+HCbyiBInjn7oENgZvMOC2a9Kaq
DJotykkc6dz4JNJWicAVCrTXxcxbbL85UlmYlBZLq6y9tiSd95rymRtNkAcaYeaCosBaKsvfMAEd
1eVQZPONkcVxuCe61u33bPRjcwk3pQoOweKF4VGPZkVVkwwBBl8364a9bcn2O/3cghvQQkzgNhnr
9jj7LBdIjIRaH4zWLu8GgDvV0XUTnAHIfyy0mir4XtDNhSpumP1nz+nc5oLoj+SK936AU4eE5CaG
4EdMB4dCvJFFSqwWRs+a/nMfi8tsjhM78lz4XbiMgJ/s6HKlSzRAdl3ziGysr61dxWsE/Wp5JzCv
+AJnI+UWAo/0KQV1Q5RXHfuk4k7O+KAzwJzbZcEOrRemQVs5BN03I2m4bs/0HWLQR0RdbQPfrftt
Pk9pHknAGOo4sD5+dHNncR0a+7q+GnKQBBGAfPvFHmW6euLq4MUrWvtO4D/AhEavV0WxrXE154ld
7JM5dd78voNMNWOnevSwXx7wXdFKDGMDPbD0ibTggPRi6E4pfkyYUFStKJmmb2gbxmc9TfRJ4gyd
t9FPbXmogHEzHcEoKvD78v1BuZTc/1VYlt6uqZsUrqzBhOsA5CA7F56PYDtMljY4Vv3sfgm5GeXs
o8rrb1NuyhbtICKqaHAvX9ywz9Md0vQmO8wC9cwV1R83FoBJY3whwNrEXzLmE/0Wk7c5vbcG1piO
j9Lv/XvGLaG7LWdGkYcGXIVzYcw6Tz/bFUiHa6X1ON8EOVlyXxq7K/xLAepn+OEWoYPxhXhHMG9Z
3t9ablEhihWW9P6TrOpf5tdMaNFEeCQABAIE7h9kVaKSs8elUW+dOJtOesA3YiLG37HJOXucPD8p
939JePtv5bS/iG7/VJ77/6Lw1rVs3t0/l97+7fXtb1dP9S/ww99e91N/Kz45NNqJvwVxajGCsdFt
TG/98I+/G+JTgBwX6SLo0w+hHz+tbroh/cffXfGJBzIkPIU5WkBQJ/KIno7Sb19CmIuc1PXJLUU2
+5cAiH9U8gAWJzRgDfIFzm7TXvh1tN810BeWITGiiuyc4xA/ae7vOIaYiQxN5n72k/wAWxDHtZT/
URj7x/k+P3yVqjrEq6N9sFdp8u9VTKZt4AycHCoy2XKdwy4wHuvFxO+de8mpb83SiboJO2PFbPyz
oXCgM6uwDqU5cT8OnAIaSEWbd+MKhaTNK8oL6sYUoYD5bZy5WqdpCuSBd5fMbKCS5PsVZOhZlaZj
YTSa1Ckibiml2B87d3jsTJtOXJBXw7GaM/s1sxAHb5reodGYjWsGmZHZuFvLWWJc7eZLZMQYmOYq
+zEsbChExhYSm1Iy6QePOsAzSvfJMGuoH7kzMGUpEQrgm2txhoFMat6hFrlXgTuFPwNX/v9T+Xc0
Z3/2TJ7fuv5t/uVxXF/w82G0P5m2Ryg2MioPbuHHcv/5MNqf6OAGSJ04Xle5Lfvmz2dRhJ8YQFlh
iNJwFQetYrufzyJfsvggUe34Pq+D0f9XtPDrL/aL3oVtIuBHhKsgyCS8e93bf6fqy2NFIdMJ7BMr
LJkIn6Yn99No5G4WEwPrsqmL7wxc1BGQMn56lg82i5YEY+AZk37tiwkiRAdMkclXcRdPquoiqfKa
lQ2cO0f4+V0UoX8bIID51luT945O+klQILx8vOl/af39T9vv+fz/bGWxtbw+vbLfl397eBqyl6e6
+f0y+3j1b8vMsj8J0LUsGCSwxD+tUurfVtn6FcxzwGtdeoTUNv9cZNYn/BQgAphes9h+v+GL9UvE
3PDvA8sH0B78lUUmft10fRY3wziKc4AGUKLRuP26yEDw2OxPjhWFGPc79TkTn+PhCUl7BEa5r7lx
HpAemEDvwuPNvpJfwuzGdvBjp/bWpYwxKklvCDdkSKna3dXtgyMf3Pk+ne7N5Tptb9UAGvcQ0m8D
zo5TEhut17wE/nWiL/34i2t9/etr7a6p+N9//VJF/Pd//VJ+/Nsi5ZcX9f/98U2St2YFHf/yf3Yf
0OPP6q2bv4A4KIePH/DzX/7ffvEnJPmOCfw//v7SqHpYv1tCZPrvFxOi/z9bipdvQ1P/wfKzvuK3
5WcHn2xE/B4BPLhbCEOhdvht+dnmJ+oQlJwoXpgisjj/z/pzg08mskcrtD1uF66zprn974LD/eQx
X6VdxZq22JnCv7b+flUTrl1dRLvsdPxHLI/zIdb/3S5XaH+ufVRWZGC49XsVDuH3umJWuW0SdSjR
Ir0V9cjqockdfI+hn6ldMCt9tUp3xJ6kKfHgMXmWkWEZHbZ2aoV8NyPxOOSLpEnQBT4kHdyqPhBH
+qp91IgSNhUZUM332PJcZiMBgWrnUCvfgoAz2i1KvoImFhQjZBbgVZu9haXPvnAGegubNV7vjndt
KCKadPpFi6YzDpUrBnLWZEArJoG5Sl98muYS5TOkkIgRUwuIrc2sfZEKE4ugjhHdxVWZf3PKAL6C
8FbkQj+3ndw5Tuq4kTMazlOZaSJmSW8WNPMa0ZlHeyqMMzemOXL7abkdw7h+Z8BqnAvugeD8Wv3F
L5fuc+wWBBWYuPT0vgJcTWY8bevHmeDwInJACeJrr+Zr156h39D4mh/mGZjyTjMzPIVQ2yqYeAH0
0RqhJbcv5kj7FkrItw4AewrCrJZPuug7cmILNhHmRCYYOI5aSKTpaCDLC1DnvHaTgdhgYZIJfktm
7pWvPAbRRFyLZEuvRL2nbpI9JIIfg6+VUf+m7vG4ILZNUkIszcm4shgULGeECcn9LAU497CawJBm
8G6iWqUurbegX6otgHo1MDXtk4cB8gvBH1UTtoduDEz2s9zrOP+8ZhrOsJBBoooF9NGuLtMVkVIQ
c76Jabmfprmmx5CMufWqVOicHWlUQTRZcHYYHhVQFkuSvA6tzZ/Dx+vQZgU5rd29XEZ1ngmGlEgo
FaCDgkuXgJJQoc0CvQFphU6w7I5joyxolEEbRtrvHLBm9rhVjTH7O6SIlRnNgpSVrUmH+FIxUqy3
7Bj8DqPf4qxXnj8/O4ZbfxOgWlgz9MafBaEtDNPEgANKCQEzaGBoGW8GFbOUujlb0Ozgd7nsyK0m
WTrr289rFu4jOmOz3qABK16nGEHDJs18775aRy27IgBkwkdFHNRunIgRRP8cfhuwQBcR42iPK76/
fvQNmgB8uSGKyZ2m8/Yo5rbwjmOpkndSRKb5UFN8eFt0f1lxo82CGNkGcjPwZy3nA3dy5LZWbDtY
hu0ufYiXJOxXSnLcgUuVzMfywVkeJO7iDPAQzNfNwDBYMnrqwNmk9DzTvVGAMtpUTIqHSOUTqgO6
mDnK2qkzIgR1ww/NPPExxiYcbx2LCn0joZX0V05QjHlkOYVfEXdIhvq5qfxanJIEXtWJE7jCi1Tm
Yg2O14AU6Hhn+Q3BZorII8QeDHD6hc/cgqEMbauLWyS0ZQjuds78ZNpCiFlFMkHJrFGGIQiIFlKd
PjMeiu8Y4vIkm0szpdtMZuPnoAsa65wZApOu7oBufNVIhqwfWe0IYEHI0VEBlJaW27Zb+m8dC0Gg
mptGRvKdg7zNnnOEq4j3ZwYe0suxcUeSjqW8yYrUjT8zVQdLlcYG0iAbPuh0qZDTwiQYga9cF06Y
vQ8kbqJ5KsIxZOsB3Bo5WeH0h9FbzAfsCGEA6FDmL9Da/QFhKnYu0KiNkzwLdEc/mCskryOCiNcu
rcxyl9ZKMOtS46p0wA/1AJgGAoxkH9l1ngVQAQJ18QjP0RsiF9pnGHWBlzz6ld23lwpjs7+rJTey
mj4u0lrRCSxMWgP7QMuMUs8lmgUcWYPSYQdyz0s+2yhXuEjLelchuX4OR8vQXB4hmm20Nym1lYG7
oJOpM+duYewF/cq0FCHzpm+0WLHHrgA/Y8bngUm4E/Fj+8dWlP2zMxVDvIOx2vsRTk4Dlp8lGpAc
gwHKs3NVQBwz8h0LWq3XZHuFCGfbqdLKT4Zp+O+yb/UKnoopufKRXfwUM9N0du5ksV9lMfpHllOB
2icQrb8LwhHVdyBlhUA51WHG++NNwxFpUPAt4wCwDgbXh+fOhPbH5pF75razYdOe6fIOyzHNii6E
tSmHl76jgRrpoV3uDCuO73o/CHogdMF3w6e5C2cxXw4wYL3zEncTY48muVBeaNOE7snAA4eBhrjR
zV0nguGKeUT1vg7YgwO8rvk4GLgUNgAU0bjkrnzXBvqHqMSRxmEylQxeYFRykk3wgHXUQjb9wfbt
e5HPEv0GHcWa7ozcCr4sgTc8Bq3VA83MtLql7YEouVji6bFA34DyVCiQZHxA7sFnuNwDp53LE+M5
gA7MR+Zm37Wet0S1n2s6k8Vs21vLM5HrWsN4EMQEf21UqZNtNRZNvEtduqp02xEHREhxw++jrBj0
iTBOn4pe0WJvZG6WSNPCpt8HMQaZzSi1IyK2o+Wdv2fsiKjHrnCY8xEec7xKfreEKzDBCZiT3aRd
OmMgKSzN1D4JaaiYHXEom8aKmeNnMAyAVRppCgV8gsqz+ev18L8tdn8pif+n3dCY/P5pWZwN6ulf
6mJe8rMu9ui30RrFKrw21Eg7+n1d7PqkC3Dzsk0P9eE/62KPGxtxYhicaY/5vOqfdbFDsgmJIViF
zPUL7l8piz9c4P/0uvi46SiK6Uqs3gt+hT+m2InYLdl2Xbn1fXLRtxLoW0NwObBYI0iGYtswpHqk
DBnvOq1/lMwRNuYC12a/MEW0dmRAQNpD8lRdjD0A7t1Cnja7eGMExo5A86Heqawdw9s6gbJ6obVl
zNuu9/TD797x299+4d+bspHU/tLEWMt7/gTs/OvtEkvkHxOWkM87PhID1AYTysTjkrSpYgiDru3c
Th3zbhL0stfM7sILvzLbt4zT3tsk7UR/n/OQ3I8OiRgPm7u06ZYJW3LPJC679WJRORuaHyXBQZZD
JrlOhi9mgn+DKij0Muj4c1CsSB+bSWEQlMkRdYZuj709oCycTHMNvZ6ShPEyA6lvsZrM81SNkMKC
foLg7XT5ZN+GyVQ9AO/UqBN78tw36bJmoSTNUL7IgMSm3ZT4utymwGLBABFszDU6G0ai4TS9TixG
Xu7uCNqsyCyYR9qRlbGOdUbsjMRDFgZC46xL5G0KWLbchLJAGdb7hMXu+ySekL7xIV9yzHJtDkqo
RAl6nnGXWxl8RUTyINqGyrP6oxcmxrTH69NdMnaZgzPXqVgerN7mnPPgYL4Gmd+e2yV0L/IuqDYF
sfXdqaS4/57D+BCEniQObxK5rF0UpBbplaETLseWaPPvLsqmW3jliLdKbSOG4twYr9FzcKSAZaN4
sY3F8MDk+yYahirWS2TMBABEZLDkN1U2OpSvRCO8xgPeEICJk/Pecjb1/BHldAc8eETv6KT2W2JD
lybVpMt2w2zk11DDcvum0bV92U7eRIe2bHgCJn5jkKkd/ig/R87omtNC0mfiTF+Ich6WKOtxAu01
kuYbs4LzElkTnqSIKC3bAQ6OzyfoafERdt2sI8hKVdhzOuE+1FCSXrKPrRiVLtty/rFFU4GzXVsf
W3f6sY17H1s6bji293Dd6ZePTd/4OACWj8PA+DgY9Mch0X6cFx9HB6JdjhHz40hhJXK8lB9HjRin
9Gn6OIBoW4bfZ3wmfE0Qmow3Yz2uEksSOzHlOGNsjjP6mxxsxschh5FgAiQUlxx+VB0chLhEORTR
k5Yn1h9H5bSemsbHAVp+HKaolqdH7uYcsV0VqNvw4+A1RqQX8XoaM5hbpjvH7vNv+cdxnQV6+iFQ
zGmaigbwd8QtyBPJE/fS0/xx6MPDle/GWgmoj6JgWeuDSsKLP2AqKd9rdx6uuGE3dx4lBWcsxcX4
UWiUPMQX5lp90OL3zu5HSZJgakH/E3wfPgqWBSbV3bxWMWs4DmDgtbYBdCHDU4hqbuH5Xssf+6MU
6j/KIt9H6jYryq2D0bfBt1CpEfL+RzkFm4zSKvwos8gL81e4DcVX/lGIWW4McQxTue/sio9ibUaP
aiEqXos4qBr+O50hSrtxrfKC3wo+wx+s3f9i77xy5MbSbT0iFsjNTfcawWDY9E7SC5FGovebdk53
FHdi92NW9Wmp0F0XdZ4aOAdo9ItKSmYEyf2btb7VfRaCettSFGqfBWJMWtTKOVwLx8UDv7pr13oS
G1T3YpURRaa51pvr2jnbF59laG9KRZQicaarrNEQjyw5eZjnzwK2XCKK2XiMKWzFSEeYhaIqd+FE
7iQ5htFdZRpkMeELh3YG5o4yOZnGtNoNn+VzqnHTEKPQqpeMVyuGL4H4j7YAru6WdACAmioZRgBw
TlHsuoRAKSyKUDpjO8xeiCfW5gDexoCqempYP9dgZO9jDxPW1ujJGN0anVuWZ0+fSZLHmRGmG9kQ
obCZWMxbSBPNHtKnPXXgQm0jMW4j6ugoiIuEWQ97oqIKbFoMFJn9IJ1AZcigAmYu0TXkJ7I6NERg
zaZ3RsclfDZjp4J4dnwVtI+PrtlJjCVkZH4I1C7TTkcdMlzwzozFh52gxgMnKGxYqaHCWGgAEd7k
rfCWE/tpNjJdapNbV4tyPtMsEXsxuvr0miFqu0omVTMbCEckRaBsaGPR2G5AqvDKqhJsdBuCf8SD
h/XozOqaOehsEoSRdV15V3WVe+PEmbgT4dT9oM/DQDKUUxtkmWkh8Rl7soHCrnNy8FeZ8HjCmKbQ
Zii73eW8uHsOrDi6SQuHo4JY9xJ+IHcXygmS7S9urbpXGv2Mbqn3iCTBdI/1oQWwhxZPOeoJVTe9
1YRNP9l2g2PNBzbyi84/lfRN4M6D+tbEeopKgMECzNY4SyYyI6zsHYUWSrZycPt005D6mvpoieVj
Es7813mhBvekerR7iKtN49Y2C9xWVqQhEGiQeM1bosVg0VHRDPEm4hbznXHsGNX0CaLEwZJWdhFt
5d2OrVKPU4GZH2neGN6CXFtNa3haaSAaRH27/62O1fwZurciPv79tnrX5RVJw/2f58b8pT/qY/Gb
hdUaVJTtsIn6aVNtrJUz6y1dUj6zCTP+OTdmA4bUgCGQIQCasNzgn/tjbiwdkvpYZzE3/sd6+x8T
8z8KSYbt9CNM0P9FYclf/HNlKfhnXC5hXRaz//78858Gx103ZzgxyNwKW0q8r+sLmwmjpw8AzIcV
Zl6LlmkvYmEg561p5R9uykxuAYGOIhx+LtBL5F+fiHQNtuh+Wbnp80pQD0dY6swJsRCufPWIcuaZ
AAeeJeDrVs3ADwpB73dTXTxS3Fr7kdjp7bxy23NVp+dBZvGXEd3TPbw1v1w574W7aAco+9POaYfy
Xaw8eDi8wzPyLaivKy0+rJV2qVMHhDyc7CawnLE4CJ0Z9tzALpRA51v9eVjnitG3PHYCRGvvY1re
etltLJ/rFVwP9Q7EywqzXzg07H6UH8hSigfJG/xmRH3aw9gT6tpZkfjRPIj7HuTpnZPG9pfyk53P
LIeopxWoj8PDvktz1JXeittPdbIkrBXBX5vu1rGwPCBwR3TVp+4hXJH9TZ3bAThAewd+szmMoxV+
QRQnr/HNGzTNfodJmewABIVIgPQNW64Fc3X61Du1xhAUT9Ows9cYAbOpxzNigAXCLSED/Ro3gIgu
3Ic2I8LOejcyq/cVM5Pb0gE8OaxhBeQCGUwHUJJVBBm4Zm1An1uzDRAO3Y2Z9ywYr2ynNQGhLzp+
hTUVAcdud6oQP/q1QVBCUdQ+IucPuiz7mKzOPzKyHjWLpAVvzVxAzzjtSZouL5PAYWmZBPqMa0rD
aGMtaOzOfkrXCAc9sm5xm4doFB3zUgHZ24dJwvjDJfRq465JEDOREGFak/E6F+aBQ1g7iTU5wmzN
6pUoMBsvEZ6gtL2ztV5cjfQH28FTP9Bjk0WR171xU6wBFaVdqauJ68LtjUTcRjJxXqY106KSKr93
16CLaRhgw2ZRuUeMCDR1DcQY1KSejdEZiWrkgxuAI76YSMaIe4ViRX7WGQ9rc6o5gANhaaMf5RUT
UyawRSN0TBjN2pW1nC1iEuOJaCER2GYsv+HnavZdPHt4Z2r9Cn/6tDNVsmD6awSYboJA0sptEJaz
INioJoV9pKXT11JMSPDXGJGqXK2bxCQa/kDKiM5f2S4TurdjYcK87Exdkm+lnANCSJxRjeXctN7q
0FFU1DjdFiTK7ThTNRJwQv+Dp3ISzqlf4080DAK7NknCp+IzHSUlJ0Ww8wlQxrfvag1RUbWxMF2N
jCf08O0xDBPdWAWOeNDy2jgaemsGjMS/jo4iEEZBQQfiRFwg2S0TqgFIuWugC3fPq5dq2GgQOp7i
NfbFXANgyN0E0wLJddvVS7mPSaLadnoVBdNif4N7irRfXwNlKLHorUQaB8XQEH6zBs9wFHOufqbR
LIud+YskombJNGsDhQAHwBpgUyTJcNLXUBtgAAQnIVU5WwaRN6FY029Gw3u0UwJx6J1Wti7upvIz
L8deo3P6UeCyXeN0mNjLVyI/qWtM7LzeFLXb3CCAx0JgfXZFLR6Qv4hdlMuLWKoraw3uEbZ735Hk
oyVdv6vXcB9HavUlXgN/tCx6WGYigGqygED8M9Zc44FyHmkK2IlCchwwqGFE2FgNm6R2jRbStJFA
DTwgfvQZPLRGEOmRdN7kGks0dVOCJFg6D7it4aDixDyHlJcEE4zk0HMQXYjrkzwTKiKgeA0/qupB
h9+g30ZG+paIgyToczc7IkBP9C3SDrZdkJa2VofsA4Kpbt6kFLIKaFgvc9xnh7gpCP4stUS7Z9y8
3JguJPWxJhhMG3eMlRAtD/BcdZS8PszceoeBLAyGemyPAPA6pgjji0Z4507Xi20CyXSFu1ubfGFp
EGHwZtYB5g4AjMiGMxjY8thDKNz0qhQHb+kepJvczAaRgZU1iB3EheK6R+F9O/ZJ9KKHpPz0AnU5
cFgS0Sz3Fhu+Cd+1XKNVvpSWc2zEOj+ehXcapQe0xT3pllAPzpIGRpz1e210jo4iJiICo4LvC4P0
HGGT1SNYxxGzkiAatdNkej/MNL214I/sMAeGWNijV91jpK8Zo3GNAa0+STtp8GZRt7atu7wzFaFu
7HhO8S0QBg1PIrKp/LRMhwsgQtuio+/49uf6Ryuyr5gSYWlphXgkoiUK0H9BTp3G74nEj8BqGyiB
DPPDIjTra2In4F5rJrca6zF6DXke6sjdVSxEc5xgksYDPHLFUX5MXacJoiVrKJn7qwkgw8lhAdWa
BgI3LzCA4WZbwbZk4yzXhpulNz1gHc9Gzr+rxGAecYqwQ6XmZiA8kHI6DbTUATgcA49TFf/whnB4
sgy41bkcx72zmPp1NebfEPCY+wgB/dHuRvNIdtkPAiTzwI29tsZYWLkPWR3Kbela+raDT37W3E7b
Yxzr5EZ3cO6GWmjdk24jryOvr2/dNYmDaR6BSsyi7llJ63t2afapX1R4xYzGDpqmr5mO59UZCMUM
TJ6Odho7RjBtqj1hmqV5r8AszHPKaacW4PQbPZHLkxclcDJct+6+SxdMx8abG+G31PNbh3OCftPC
qYV58eSVyM5zdofPKSCAW8AabOnUPH6UtVllCJdkdGaEHl0VaebiCyOMdhwuDolugSzsgwV4h0hh
vTnqhJ4HKKp9mWKMqyv5kY2SD5Yj+5jrZnEhfWnYobunK9EJX2Cxm5Ormdv2Tje18GZKZ+vQUGT5
5DG57B/d6FunLZR67hHpJJPC+QxvYUMaTWA3eqCb0LBrCyAvnXeW9JjBykPrpeee7Opts/DyHjUz
xrOQX1n1iPJ6NvGh15JUBcgKZo7JOuvzC448GTRkfWX9hM8mrO/mwXbIV7GBNxcjrWw0v7P+OYYM
TJaOBneab2d1TlSEUJ8URfwcThp9ZZ3OJmiqrqArX7sRBs1Om8/KIvWh4kbe91b7YmTL1eAQbbKK
vm297ch6wKMEbT8sMCozCdpq2aDtRYdboMKnr+eHQpPHfF5WxbcOCs17j8F7+XHKTcwzEiSrAQN6
vbePMTT12fjWaN8UgZYJz6gxXbkcZb65tMWm9XBwoqh2w5bun09y6gwzYDd6SfvsaYgwEdl59ejG
rsnPouqKKlBZeb1PyhtvJrqnWqx9F4HAmbFxMVgDHK9mvcB3OXy0hhh9c2SNpGslw+q82cwk40YO
NTibuuKoifC9Grxnyz7NAqcVpfemNHECaTpBxfC+mTOfzWZ1tvM5h7kyeWh40cQO52NOhkjNfHFT
e+GynWWyl5HxCILhYLCvwrndzTdhrD7wxZ6nGIdLNhf2bnTiZyWZ/ug9RubqgbHvx9BGP8Ks2Y16
eojLrMHLCGsG1DsiAgILTCu5CxHbbZe6KC6abiOQGih+e6wJ86wIO9OLk4xEEPfEKDMOT3bdqmrN
+fI3dma5Dx7fNx3BwPbWRFA/vMRIEGAhGA1EqCjA93QdWcjyGcQSI8O4HATWU7naQxi2POPFO6WT
P0y8U2erUHcTCZ6hER0RBFQngwRO3LbR+EJ+MV77gZHzm6bMx2EpNdzjRnLReJpdip0aRsA89Ye2
bR5rKxE7Q8EyKBKLGI88vYY10ZLGVVqHGWcsi3aOlC84sxhfF5r4kS+p9S3HQToRfETW9YmKf91A
KIKkmU2w+9jmU32dcSvSX0wxsabgifAWM0C3Gqf9PjB8DiJyqrZVw50upAzMxll25G8PFHAlNPwW
G5ayjTd+u1OuaVfFoGzfwf1/ow+Z+6RcG3UEo4hrp7VCCqPF3TWa3aIJ6Bu/dVsCtou+ezHIBt46
3rBG7RhBvOTVflCNdtYspsvO4hVXxHrZTyAyIFLYdr0XlVPtVH0/mxOX7fGyc32LvLYuFZtEYItM
1euAazH3XDQPLGV0e74QS428B3uPFNdVmJzqpKmISikTtMt4D4b069ySJ5oqS0A/GE6EkfB2YmWA
fzzaqdG9TgxPP3eScD+4O8YVdYm9scbR4CGYAp67K2AY3zJ9sAM5LVfQizj0EI8fhzQnv34Z02Pf
uLccA+TSLiHiaFWRNd5MLzI06C2a8TusJFK87QgbmgpPSD4o9ltt3IwA3Cn724nQZ/MK8ci9anL4
4ELZPM615DlJvuQDK/Gl6IC1YN65GXRlf8HxH9Gge7zfNNntYk295UlCKhT+5AA8sBN4dhTghXuU
efFc6uRw5579YzC8B1Hhcqlcv0wSJlyac3RtpuCtsDFKr0PFHs/3ds7nmdgdjDgJG1v811xn7aEQ
GtVyRzwL+PIyfyWWoOZVNmt+ltoUES5xxHqCp4WF1b6kk0fQkW9HvEl6GZ7KrMp9zRjI5XHraBdZ
dfECInAHrsc4dZaFa66H26a5vFxT51kY0C4Iaz8hr9o2uXeJBZZFhEPTsTYAtzmkSe/RZ90PM5Ka
xbKuctfZ8QILfYyHNg4raIlwShGjreNs9tBXbWXPuyER70pAAdDVDZqg8Ba/152wkjNjv68ibSCn
lFRABV4l1w1DKpPU2MeG/kJOhcvOoKQ2d0W4A2lU0g5Vz7h48MrGsX5l2iySKHrzPWVnTRBOMZ86
gEN8iP1MUweWx7Gs/oPoQ8KteEwnbJte7h7nUku/rCPPK8uB8eawx8dau7AtS+vZeS2LRexbWw4l
HREB2CItwi/aMpgvkOzQq9lE8pK5NW6jGHxgGvUV65iVBBQX3rFtl/oJklaxCYvOBAxiTxlKZoci
c14hLHEKJ2/yCuul0PIRjIGXfIlTxWBg4S29QeOI487R5/nabkyicfTcfqyL/r2fuuIIK6o4NRU4
oQz3tD/MlMdATWAJRIKQSzBiFy2R8lj2yvEdVTl38CvYuGaVfuStlzyWlp0GdHnatbfMnLyOcvBa
h7K7VqYoiSnStdcxzNRdr7xyq6SyfmgFfV+2zAYR06TZQCxZqYG5tUEOvJSbhoeU0SeBO8kw6Viv
luzIwzjc8EAJAl9nBF92bbCdYJodPrCLgGFdM0Te2XXZ3I9tlX7rO1un+2qtgxUDN8QFqN2jeFvO
Lu3AVnT09W1dWjsTQA5nS+gGkR7qezeFMImhIw8cA6PHpq6X+M5D77IfW/R3Hm6/M7llqyers99Y
eThno+/YAKRVgnWLfcpWdgM/FN4Jq0zTzHd9s3CMT6UsSOaGDWVuNLfG/RaJKRg9sw2afnTPWTa5
+rYYxo7KxknIu5ucfqvQRty4cd3sBscF9laG3XDOE8v+CoBGv8I5qbbzYOW+02TNKQO76beF0R1F
yVa2SLIwcKVIn5DxvDbM7+6QlL5aGhPACjDgvvHi9miF5PnkHgPqMeZ1lTWMzvkK5c7ydKq/yodN
5LMrviqoUEhnZkwXLiDJIOeqhfBdWnx7CbJi4GLjR4TbCrp47BPfYXxYveOeKPQ9X3Os5ZBo+M6s
uq736J50lJSW+bVsepLfMFeDegOMhLUy2zBP025LSJmQJqciPuEeTA6tJr33Sq9qEmxa7a1GmhWo
SvR7eyWl7RRi7id3VtYDBtXvqebxtnJQfsH8Mu8XnWES3C+ytqY2IiidEQOnPeHVBXEujTMNMK1H
ZH+idhBPivzFG6zkMYpD51rXp5i0w868D/uId0C+ZiimwpPHZc1VLAlYZKdE8oia1tjFYk1gzD7D
GFlkEsw4QvspUdmS14g0zXwx1wzHyW2KeEM4DB1YtaY8yjXvEekM0Y9yzVjJENgh9FyzIR2EcLeR
DuNDMrVhLLCmSAK1IlASIkL0ZfyMmZS8Eh5iNurZ1voMoiQJiVBKHN3qnJupvfn724G/VMX8op/5
tyqb/0BJOdP7v9oO3PfFa/l//8/rzyr0z7/yx27A+w3XgmtCul7TJAwHGcx/acqRjBurgwxbASfi
T7sBhOi2hCZPzAJool+MMyZrA9cFYyxtE6fi3zOxsWj7VXQiJNeA0YIwCoECBXEXf/7TasCtNHLs
OBC2dYgL9OzQ1FZ+XUvDPNiaZiOaNtps5iXeLVFxj+qyyq/zSaaClSQJtgi3lr7KjI84wzV9VKCK
0oMyKEq2gHFYh9IahzCOAHuEfo6gVu4qtATe6zTnyRr+HRnNDU1/bFxmfWLur9C8EWvVRy2QwCwP
ibuBWyEZ9OMAI4nLyiTTtTJxjMOQ1pFNBmBVGc6RQqK715tqPqPcLu/MdVt2TPpMvuAb1Gp/Kmor
IixoLG7IK25cwtJAtpEoXsLFeLPUgtZ7o0xs6JfQYSKK25zwOP1JZykZXjcuy9k9R29p7+YE1OyG
7FswDiwfLOnjBym/ki4e2oFgewo8FpEmAMjUy8MdugQQdUuPIN4HxNkum1Rb3J74ppLzw0VlFAWF
PUZaEEVOVfuM58boKleedwXkr3ioM3Bn6PS68aLnDI43TMpWO3Pj4p1Ti7pnx52z6U66yQBlBzaA
jaTt7oqRvW8g04yETWTzBspZMxr6hEbYGHIq4mr8wuK/ZnqXoBtiJNsmZC32GmOlqO/l92RW83NG
nGsUwvTy26ST/NjIvsuntrosduHITavsKCRREL4dToQs3QOVvy9y8i/9XHbda5jzIveqqNiSCSsv
McluL/Ma29NQEFpOxNyLbSkY8qFpzyOzFOEnYgmfVBmmwG7c/EoYXn+HupWqfdAf3cbWoammxRvk
9Nn3kinfDoWZv+tWSdNKkC6pZBnUxht8zQaN7YwG1TeM3iKdbUq/EV3A3YPaEeJEXdB1+u1IAKoJ
Xa3ZsglzHnGit9mmTBDKN8gT+bhbZ2KWU+XVQzFUMCVagJF7rELwgprMLPm0uHOvFm0ayBmHfhoh
6W+WdeCv91rQRMJiFySyMdlGtPO7pUERv9FRnzfb0siYL67UDBL7CnU/qQp0mJG41QteIFIvUY8v
T3LMWzgV5FAB6ZdDhjLVscvrKtEEi6GJNAimYsNqKEqSD1ckJHBmZjq8EDgUr9EX5vxI8cOmPKbx
p2wm3VA7zImyWA+EbfTheXH81PLLo0wKJ1HtwykmCGQamS1SiQFAKsI2vSs1zyTZve60O+CJqbNL
Jxk6KMDsXOeDHvKvdBQZU9u04qsQWmWcC5UiWigBm36ENEDzRcVwgDZeYtp3RppFT7j6JJgpOw33
CCncV4CMnoe6rnOfE8VKZYMaP77X3UgbdjqE3ps8ghxM7GdbonvRonYDVlGjc82diU/cGcZL5Ejz
McnT6r7tYQJtpNOJY1YSQrK1Btm9IAIw1MVp+hlvASPtjVGG3lVS5GS55x1FgK8XfavvZAM8dcvQ
Tb+BuwcgIVWkU28EiYb9SVCR0i/1WvdRj9r4HXzUkh9LdirRrVUz9t4sBoqinad4v70toSXoeC1R
fou4BvS2dm8uF20ptHA7AQZBWWUW2bsbUXsGrVHXNnlhmvOkpqFwtkIAN0IBXZFA2AxGBoVam3FJ
IMN6mTxzoHAlhe69Lefy1mV4k1IRNHDYcbubTOP7OESmYjCnAt4nmYHBKnmESwKFSUetkQdaKOIf
wpkIKMvQHn2xo0h1J+UOqtg25hReyqia3KC2DKLhavszvWAOdTdQdgb/p6MdcrduOgIate3JfTJx
J3ubKJ8LGFP0hiTcZBhiYobwh3BKhdxExpTeNjWpdLx88vAuzDVGXNIsm9tGNRFsAwW/UMcoGB34
oQMLY12G4ZESRgA74mtTPjOPOdk1AkyPL5sQzw6sZGfbjrz3/IaHW27r2E2p2yEkI/LXa1QZZtTA
nVhW3+cQVnZL1DWmr61MV3ocnCTtVMtqJZmX3fLuhJH7REGpvi+spK/Is4Yy23lR9q1LBwYwcEMq
dIy5wbXbI4MiSu0oe+g8A3pgKyRs7sUz6PTNrJ4fUKxY6X60tAxP8+yUrZ/qBVIYBnHoMIVXhkVg
Mh1N/Qze2DPfGi2XBcTqg3xf3ka5tYBDbFHjGVuHq3yqmB+d+8RFq1ZMNFpER7tpvK+7TL8nOAMC
uEvmTrmtU9kf59ERVO6kNN8vrFXazQSVGKRpO0Qvud5HN3B1EMrAAkV10rpdy+5oqpYb2Y0wzRlB
MDgtUQV+0MWOpEKmqPmRkIHgNaYZC9C8MD2jXhD1ljPX+dKUk/nVsBWwKUt5NLTx6LYeMiJPvvT5
bNxj7qZTFl3C7eoMtXMYDexJALgsk8Q8Ua10Ivr7Zjt6moT+UZr6q+7IlqBBOZa0vGVh35YzWgdk
Co3sSFPLa4RhpZxvkWuBrWwNl/F4FYnuuZexuIM0SnIipxqOmtlMjCeOrio7WUMvOPfaYdklcWJq
O6/NUJ/RfPT6puNEroMqaufYR8nB0MEiduHL4g59wXJO0uIW3sK+rKCDgyZVjzNLHNv9MbABHjdx
A60FqFKvwo2ldf07/wZ4HXzW4muE8ei2JibS3OXkI/F8xYtxKqYsbjAxYCz2Q9dKHjzsYCG3PN/I
jmxk1fpiKTtWd7ONSKjzaoeJIS/NDd6P7G2xpvS6mQRGI1k1EmANK9PFr9NS3RmlrGZiX41hn+Yd
E5l5stn1gEO2OZBDsW4wUgGUNY7C7AsQySlhtGM1l5yke28TOosCVkU8FcUGvu4XC8bbwAnVmcSz
e8ayNx2xWCx5taUPOvoq9MhzF8udXEhH2kyoGtk1x2mF50jO5XKoytoB28xD0/kUU9ajnSwVKdox
nz9z09i7TT0zIeAMipNERGBHE1tDW/Q7q9XcGR0BeppNuAzirdcwt1BjEPveZVH0Dca3QfvL5AUf
UZGzCM/YDt3nBuBDP0Z9iJ5ZzUkfGBlmJfieQ38Xx9D5TktTMD8rZG8PlxaCN48SzHu/5khIL8Ys
GQ70ycDOqXJbtAUQf4z7cZ7NextSybfRKRy2dVWX7i1wkWlQF27eoc6uuFtzB3iJ3+plVwZF4saU
uSOrT+uKitVlYssQx74syVDONzA4x2VHGIJw3pwpTjhsFkNz+4fFoz6qkCcaunNB7DjEzxTMab4P
9bAcL2JeTA9us1ZV911bdyTB9/poHBsyqDt2M4YRvsPwyeLAmrDfPJpz6TUXywxneW8yiRBbAFyL
uPmpIfoXCqQ/yY8YN6Px54ux6IHI/bHXP/+pxwhTodl12mIj4Y+vZJslPoj64v2vf8oa1Vf/ZARY
f4zLvpcVLHorftwajPLTj2EvWHaaajK/ltNcUmXk04PhKN6dlJypSaMu6otdVynkc5MSUW/HhoCM
pH38+63wv21wf2mD/7Jh/g9shUGm/vSdrD7vP1zZ168FruxL8v09Vt/LTn1P/uTK5u/93g+jesNk
hVvfQiyH/s3G5Px7P+z9Jh0HPRwiAedTRPdTP+z8JhwcKJz4aKroi//pJUErh+vERTJhfBpQpPN3
zCSrX+Xne0jHyI2LBLu2y8/5XZT38z3Ew+LZOqaoTS2K1u9tHB+LkjeoQ5DRh6oPIis3r8nx6DdK
rmKdacGOXc6Zr+u9/ehAgPUZmPVXS4VuCbTcFk7ZGyfYF4Cl7Vag02Y8Zt3Agxr99ZyhqrwMCxQv
3GcvmQ2buM1dCtYaD4rLpBgGMH32rjYtWNVNEjb0G0WFETivfVnBM5uKPARk1i9PWoH3fZMJ51in
YJlstFfU3m4Z4OiQN3PDjsodCihWenyrabhhXZ0eJjNG0k3NNNmrsowDzyjjPSHjzr1seun//ScD
2gD/++8BB355ePbfq/W26/78T/1HPjfc5f9eYHrpp+/FW99Gv3AxgB/946Gxf2O7IrkxVyMVD4LJ
bfv7Q2OhFEXYCTEDd6GzOrD+acDSfzO4kbFt8U0DzlgDkv4hMOVZIzKJ6RHIlHXA9LfAGKa1ki9+
evPqBk+KtD7NYQ4whHVg9vNTM9dWHJl9JKnnMPab/TTvVEG2iFfl7XtTExM9wWk7xGlh3KEiRQxI
yOQu1dPCjw0GxkO2IJwP8RNhoxd7m/DRZ2bsb1a3qP1ijOy6V8KfF6nXpLBfayd8rlr5dZkQbjUs
xiiUfsB+e9TnctzYcY5/MV5VM61Zb1VJ12l5J2eO7h3N/ZByRVLLujlOS+NsyGVyfJvgRtqsXDsT
FtxSgYRvzeSNX5UBWxUuXPIAqXYG54eCe4nWmHuDqb1tzyXbeLYwA0Z2OBdVxu/ZkdxA9xC4EVEc
MZkGN6wRvENoj9PFa5nmRzG48Y6AHNqfJ7cMv0XsYk+ZyO7i0IR2q3OVW88amn1qzdmp15h9ZRjN
YYYa3/DikY0CHgTvwzu0xfzkKeqIglXHZIRnN55axDamG5TrVCsZzX1C+Q0FMGoCZtQhcEyG8zo0
M8YyqAYaNLVYwyLAuIWl8yu5r6OyxWYYE+Xja1enaULe2Cn3W83sZIsHX7xVzFLAJ7SOdZC8Js9x
SoQB1lCxiUbnqVzd9SzI5yvyEDSkxYSrpEi0MH0DFZjz5Vi42mVMOoMlUdtcjxU5yoromG0yz6OP
1/0eoZ+FFtDrcPOxqRKJuMqtLuVCqf/bhE1gw6Zqa9XtszkLSBaYuPi/VYTsNU9mOucbhuYzelvr
2e6rR/i7dKjWtPh5PDwj8ldBZsxX1titxMKpvxZhwqxBEV7NJ11v8nhmS6rNhyRkaSdDoLixMbyo
kR2rFM1DZzSIuLrhSkkmDFVZVju9haKd1HMA0Dqw1itI3fyVJEw8CcbFapQkXwMhX9PE18tAoEYX
ijd9jmzWQSmfXl0FtdS/9jaJgBnCQqOIC/QR5jlHObeJIg4CIqreaBYxYJTLjRaVT/h/g2x10YmJ
YK3OeskRlwWKcNcA4mqzUwMme9rZFmYWK87C7NvHsSYbzYydTRvKj2i0kAyU44vdSQnlCNlNTDrB
JmfrRR/Uf8V1+FiD3XywtIaAtIicMDOO94y7bX+W4iQ698Ahj60qrG1Wco6YuHLIHUmFbxLgCAqH
GugvCiSav6T9imFDoux1DVpPJzykPbrdViHCHPrpMCjzqKeue/Bmc19bJWnc3F8vumrflK1nvlFW
NHTrlxDF5ggkrJmhi7nf6F/f3aF5QtosNhMCIt/NATV0XNOG9szbY1e32cVxnfmQX9feFG8XyQdd
dc4561FVYJZcLhMm+1NXCow0RHP6qVWhpVnd/ZWRYPZAEB0j0GEPJ3Rc0tkLqog8SGSGSL4bH0wr
/Zok404t9eK7SN9wm7c5jU1NsIeBrYx3o9jLDtN6tYYleEUTY/VkP0AUg7q2WuQajI23oIIRtSMH
O1gg2wKE4gVGRp01vZvJ+5mB8yO5Na4PrCH3wWOjoV14+zPknM9Ifo8IK1oeNTuBYw8ZU2QdBlY2
fbgWzqJEbpxqTBDKVzku0z0y8mNo1uig4Lv6YQFtxFt0ZzOie/ei+a0Nx2yvqcV2t1YIBzkigqCh
zW4S58nzQE/iPuX2i0K1SahA+tJ5G+DB50PGI0oPDx6gMQMQSS/56KG/HuNDyYxsVzT624JCbJ87
5KNAjAiJluHpbAlYYQQ6n1NHs/wRrwCPD9ezpuAcwsT5nrV05XqOksg1h6tJTB8VTrpNiqnJHLvq
SM6bwz5ydP8b663/iZWLEH+5/HoYXvO31/bjl+XX+ld+L/ZN8zdWXnD/McHoOsX9fy2/DB3Sl6ez
WAISzujfoTj5gxrn6r8x+gfUaK8hx1QvkBf/qFscmJCmw0lOI/AHoOlPRpi/Msb8SnDEJWlDFANe
iHsdsTVX+GvVomnA1LNOxwLO83tjMJ5YEGnikAbSUnjuxYDm4gZ9F2nzpkr0XF20AXTuy0+l3r9o
jg1+05+Kp98vgzUeCLPVL++uvc3PxVNpW6SnzQWXwcmWbcNpkt6xctdArQFr7bdkWQQWaafOv/SN
zQu2b71k3qXo3+ZDXzfhjeSzB/ca8dERXhDhzcha5nM6vOaUvyjL6Pb/c820Yr9cM428hUPJWLlq
fI/m+jv91GqnKYNNzBTmjsUDmGsaoH0SOuq6Ysx6Hlh57FQWxvdUgygO+9Q+FrBtNghxjHM0sLNr
05Day4khzPz+oP6F2+lfXBrXxgzNApLJh/rrpfU6H52hGZ+YkOLszDb6ZzJtdlNsDuRKLHfpkpjH
shOdv2iGcUiW/8fZmzXJiXRRtr8IM2d0eI0giCEj59T4gkklFTPO7MCv70Xda91SSp3Z3fXVQ1kN
XxAEuB8/Z++13S4sTcRz71zJ7zmstHu4R9jCoMpaQEdpe/x+IYVu28Vs/+t/BWgYEKbUP0nALB8o
fnUE+YY1K15XmrAAOfZv/0Cvn6n/PpvzHfOT7dTg4y379ffp4mw1/c2KC2xgJcxtminOszEXUTH5
M+fAhvQkstGgu7z9wa8Cw//71mShg0oD38dh/fVRoB+7mKlCYx/qJCFI2piDFnkLCuMecFlOj7rq
qAZ8veswTTzpkUILRFn1CF80UO/chVcdoe1iXLnNtX0IEYKX/NVj6uHZBV0jrAO08UFEmTRy2u6m
3cJhEkpCrh5qlV+63FrQoOLR/YadxdxiCtuEgf//PNH9n7zmrFoOH8U7Y2+x196r11w7uI3iog8O
fuss6c6ZsK3RB4lvk7HYHBewwL5kjhcg+G7Ku8yJlw+TkbUv9Bqj0qtFu7OmpfnSObNxnTFOhQvw
7xPehfjT21f653P737qIrNkV+AadV8si+j4gY/RBDgYmDpSzQrq4tebmSkTarcVA986BmvW8LE1y
evuT/3x4aHwLjpfcJ7B5YBZ/f2xVuzL0aPss8ld07rTrMPQprEg0So1GfIHdb30yx3L9twjS+TQr
PyW8c86iwpfDOz1La/us/3Wm5dnhCnzb354h3+RPaCi/vkJjnuRIz5M5YqrKgabAxs6rqljWroNd
rk9EF9bLxWKFvge5TcsmmMBmQ6me/YDjjLk+9mVrZzd1iz7ykxknoaoT14iIiMiJQkXOM0W2WMyr
4dqMhZVVzaQ+EfHH2UUSnIhImHimd9akP98IBwgQkYybG5VV8jXDMi9t4OlmMUWOOwynadTjyaxr
BJ0pGRxTq+zILmxSaGor/wcnnHHyzXl6b43+vV2w3VoJXxsyzGaZ3f7i91vLkpxknprHyPIahH39
RrnfTSJH/TdwfqxK5/j2g/WXH5PN1ZaSLqLDGdZ/9YkcfObGXIIxIqdLfxG2IlhgwJRtwWT3wzZb
wetzULm2q2quAZP7y+Ku6QWzj3zkJP2jt+by47R6yOwXK//YKC85yMnFJ7KAh00rslLxAiaAwNxK
ObTjGPgQxir/eft7mK9LFnsrEjwqI/ZefMOvodO2YTuQWuIpGnqapWHniOHgka7w2TGS9kaZCA3j
gDEawQbNqaHCxkeq5LPusVk4XRMFaYIHHezXE0C/7uBmxJkiYvDv48KesPF78p39wNru7O+vES1e
1rxt7fMIA3j9GgUQD5eh05HfdluTpkQAq/R47yJHpuGRWieLF+Y8ulZFe0b/sxlkrtsAJexJkMgO
a74YVz9eaSr63nBvKRsJsmFXBhPMdfm0Kub+hLnN9/k8fJBgpM9TF98a+K04xUi2WEEsxB0xr8U7
NdCfD/H2GpksEeyzFj/I7w+xNfitn9fmFMWjWK59YYyHyZ7UPZUcoDLbyd95hv/8PFi21HGOCGzP
dOxX+wciEU6YsTtH1jzXn+3B+EHRkZF5AgJEJBkJN28/a3/5PJILkVyyD2ws9Vef1zVThdh0ZIKE
xOmDT2bnT2Od5Q1yHbA/unXfWXDNP2pK9HEe5FIwTsjbLPHqhsoir30MX3RQOkXcti2R1reqesZ8
3gpErfKOfD3nmUze6YAsEnXPONZkVgVKmA+jHJIXe3DEfiDu6p196c+3jitzkd0BeYV0/fqtw2YT
kJEVz1FQ2sUxXgLzYxKntDdLb7ybB58ME8AcP4dhqnYonPvD27/E3z4e9z6VHG8/7/6rxQuzCuNr
0mjxRhTzB2E05lc3gM9CvtBwGHqCfWj//EBV11zSHJPO259u/j4S2VZrngHUiQHpNY5H9fL7g46C
vbYZwOioZ9zAuXsM3JeO/um+bJd1DOn9vQRTLR8GvHpZigy2E3K6t7fMn33u22W/G5sYrCTOimM2
1smHt6/vj7vjcoI06T07JoUuf/x+eR5cDF0JugwepcCpQ5l4rxKVXkurbT9r1/7H11X7lPJWRXXZ
i+e3P/3PkgWEGf9jTxXEAfCK/v7xsEEVI9fejvKss4wnQ43qgxZ2oAl64q2ipaE8c5/MXjMc+qJH
cZwlqjuZ+EcBvOT98H9d+nNB5B8EoFg8m2/16oKIHcIXUNQO64R2Nn8XVqVYbL53o9BfJNqn0YDY
+fZt+MuPQBSBt03nXJ6T/8Zqv5wHEdvEKJFMJyoSbLYAsCfz3wHp/hFjmDyCaqr+kYTonWjz8veU
Qbzx2xewdRJ+32dcviuAUcYcDqVr8OoxmFPtWenkEWQV2wsN82Fd8VllGkTFYon20tG0rs6M/EGj
Ffwr15RQJ/1go1XtwzpvgdlmaVypd97drffxx3UBgQZ1R4xFgBn11fPhLdZgWqOMsMGB9CG3iuyg
QMIB2w+Cwd/B910wpQs3hmGC8io69lPfuxAdB+881wJ5F31cfzkRRL8GUY2ZG+Aa+aEyxIrgPtNz
hDNg0H6Lj722kJ7VqTHr9+7vH6sAOiif3ofP0uKjHHt1fztVEVWEqy0ai568i61bUjKgBNmwTyfI
PSRZJQ5NVrsnWDwO/DnEEUDenSwctyAqdFiGo86I3jNr/st9IyQ5mvayYEF8+0n481G02B0DTp88
iUy2Xp3/pfKGMiNVNDJo/oRFubjnYRSfSCQKbi3wXieAmct3HLPHxbOy6O0P/2PTpMChQENCi9Ka
s/V2cb+8B06XpnGRZVi1tG08FVg1H0CWimsB0ROUZdzevf15r+CHLM58IOsyW4NroSmWrx4vGgy9
Z6aMwFJZj98bogiPJWdeIBGOuMa24ahD7Lj6xJ7KBCQJxKGABXu2ShYiDMnVnVqJj3WZSd3Yldsc
Se9oDTjPdEMqCGSfU6Rm0AB66isUo++UGKb9x8thsdVvw37qDJcv8fvtwl9FkuGYiajmCb+zuyB4
ASHb3ygCsz9iRiTVeDbSioCjZbgGixvvTQYhWEkaSfcIjWvUepA63qlZ/yNG/lazujabHn8QKQA6
x9l+5V9+RfLacJWs9hqhjiWCXbPvIRSHSfYh85xYfSKVUSjY1yaJwY41eeqAYtS7Eu4sL4Mb4w0n
kTghzH3Mu9tgoT0e6cpY9I1ut2xqu0NAdG1QrP+/XDg8IRZaj7aH9F5dOE+CVXsTuDHTn/F5tbC/
60MxesArpRd/qYcWBElsljXtQ3v0TdiIpsYZVYMdZ6vGSeYa+Mc20KpZ7UgkkycScBW1ttgq7h4d
9WMKpkK8d+F/rt7sVhZxYqSEUPvJbfX55Y7rZpCM3Mw1ylrhECZpm8M3kibvzdJOHmtzHqIq8Y2v
Tof4OLHS/sVXJd4dMdd3+cCL/fZb9ZfNhLYwMhB8Gw74pv8ONb9czmBPnDqo+SNP6iVKYpt0PmvO
Lspz+9u499CN96m8+EoHF3LQ57uSULVb/uIsrSW5eedq/lx6CZvj7SAVgzvkvt7R4RHkVtXPVDiZ
AvO/BSeKqtFPhpPGWxvCgk9SdNEwtOKaeN34YS6gbI7Yzg4rGk2stt36oByI4UE/le+U7X9ZgTgB
MfOH5sou99+84NefjjjWRHaiXaMungznVtG+hv8QZ82DMXekoJV2lspPxmIMR9cytGDahRf4a4aO
NgOHVhkqwtmmzFv6Z/SSYxdLQoiQT0BCK9a0uqxWbWNJke0Ax9uFXRWVa0aZmXFqee9W/+U5DFxk
SZxD7C235tVy6jca5Tz4wqiug3yXpVbHMZQJ3ZwnYDs69Ai3Nk7Nsybj3eCePEA+9U52EBNwXrKx
v/3LA8J9XTxsGVcmRZyL1QeBx++vhcevl46cDKLUq9ZzLur6rh74NULTFevOGWwT7qfNeB+KITjD
ZaCj1IsHv5rrKG0nnJKDxupuslZwMkkCzDep3Qk8Dcx916wCGFPao/Ei3cnC/Z3mX1voPirJh++Z
mvMvZSW9j29/p7+s+RxhLb4NcSpEqbw+TnR5sRhF5wWRxQt2n5qFfethyogCIITfJolIifzF5mAJ
kgnJnA5+Zon+zg+xcQeW9GkQhfVOxfDXS+KARbILrz1961cnz5z4MKtg3hIhYumundc3BA0yUaet
vIYWw9ujV5bj54Bd6Y51gbR3irgdsn3vsPJV7kkF+P9jqP63Y4w/2iZ0rEGO0HkULh2y1yvQhKZ+
FqaMI7W43idieUnI9Vx1S00/YQ1Xxgenl9U7R72/PG+0fHnWmIttzgt3ez1+WfcQqKNr9jk7pG3i
HGl8WqehLuUxhwxwNNOqugm4iM8Z4QI3TS8IQbKLb+j613zn1a46btnAt0YZFPWO8Ogb1+q9OyPA
WV6spoMRJAj6IzhmE2WrAYe8buIXNVn5CxvNFfgImSTvPGz/NQ1+3coRJlG4sq8wWbM5obz+RrAq
ty1RgOVsu2CPXM9bQ8K/5Qvkz2UOjanBkTUwkSDGUbhNEQLbDM5zNfTEDC4cOQmbxoqzWytbNx9r
hOlJiIl5WQ9zPwnrboGmondCTHP3lXDlGV+ugI9XLx24XrwOSVjU3otbpMtnOPYeo5e6+KhmOOrJ
mE77FpkDQJHW3GBEQUn1ntvEmZLNUhA1MlAfj9Rujn5ApoAOZEklPiIPfcxXt/aRGq1FZtLVLOLy
YvfEpx0mNZm4Haqi2vteS7alY85GQJiGqygIPPJczrEj9B2OdgOkH9LfR24d7Ms874qf3ZjZOfEQ
M9K/ckqS6WaiyolP1oRnIKysoe/5gsZYnKkQikcaOd2/kK1QLS58Obyuy1qGjAc09n6zRFGv+vbO
IaZAoHDplb1X8+aVHnWQTbtWurDucN2WnBXsxbgZ46H9HMcO9hfB9JbTEknKOX5YgU98HBWbfbXg
Iojxz3Sn3m2nc1+uQxfZfo5AOsb6A7+0s+8xHBjiAtLFz8Dhl6lHIL3fIsdqgQMc9TA05tEmfPWJ
m8dy2BXbjYqLROx5GzfDmPLkj6qtq/y908kfDXgeSJbzTQrNeFBwQvn9FWtar6tTlvRDBckVUGBR
R8bG9rLMNru1VzyOgETKJjLZxC+Ososz50fzneP6H702PsDamm3b4Jtj8ybr/fVFFw55GPjGcCfm
zXAuizi51LkLl82HlzLqGh2FR8y9kdFNTbqbasY2v8jAODIUCQ7JsECExWH58+3X9fXp6f+7Kmoc
39uQ3sQl/XZVTcvq364JuN+l0j/LYsYGMMruYRqT8rOLoyJ6+/P+qF1Y4TipscEikCGJ47UwvSmm
tPa6acuOmIMrdtbi0om0/OJPhDBkbsu7QdjO3Qrv+kxoDuFEIp22Y5YJn9ArSBjeTSTWf/SWDqJU
YOXPboXoft9I7xYXGWtEW6zQ0CfNUEf0pnhvfUNmyT35bYGjMDSxEVM1s1WwZ/5+zwKUco014jNt
zHH1Dtj4O//cli3wR4DFI9TbJU0vMdzZ/ggVbH1uef5AyRO2EUTaNfXtnABxPxZ6XlVoThxqceVm
6kvW5xrhjcTUC7nH3pt1L74lRUHdPdUZkJDW72qF/78ZPhKxcQNtK6mOsdRuemn7HuNRVqh0fkwr
X8H+tUaPVKZG1p9TD/TIviVNvj7SvEMKljQiy0/YXof+oPBmlodpnNR6TvyyHh4CvC7wjyrfvWzn
6yC0RGfCiUdOO51RWFff8fFnTYRZolgPMSeJ73Js6/I097ldhF7QUTiiRBv7nZeRZXMhTNYiuBv/
xnUtaI0hpeL3omnX/WCBKIcXmjDd97SrCbBqxiTlOJVWZnWp17rGxzIx1oOBbrt3pW+jMPNFhigj
n1b9zRFEGkGUyRG2Kvp++jh624AJpUudnBmLJfPeY2zrHMohG/p90QbliNRcYEni/rsN2dyZr09m
k5X1RZaBs9zmXUXIOSSB5qiFjm8ti6V9EYR2ca+tp1iBP0aLaONaRVbo/MMC5D+4Lsiz/ZBnaAhn
jJvMG3MrqgT0TPpi7bNjD7UBiXTlLGGDCHB3Lo3ae01EHeY3ONsblUU4eZgWwvriZ0bw0OeJBGhh
qoJwsGIN0Jkic32pDQ0QfYVB8GCoAcsaRC2EWbUeun1m8x2V9ur+VM65m+9iJclcwtPtzYceB5gV
8U/xLrkpjWGSiJy1fJYIKe+o82V6mf1kOkrCpOpnvK6Ecq8zDs0XS0LYeJBS1dMR55fuDotKjR9F
ztn1nLjsmYdl7R3v4MV1+8FIhmCKCNWrDTSuVtdHdMs3JPvk0CUbsqy7weNFFnq5QIjjPF+kCCRU
H4BLzLxAtw826Vnm3s6W+kOQ0126zj43IZRxQeCqCwP6WHHQRwG3pb0cG6At0xUnLJAjtyjGjq4e
Lr4I2Z0PBmhtyicw8MQCEKizhC7JKvVDb2KlRDA6GmAvZtOqQ57GIrT0KJPbGsNEfoiBej7VYwXg
Jx/9eL4CoFibZ2NtPI0gtBf6jI0b4Lq16sU4zrULP9PxR8l4bC6q/LouMh4OvOBQUga7mcvjahVl
ejS9adoSAprqZ+E2ZYYpVKTOpWomj2EK/357CnDlYvTDZEAwVtaa4w7igescwJYU417TkF3vefQa
dMgaWO/OScsuSlBnysjzO4RUvek3kNXilkWdUwuHPB181ZbTI2o2YxB0meyu/JA9c3a4cGcojXA6
Yz8LnruaMfIDC8q0gLk2yaKZ1m0Uo5mCvpTaIpYBa1cfJskIvH0y2TdvAfZCxnQSStkIf3FMwDdJ
2MV+SRztoBPumxK/NXnn+8xZgmecftCK6mpxn4c+0z8wdyiWNzUBOgxs3+4jS5dVeiJWnCkb/mG7
3+Hj775AByndfTOVOGenvgEbb5ilwmsWJ+DWBhGY+gyVdBwPGv7Wx0KP/k+NlPOjU3R1S5CNizEN
53ri3rQl/vndWGnfPSRLDW2uGKcedkxGVNjOllX+PVZCD4fVVv1HjIdJd0S8gUmsmI11DafEcPwj
sQNVejBLYk8eUp6YYT86dTM8ypQvGiF2oWKcLSx7h1zO800bFOU/Oa7I6jAEys2ROrir8ygAFgC8
jKn4iFMwNdO2rvduU0iDX42qQMVjjRnrhAJvqvD1mR2gMtcrT12fSOwp5cirTicbyksyDWLYu6U/
PIp2HD6sfUeYXA+oOL8N0D03QFJmOC2B3Tv/cnfd+gYg2gKskyLpo7E4mOTROq1XEOj9T9vuAEun
KyjDgy2HQZxBspcUwVnaeU+JGxhxCE5AW8d55tU/zlTE5H8QYPRh7BpIRD5TO1iSCWBLI8/L8VyM
rcKwGwCttb0ByfqcYdPkoXS9Iiqhc05AsdeqCFs5UKT5orfKXbuwz7j00oZ9N6Vet6OHNEDX6XzQ
bLar3LAojDY5ZYOwUtT4oy9CSC08wGmfOBe7s6oaGhzAQTeo8HQP9doMx8WqHMwLjbBeCqn67Dk2
MEOcR4Sz3UWlUCpPNbUpFdswvjR4uG8YPyePS8E7CmQiNx+KtPI+T4NU87EQYhlvF9XPzwAo0/TQ
V5a93iMl194ep7+F76d3WGIJl/GMPd9lzpnnZVqGQ9Gl1H656pBEtQJlRm4COEs9WWn26Mz6lI4j
HnwbK6J9w3NAPINyy+FJT3CA9hDSEd+iwis7Fv3ZJKZvthv/kdnBrKLZbIKfae5zX3yrpUVJf7iB
8qPxiO7z1OT/xR1Uc54nd75Zp0mPob+tXrtuTdgFByoC2AlLZ6dYbjOab8FI73vRSOrCQrcQ/8Bm
xioa+Fv2qZwIYiTsIDcvCOBbRbZMWn5cGrvMbwg4KZYziZclplSr0iQXMJm+ZENJrYNfqnZJG1tR
fxgjSTbBWDsD+TtC3BWICwFiExNJ8UOJdbNIxVFtyuWYhmu5Yg3tSJm5UZ6BK2JM0NNfIVkwm13L
bowaDNs0yGYazJe4mNkIayYhVAUZDS9Yod4TsqNh2ntkbQUvhF5rcVcxNktvgA1539GuAcUOgCmk
4By6GkxDm3QkOFjt8C0dgKmD8LD5NE756xdpVLI5TFMAP8JXa++GzqrJErDttVx2E/yTp3zx1oHE
BGP+Mc5SfJNm+ZjwtnBd7WjifjFWGkyjXU5HrJMFtF4l7Md4Wa1xv3W5kfQxgTJvjVy4sEWSwri1
aoN+uQzmyeAzAlGdIClUU0T4J4FxGRzSsGonaAHx4pOFAEXBOOV1yb0RZpV8yOi+7uhvFuNJO32a
3AIDQ3JAuAR2HyhxBLvlA6qWMz2ZGe5UYg1P61yDfZRr6/yUdTqbETWfIR6hXkq153334qiy0+HR
CRhEHaBU8KRSUlAdQW2mHO6JaQg4qa+JwlE0BBf2VRgDyFQBbhP5axKvLsBHRawaXn/oyskD7Rpg
xt3LiZbcKdaLD71vtJ3HtrXx13P9wGxcDc2qZSHHlqA17fWyceDhuY3vnGUdQ+TOjM5gIOiD5BgB
/w7faHyKW+X1wL0WhpblLvHXHt5T5Y3xUTReyliTAEa86a5Z4dxrSDvcU/8EeC6MeT2SfDTQgOj7
1D3GjeNVB4OxaH7mC3rxkxpz64wALV5vodPq9N7xJ7dD1mca4giW0vyXppOtL3NTCmPviMY4TKVT
WQc5zAwoqx40gZMJeOJ1ZnoV72hmfys4dYxQytAQhMNcrt0dkSdUlqpxkvbk9EVH0F9rShXysit5
UEGyr7Ac2dDciVfEsPUtMSv5AQZkrUPLGzGkW07ZEimFozfmd4GcQnzHLL9g1078h6ap8y5q4oJ1
yG/yFGtKO3rJZ8GoLDm5uk7vh7Gy2htWcPowMrXmO2KlguJiawfOYM2IcN3D/9F5VKyJ6WItW0d9
zR1e1Ku90ua4142Tleesgl90sJg0PKRtS4WRNjjUdiMIHObamLj1NQ3AC9y0Wapz5NDom46qHz0K
jD4zQoBErKmZbVdPPPIoWjIksWiunFJyCMtacNmmWsob0+KgGU7u4sH7kg1ObjPmEMEejGM60RiY
6L7Y/rchVco9xOTs/sjjMlEUjVVzjmuzTcIyp4V+EqJwn1q7tdQpdRCMHTiwxCb01RRUGOOVBNtL
OW/xI4PmSmaJE3W/VPn6XWQF0QI6S5MLetNgwMyWcwuNli1bV6M/7AUKp3a32rVhHDJGwAdtLhn1
zpC0PxNnYvA1l4a273LDs0+xtVbf7VlzKp114yOUGhS8C5xh7c+5o347Q9Ub1dFNa8lBH5xfQkKR
yqBiG3FSRQEwI3qGzjKqyJdwaZ2+7QkULGKc/FU9rBsxcNPF4qntXra3Qe+J1yHVlqiy5iPzyvbZ
5InOQnfFEAtaYtbEUlT+LPZgZOBiCz/DelWYDmCdvLeH46DmDMBkijJQm2byryZZq7hpxxasjbRt
+zKUEtKtcJomuxh5AAu6lSUEKMdHAeKxcllhKTlaXXmfx4dEk8UUDZWov5l5X2THJnNEfsPaOzxq
jhLkBuWV+6OttWls8cO2eA4m6POwjsEfFhYsyrE1FQNIW8hvgbuKu2ym8ibWq5ujROXafwkGtH6h
vzbMK3oi5iyCgcde/evNC8afvjfJhc2MJgE76Dvry5SMzXRmohRfq8brvH1umZ0Tpshg+8g0W86z
XZKVoKfzUU7Y6VaZR1nC8wCOok6/jbJp3b1vdl0QgpnokYuSCBBWEqY2Bbvl/MhGIwO4UU14r5Jm
fqZvlz51rRL/8FQAQE+pkAhycONmJQsqG9K7BBJuFhIgUf7ozbQ/OYssbaKbjA1VuaRqCR2p+/kx
prYQoWUpMIAJ9ji1d83WxFOFqFERfOMN8pquteVfZd1yOQqHXrDPrICeQSeZiZCYq5NNnUKZem9X
XtDs2Q6IYcoZPrrhTNvuyUHTNYfrBOwTzEJLKBgYeiuuHqiCiitRosZ4TaXhnQA1WtatvQAZonqu
guwBMsZghWoyoAxiWdRPLWxqCDdEpi5Hcl6V/MCUp+4OwDLg4jNSCoaDncytfd8Ui3uc8xFrFZnD
QXbijQm+2OhAD0AZAjYBipb1HFiFSwcdvo63b+OUjOc0aSkHLAIQKTEreUnxry4hHLTE2UPfEPGB
8tpUFyftMgnFag1YnhjknXw5rwBjO7pAhGlNzl2vVgVtPkOZtFe5verI6YP0RiypwBIKbHI/Uulc
UB4JfVlmVTogL7vsurWlEgLjMnM5tL5Vek8BTIxDaeJlj+rGYtV3ZdMPN66IJ3VcG9u7p8bqjIOT
mvomlt7aHRxSnssorcut64uK0pN4XyYt92tCBMoOuV+GdbQrfNiQJa1nkDc5ucnnZimC8sZtAkGb
PKhHGs5kZj12PcjZaGOKnDstO5yscTx9TVf6C1HLwJ9gXCYB7X2qAhDcQYvH9s4uZUCsKHUcvXb0
1+ySvv7SBTWbFTUWVQMAShnW6ZhwriF+BYwJRmSQSwYF87mDWWmd5UJQ2d5YaraU1uzT9jSv25Jp
lK2qqT44L5/9YnQ7oryqXnwk4WvzSmPKNA8T3Kc1anIM+Zgmi/hbngOEAorOcYqRA8L70PDj/Jk9
xvNOjJ6t8cRTJQiCMOmagWDObIHZeJLfU6MmBsSL43zZd20z5/fmjOEjrNbV/KcyacrvS7GsEzk6
cZYewFPP9SkHI3okas7Ozyt2Z86I/VBecofM1Z3J3KQHM2XOnzMdwAKa1QwEjyAzlANBysO6b0ge
hwtM8yAcfeQvYSad7tPqETm7DRldkEN9y9KgXLJEjiPC2jTq0MixNcEiGe4GvIwkW7uUXdpSRnY7
Q/PChQsgvT3LjtPwfV2K4uMMi+GbPRXQy7b0w+RkQbub9oQpeu156jPQN2mvyRSySQgbbG/i4wN/
eSF5JmGuwKF7vnDQGRngqTE+1DP5aiGNqvSSBc1khNkI+G9fty3WXZmYULISkee3OHViXImdbK6i
6ji3x+3UOBeXfePLwMA0w0mune8BDT/sjXlcN7cO+YLI8EjmXPap4IS/g1u7hdLRnZxvSLd21sem
CFClyxqbyp5Yw/izrgiYvOHB1KzHhjfJL3bfVZ/NJWUgWfOKOveZkROYHQ/LqM9motQt6X6V/7Eb
rByhB0kJl7IuGpOisIXgFUw9rUDPSyaIxmhEy2MPbskK516VPyfpSaxRjp//y7le1cemIT74zp0X
RrC10vZ3QtdEh6zd9O/AUtH25dIgQZtZx/VkCayenVWSyIQC0OnIN3ayAwPqmKJtLrW4NVfhLzD9
QBvubWnYj5DypUl1nAQ/0cKNgJd1lYtT3uTMBqdJlg9p44K0mmkYlxwM9Ui9u44Bx6d6uumq1aLd
JdOU/QySwACvYgHGbPCNFiKXgR3ywzBU3zH5Bp1eZrL6idBmPfvlaH6nN4iMpYx9LGhiNUOD89ay
y1Vff17WorA4NS1Z/LCmjfUl72aPeBP0jMAjxx646khqAAgxvCI4VXODMKRU9E4WNl7/L61uLR/B
FRFR5/ra6J5sNifv0CEPqaNulT7GaI2/P6QnETgXMa5WuZW6/rwPDL9Kb+0aZFII6i8xQiPjhLPj
t9bQeNm/Qqn8Bn35QJDhbuaw/twv9DMu/tDO1aVJW3E72Cp71mASKAP8Jee4o4IFM7EBZdrq/CKU
mU+FubilQe+wmeY4dJKCUySnmvQhgcQE7r/3125HG0Pegu3N2gvjaQ9skC1qjWu6k92dkItLAsu4
TBxpzLYYvo1Ggc14IUwV4DlKcfIlja+VR8YVgkudHKkQa+Jdiqa5RZu6BCSGOXlOxWAsbhTAW1dh
X5bEsJvuMDlbz0Liwo8n0g9a5NbyXtQFLpxhVTC4Kjkv3id6mA0oPBtkAbkxVdue+MY53AUUjP0h
xmc1XdqSJKpnssPFehksc8xOGSGHwVnmUz6FiS9Az/tZD4kg6wnIjlytgVTFrGgrYU6UqIRdTFTa
OFVbKolqtI7GoqyYZkVQldZ9Q/rfmbpyoJu6Wt29pmoyT7qyJAJ2M6AGD2h99l/bHuXMnS5tXV5m
VzWfoWTK76iBidpN6yEVRyBn5ktsd8njFOPH2ItO9BwZuiLHBu0VgCL6xHb35GPi4WsBFy8HkmVS
sTerelyuLtXeJ6j57E06sXMr7F1CWkmLWfmGLGtOETr0zb4Ea+t/kvW8SeRjOlBhxYFwS9zsl0NB
NfxdFVX6Xagx+RpPeb+cfINc173hVdkPWnzj2dGjKaNOxKDmNnB2sUtxgD9jF0pMiF4VOTuaX4aW
b2r5aCeSqts6oaLfO63bna3clJ/aQqw/iqwbunNPNhxB7UUl8oj3ufGOSUaHPDShAMyntii0vFHB
1v2kMazTW3O2JnUgqj2FQz914idNVif+LNtceV+Z3S7xldOjU8GfNIkmKOqi9p8aNEk2Bz05Tz+B
3wVTaGVJYIemdhCu5jyJ9sPargD8CkhjU0gx1ztRDizzlmxT5n+Mh4tvKkiRG7lLWoegb+WxzLRf
04e0OyAgqFiO3Aw+pjWJsthZbkcroWsCDAp5vPTkbvDjlHep9Eg3WZlJfyVvwi0ecApl4P/kVMgb
Sskx9NhzSDqtM6ih9Nm0u7OhzBL6kk7Vj8bq3TQ0nKYefixqGBH4aJLhdmuXTGKPXIpz/QK0rtjR
BiiC25TG1WNcF17DjAy9xz5gDPLJadtsuZI/NgYngGpZyBbFjgC4k70L9LX/sQetT4CRnZenIIcd
cyHkhvG+nSUWvLnSGS2CATpR/ju7a17sNfJMcq7c2ltv8gyQ6LqnP+7EiJU6fcoUw7L/wdx5LMmN
ZFn0X2aPNih3AIuZBUTo1MxkJjcwSofW+uvnRI2wYrKHtN7NotqqycqMCITD8fy9e88NZ2Tv3zhN
Z2u4Gqb2g6cx56lGG/siTFEr6k/Vxuq53TD5ZdzEXnMgx8CRl6qzkCwtLQ17EuhysjbKotSvORZD
/6GvKm7Yskrpo6ZJ45JfNEA4CbMUlF0wJkuj/AWUH4JH1yrJagKEMvlGPM24YlFLO5FettZJK5XH
LyAaGOYGw/lQrJll7TNyNctARzXphFnN+DuABGJlr3O3QW8VpbLiZ+Zv9R1qkUH4ydgN+XmcGgtk
O3rudA+2w7vDNiZJWlDS1AJQb90Y8Qe9n+Ea/upiZSK2dFvsQw6c8+MMbnYjDnoDDMUeHcccu0w2
NXrLOv48FB2PKmHm7NMLsI5g/eGVYhy1QIX2FlGvRH1nu2nth3lvMxIBehYblcfDAK8dNxiIHFrc
0FuP8bRM8GbtlUZnL3N0LgDwR6S/xM3JkN6hljEmQhIf1syBx3CTHb25yVhamIoiJUfE7sr6Abej
AbGSyALn82LI/kPL1vfaGTkhLTgIW0JI04EADBN2YVC4y/ayJq1rnNADJzkjhcnKUMJauhZZjZP0
R3dsIJ4MTe4akC+2+ittBq5VQ6Q1t9OQT2VYmGkz78uycMnMYzIXEDJeePsBHTPHqTpVBDz15E/2
pVN/jXsxM09laEk0SAxrZEZfDMSSQx6gYPLUstCaXaKv2mZjEqvRL/MVzmwKOadPJEEL1WifqVbx
2QHwl985CbVLMLhrLThxFLN7woCFhCSuM+ZtztTV9KQzhRRmMcYsYqrkXtuipnFXEN8H6zpF1sxI
MUFkcD0A3ehot/WomQ2VUKKCjkmKGPrmwn/yUJZAmkmsKfLkONdFctEdsM8XkXrd9yW3S6IEpkIr
TlRuBW0L7PjXZNx13FUl0NNDOdG/obPGGDVMtnmu7hJHR6dU8znlHgC2tHduwQyQGUJKCjparjKq
1tj8kSmCwTl3F4t4KjorTnexHJAvWHa5HYx0ZJruaxb966ADQquHkjOr5acQ9lrfkIXFmQpqQdSO
C1e8XER86pdGV1HfSv1TWk0N+ULrvEx/kq5ddTPvdBCII67uDxexI/SIn3UQKtc5sxmjR4oZPaWe
nko4TGI86Vo64R+s1TfiHBYm1YbT72h8GLulhqBJHWadVukS1jxvJllgmzzkdVcE1TQkzw33LAW8
Um+GXogIeItX+mVc9M+/F6Jc39xPbx4MhcBsZwoTQb8u34k4inItJDHhy67G/ukXhCUfE8ch11CS
oFb0BUOUyiGQz2N49wcJifNeg48X96q0FLbBdJh/f/faDKk2187rbTcJs78bye7w4wGgo18VHnBg
gmRaIqozpt/Zvo/dOQ47wFdyT7CyZe0wN4BwSM1S9gf4i7pA6U6khc8pG4nc3Odwci2K7PTMg049
9HM5f8gc0kpvjTRzMzK1sjmniG8QMAOwIuhlaWUJKdKhRRfZZNZ2uwR6k+vD0XMZsDCkEVEXL2Vz
C2E4+ZgKEu5IbtvS46JNyMPXdpifU8zZVlBtwzcLOVNAQ7f6iAh2vGfQ0UW6my1kPCWTQHvSDw6x
8EhLCdNKdC41X5JMHyhRtvZzksXSDfWBKZyPiyH7vC2bSU45xbZWvdJ0xhne24Jo10TU+beSYKgH
ZayWfj/CF2YSjpxuekwUdNm9YSO7YoeO609icXEc9/WsfUK5grpcVwlwdbex55oma6HR0Lby2Pgr
zvItkzAt/qS4/0U3dP3aJbSRKyDiamv8+X6x6fXSfXewdxbasGOPdf0cO9LR5PJH1lAY4exs05fO
y98m2abfgWA5u0ptN9J2GDeX9nQ3E4Hzh9X4ixT3uhqFzQwch9Ff9vCf31ZCz8SkdbjsEKE0tzzM
9BeP5Jr9NVbvqWZ0v29ZDT4dhg6E8xhbL0LOcWAh2gXglky5b86l9Qe53HsxLm+KW4NrRFKCroMW
+flNDWbTjsDz151WNOrUefV4PSm02TFhU/RnDp1HgeLmTy6E6533864gsPIBuzNxw7r2e4exdAYK
J5thVt/Q1E67nsozt7tbtPTISfA7M0Hj9PyktUV6au3pI7+muitc0LpKOvqu0wzvnhTUPtq6nFrp
93vWP3t34D3YayXGev39AjIQQ+dMQY0dO+zdnBNb4Kd52d40ZjFOfxDC/+KypNqzJTI3PAasDBQf
P38DCUPmBMAgm7Y22F/GviWG3ivWPhomPf1mEopECEFtRqndrDdVrdMRLxqH6XS8Rf/qx3bAFmH3
RDWpO2Aqfn4nQzY05Cwmyy5O5+Ex5+hOuyn1iIFrt+zb71/r18cCEFKGizoyTczH77dmmpMj6opk
21lOw8HcQR7qV5PFTLAWHLH6a3T26HLiHykG/vDav2gxUeh71yuOMBLnvvNuf+gXN2bqxJqHvZw8
ziUDANecSst3+6KPDOFoyR8WlGm+X+946elom1iucD3o728zY0w2snKNOBpHorRDF8BRwqakkx8H
2C1DgTVOx1FJfUL8l7dEGJPdsaeBxRGfI5F+rFybiqTSx/ovSfcg7nUtz3toaBttypxygFXDJMCK
YmrFMC4I6whTe+j6EzIy6I+///qM99eQEAiDmYQrrggaFs07PeuQL6yiNuEAj9T5C+cdoqwqXIsf
2P6rc6vE/Na6LSpLwqldv3QSYoFyj25GdzXI8vgV/mhNdINbpd+Mo2Z9WhyVXX7/Lv/Zm7wWHvgV
+Qet97sFjT68LBlz78e6dowdsSzj+qzXRE4F+rAQ9I35bRw+//5Ff7mhuTQsUcij6LhBm753aSJf
0jsb4s++qcf2SOenoTKzxSM1WhxtDMxvLBlPh25leOLP8HX5X8dS5JTSxPr9e/nLnPz3fVaS3HzF
q3IwxSeA3eLnK6A0M611xk/72CCBxCe3cjnXfW/eiFxtzqWRZpmeN858+S13RGzsceBlzpH4rx4v
scMUw/dwxVshTkZvuiB4ZYiBhqwzyNU1aN2sRc+f6F3PNq7lvbhlvlJsO2m5fXucTbYzn9hzPTmY
fRNfvBQBhy83wkKChtzKjqCtWjmn3GafO2VGbsYXsdFgC/uZ/o6/2TN8hJTOHFmFhaUpnwMojPBk
5ox1QXzfvwpQMuub2iCu3tVdRUN36dft3EypJ8+W3dnWrTkgZCJjWZcXxVIrAntM8OMB4+NgjBxX
Pjt4vONw9kox3yNtS5aA9iXOiA4j7P73X8kvBjzJ41a/Gjaw9FMSv99l12Ko6Dcu+h7jgR7DGPCa
1Kfvic1M6Q5EK6vF+xe0QncnjE+JpSEILNw58OJ0LM6Eosxoflq9m/5QCrx/6rEPm5YDhumKgkA+
/84ghs1TB76m1v1WDEk4DKrBmJpzt6qrU/UPGwgP0ndbIvANvCgARjjaUH8475579ZppZU+Kwh7l
mtNeBWBGfRfXbf6jtLRmjSxMEUi5MtRhDyO5Di/e6KbuaaRBqO7WCUMKObtK6J+UO3LeXgRiowf6
bwm5BcjqAuWpyT7naJKMt1qriuVDm6RtEbWUyUvUgHzVIwEM1ArFrFPu9ysspJu4pt+OkeWvC14D
Abvd9FhNwcjVzyJnmRU8+nzWTMWPEVj3Qt72sh763i62Z8dA/u3PrW0x1wNoYhy83Kv2toalLbyO
R1/JSHC/DzX5A3tFvDfXlq4chV01rFoEp638ZJbK2OuGjOWpMFZUuJi0Yj1oyU5QGO0hmlD7W/0d
Em7ieIlGM4w9EzHiyvtkHSXzKDX20WhpU/zcM7TfS/ruRSDWsv66WPpU7dAgdS665Kb94HUmhpS2
1cYfYPwhBm/eXHzlqUHHp/SssXxlTGO2wZCkxod1STMyQQgk7T42uVBHxfGpPNqjmB6tupE81uK4
jo+WEy/fLHZWtvgai3xg5eP4wbUqbz7OTA+tkCl1/3p9WHl+i8I0CUQ2G51f2wk5k9ItrB9GYcIe
rtNh/V6honyyCrKKvuW5ixxdS1pZEfwZx3mGs3sGYwtwl8RSAg/I1qUhmQdVPy/Sd1y8pRFym6JF
gBWPO9spCTUqu4W+IsMfTjFIf0YtMN1Uh56Wl/mM26dua96F0C0eo1xx/CsQfPeSA+sW6GRpvbkL
fWDfKSeSigvZxJ94QAIapmxLyLCrF0dEZob05qCIojZfMM/iODY3WLC20aVHZyIlK0LX5+KjZlzH
fjZmjXsooB2VIVlB/fclm5g7lobiHNlCc9B8BHDMHRCuDfO55QGU7BYFdcvXOP/WB/oSTnVOxkad
Z9iJ7Ykeu4MhK4Wj7NdWkn4ZsiprsBrPMOAMIy3LIO+MmunFtDlbwJ7N15BUwkZKPK2VGTK+VPdm
ividvo4o8lCzZsi5WinWJrBkXz4RWE8f16iW9OxOuY19oJXi+5aZNPpxprhNMNfxelfy41lYs626
d/TIEcKoTbtfaqf7zOlfkqbTagTfZGX/xc43Ye4oozjrEJxGvgWZFEWw2mXjMCBOJpBH1/g1syop
n+YkNlWUdVZ6kkZu5FCqJ+R2Wll98GS2HitkBN/QlLRHmbspY2Ey6u0d4c+6d6wsvkEAJgWaS3wy
bnMNjSYCKCNHxPWZFFqX1BQeT+mpQgg8iB6IsYs/luIbtsJp0lrSKdJ47G7U0CyPulE4MC3Lxrgg
6SSlZx2cFjp32cGLdDbHiR9nc0u8czb1mQhRtrBI3W4z3ypDp6PWpxgIfRpqXO4K2SKeMoMYxLCj
jF0imS+wrztIdeCO2zi/1wowzod1obWFkC0zB0RedDqw8OBTIE4nHrgaYksRGnmKXci7ynmcmCiZ
qknXOYJ6mVp0orXqAdV++2rTJHN8Mi/FIymkRCNbLpHd29U97+uUCFbo5GhH/HbJ548zcoD65LqT
HVZYAV5LatIqWFetgi7cZGohadgtXiHx6QSW1Zutgo2hTBlg28pgOnlJxF1BS4BoGNgyRpW+FTmG
lwPY4PQNEyMWmthT4HzNYmteFKjuDGibs7DzMU0k9QeFWebz693nOU2BRisZZx/rDswQvDOxFNGG
8me3QfJuI6fMWxx2pqfHuyrJCBvlsZytD4Nddl4UF9K+rxrFiKOyE4JFYilIRNOrqzxkQysdXGc5
g18CpSFah/bc14aoLD2ays1pjoY9bK+zTChDrJ6VmkLzkh8LBPnITZAsZSEtfFyJ5qBxk08zA/x6
bVYV1Lll7taYVighQ56INP6gJvvIQZCb6KL9KhNBjbTUKaAPRPPOw5wvbD9VMsSfypJZfTCCKGL7
cT2EjsMs8Jis2QY32wFvsNid+UTdVmWBnKABHCGFXfXsHn6lYBNdTTgUU0TaV6YGVlq3tcpPTN0p
zsyalpdsYVrKPr4syaNQff6tmzfjAQp6mxxkBYGTDUsbYTcvsSE+GsxVCHTooASd4C9o+Cql4nHE
dI2Y+gqX/oSer44YdcpQXxn1qMJYmo9dk5hT2LkVqnS2KabNNkxC+B6rZ2/3baWrneYhXAq2TU/T
wzpQKvkIuQ19pzVWyeGUKYC5LyZsfrO1AAxP7CGROzLaSABKerP+juOtRxBTNFxnAovGGLlNIV0k
iU6Ehem0dvAXcFeOOMM2k+QZ9rq6/eoyhNVp+ZrWHMh1Ec5hklZsf2h611rQW4+Tcb+YIMqfY8nS
C/D+8lAD5URvy5vi1ncEAowwy2L1aGaYeXCAT8u+o3ro2cixavkeojauyEDrkwygTd0XzP1uvR4B
UMilJWZ+zbW48HMi4Jxdyi7Bz8wGsH1PaUXUOQveUH0xdTIvvLaLj1OqFek5IYbm2ZhXrzzStsf/
Rbt++Jqj06rwXrSx/uDqpR05I8EKIWKkpEMCZmSECjTtx0GkuR0lFWK2neHA92f0DQgLfWt+dXh4
JcMzMrIec3blr2i/s5SLaNlyP/d4OJDvVuluTZfxxUl0sniMzVsOMV9plJC99jnnoLjt2rSsvzvK
ReTXcWeWBA+gv8KyQBJm2OItBq1u5fTC5jl1dNQePLvwYRBiGUwYO0d/ntvl7HDkYRpsbNN80LQO
LM/A4ZfTMECvW7MA1/MMrjdmdqstrbMbYKQ/DUQrqp20M/axQlo9P697xbOzrQQXiMzbLlOdw+cE
BlQdCSeyY268kW9tqBSq1lrISxPDkgx0F8PDLt5sPJNL6mL1cxcT6bOWDTDkRTOs2wNmvgboYN/Z
RTili002Ul6uzNmlR0SPAUjxG+G8rUu2JSnP+2zJnY513tPU33QHbefgsg481TyRIUE0dY/w8Xlq
SBigYhTkrJjXDhFZTwnRi2vDOLzMhgXdGa2zyt+8dml3rBTuIGVx5CvJn54ujHPazwCucB4Q/zmJ
O42hMkGf6WrcksxNrUlMF2nNVWWkyaUaqrHzZbHFn8SkxPeW7UQQngA7/lytk3mPGY4BD+bnIZdn
rbIqcp6bdslObgrqM8xLNusLXIymuSJOsybieZDakTkbdnzLTb+56OamhSBBNq0bjRn8jdGslTiP
DcX8g11fg4aNBJjnya34ksLrURoZSULSS2DpKMt2ZtYJkqv0jbzMXCfo2Mpq91VTS6KzOSGBIBJ5
IIc5UTnplsWabhrlBjCgaNVQ91a+w7jGu01izhGhYRqbGyxz3m53uZALmWFWPLoRVfWwHSjQ434k
9WLE9w/6wQgzE3VDhF6y0cJpKSgUlY5Z5bVBQiJ2xVS3Bo8tTbPC3rSHG5DSWnkqaWh+3vSR0E9r
bNOvseS7DnDXjMOlNpDJnlsyP+UdyCM5/ehFPE1Rjox/OlbZZj9oWWqLPRVVz66Pwm0ZSZ3IaWtT
2nhvRmJXByK1dNfnt9h4nHqgN/dpn7iMICaz0iNCNvivM03D3WaLbFCX1FZe9ljIOdF3kt1rOs5u
oZIPDmbMqx2ysVSU5ple3qUbepKbElpsscMdouZXY1INx/F+dZMKDTToH6cg3G/PEK9WjwV4bOwB
7WQZI0Mf2a87Kcs4Q2K4FC6j2YTY8QAppkHV36JSQcivzffwWUnjwIxbP6ihR8buwLubA2tmdnVR
M/3Sj3Zi1w+oH/G6bwnSAMrLtHzVV5V6/R9ad7/2kKj00bGQVCxJOn7PKakUsdMmZ6o9UrX6FgjE
pwYD3+wzM9bDJl3+BOe9Ns7+3rGBHMKcAI6IC7AD4tY7E73H4bsgdG3cZ2s+vfRWmgY8CbLHOSGh
iWlFPAZeNb/CmRlvqHf/5Bv/Zy9PAwC4GK0jOpXvTuWjK+kwd0wl9HRGvjTWGoiL3ra759lO+hfP
6NWPYqhRTtVpf9Es7cfv2yPvX/86saE/gpibC0F/9tpI/Rumg/bp2nWYpfa0a2rXx8FFF4Z67Ij8
aYigeLTR5tbTVY2Hpp7asv1Dy+x9W+LaBWE+Q7Fj0JU27XcXoKGa0IG8r+DCUJMjuVYnLW30jx4f
/eLKcXoTPIv/0Hn/BZ1wfVVaQeDCJONKyvyfP7bCmmd2cQJqXstfmNikp2muhsBEq5qGeobJQREe
cs4M4BoFsu9H0BLlH/o/v1x6KHjiL3gCCGPT8q5//7dL77ozZmG+mX1CGVqfBGFh8Vmfx2kOACC2
27mFHEWATWt330pP6XcgVYZ+9/vv/6/G8d/XP0UVUBPQBcxhJU2yd1cCLktVGwYy8WwVq805Kqb8
1ruGfM5OtPP0iGzFJAuVdoq4euSGHyaVeLorgDUNN4TyGsVNYc+mdk8wbt3/mIemwAScSkedle3k
24ESYJ38yRsgwEzNVkRx3DgLm3eCHslOJBuu1q1jlBM0awXaYBT6eSOKGL15m9TzjiwbSbwLMKvy
GfuFXb+iE3fNWzcbMV6IJB7VgR5wA/hCgqc6FM4420Eu6YLsxtqzCyzkOA79RbMrfcYwLOqPDN5X
IxpHs/yGdVQf/LlDPkhmqWF8oP1OkKgNNaU45+USiz90yX8ZTDoGg2UAMmRvXXvE1wSuv3/xOiLa
1clnnGVgncMFZcwurt0tFK2ZvmQIQS6iqJfTWJc1oSe1cQdNXuzz5jo7H9c0qPWmPvx+GRi/rAMG
YQzgXMiXDl02yG8/v6lha8hWhkO383oXztOM00w7DVVmaC/DWsIFcOMJZyQ6yjZQlreRBONQGd12
9Mu4RypYoS8LCRXdEVnbqu9R7xitb080Pb7hre5fXGzz6rASNppEc6W1bw4xD6g9l0W8NqNwJbWr
037U+q7ITkuGArgAlNvuVKlv8cE2sRb4Y2tCgl3MCnEGnAwUL2W8Uhsq2n5RkcYNusExn5wzdo25
OtH9EPbDbGVLsyts6LJPLiHj7ZGyc9AZ39SJvcPoPmv+oGXuJYd/aIeg7MVHs926AqFvu3Q0y8e4
emsMh3iMdbBHTroAPLpdndE+8T2scByRJ1pPgTEMAs2FYQ7Z/Uqh6pw4/jDwBjy9ZdG6ZN14J82u
ooNYtd2jnTU6D1TkOetRAgKSL6MBN0tpmYV4Cn2GfFZ8US/zVFufe02MzblfaL9ExIvaCRJYM052
1cZ4BYV0jy43Mett2xXIy9LbeegI4SW53v1gT/YqgrxR22PPjVUFNRARSSRXyc+XsUZXzRHlnHKe
Gz08xBk+BcQMDMOYE3rTrZgyryZ/uKNjDh+yi/gWtjjEY7jmu1644+emUDY5HSBXTouhEMWOSdbv
yG7LZEAVx0dIxkSiYJrhdSIQsIn2jktDi3qw8undlIG4OdU6wdl7gaBoCohzr+ev8E5R7/ssANjM
0FYH0DwMwjTrojrven41eo3XUrLYo1911/sm7/XGJ+66f+VIRiGM9AUlXJ+byXJHwm0rH8lvKk6I
mQyU464sEmw76bhH9FQbu9jIVbKvtMUQZ5yAfOgUSFx6C9AgfsXqDgPdy127A8kAjarsjPi7nQz4
oYp1RjA2Q2089cXi9CeCuJEyabKaX8q8H8lt1id9/MNT7H2pBOCQuldcw2+u4SnWOy0BxPNGT9JN
QdcCjqcWr3vYOlJeKGe2Y8VC+xfnuNfXo064Qr34Pgzn3QOLYnQcJ5PXs0rNeoJf/HXF50K4tkq+
EGM5f/n9nvTLEJfXA5XtegRHoFuAwfrzluRoXlMAicEN54i/4uKWu0R5uw4f5FtWQpYBajUV59Gb
ahJaZ9vwB89c9sza3TdTqs+5o1cckKUdzpsDYhZ2dOYGVTynceihlAuoh+pL3kzVJcEWjd80tT/+
/jO8H7tfPwKfwDRdRi+Gq7/bVTmfxcmYQ91TC9gX3AbGzsEXFUpno+eqTIBoOm3Ay4gtYf/7lzZt
Ls/fn+zoca4JueDXeLDDYns3ja3rEV3kGMtdlWK5Qb6YA8jt5woHWayL0butzAk/EXJjpK69VGg9
tDnbXpehFWNoDlDAA4pGyE49Z2yMetZoHjhk4m0Av7V9lYVkrcmNxgROTw4xAf4eL9m5YkTMrFpD
u2lSh6guSf9p8n//6X5Z+wwBuLaoRtiCDOt92aJVU6yqempwJ69ZKOn3/FAZPFfDwGiKEl3L/lCn
Wtdx3M+XE9IgEHtUaFSM1Mw/r0YFaxD8kGr386rT9Y4VcTPuWEKpw3nJg8Du5vTs0I4o96bqyD3M
KKysEAeQNUb6kOZrYNc6BhPoHB5zHdmVL1Vf2AMKhBTTAOcxfMhOYmEy2hhWv2jluDwrs03VESkR
zfqUIPuCU7F+wM1Xcma1s+GYo+H42nA6jObr9Jjdt3/561Jfs03V9/r+vz7jf4Vdfa0bkqFUMrz7
v//x23RhftH//uB//J9pxf8fs1SvVML/Td75JYP4pi6+fZ5S9AjfKxhK6/Hbv/+bcf2R/04kIxSV
MSuodpt8KIJ4/idI1ZT/QGBkU0rphkMy6rWW+u9AMtv9h81xj+MttR/njitivocJmfz7v9niHzbx
FuSoAp5np2W7+xcCya4pST8tWEdnEMUzAbWTTnsVhvX17/92vlhIGOjIjOI8I2HvwWOCvtJjF85A
1DE1nVCK7zH53GuUhRhsHIO2A3IrZyYbI7f1MjvUqdT7HYQhF324m1DAC9rVj5VcT5YsgPu50zer
EyTVDFm70/uEBAV6jaHqF/GiG0xP6q45m82qvSoQLntcVtnjNlUUWZV9I6TmoUJT/UkHIOd3pfbD
bOblxpDrE9zMb7FpT9Yu1cl7Bfc4zCzunk4wpqwW8lZCgqSf2Ob4vNWlurWpG0JHWbN+L9I6r0JD
TWkeZnpsEorYztrwFTGxnnwAH1kku3msEOdCXwmEtZQftnL+ZNYNSveB0TBwMToFZei1VKQ7Y/L0
A1XD0jAp0sbAVOJqE8B+FHSyXm+Y114rZK3bm+YaPzZ1r7ZoQq08Bonm2D67b3o0tNEmxiUD+CA4
59zhh3w2y8T86KqRPHoJ48yfPYO/VCu1F7Pbgk97HaRYRLBUeccWS34e1l7kIDWqJXx/zl0x4d72
nSWW9KOW+K7HQPHFzbvZL+Es0MbFwz8ILb5TtHWnU6c88czG4ZoHzSGbPkqYHH/wNEM8ME4fCsZu
wvgKRIgNFcu054PM6U8oeBnWdDngKDAik+OPJP18FqhqLwlF6Wmyla35Al8OMiM7i1q3mb5SDuTH
jNMXJKuu+pTHgsxOheLAF50DqUlq4jwNOak3WafBkmnkeJy9eDo7c0mGGtE7tPp586OUwaD6DufO
mrcR3hb5uHr3ULDU6jfVBGhjENknUFxsjTPcGUq9m3xaVuHjLk8vfcbJltQh4iNyEGzrxrxVaAul
Y1VKcBhKHiZuR5/wHly2PUySGAXebuiW3rdHcjL6cjwvtftRyaEOi1XR/yMAwRfVvEPfP+4EjnfV
rjcyX5Gue5DCaicL52YWexBCWBfjCgOh6wQVYUydzHY2zP3A7U0AA5p8iGPzgQgj58LyCnGBkyzP
HBnQJCOL2q2gf3P4CUW1vTGpMZlusRqSbV33DeLGEKHmboPchHndlLuJZJtw20AIoJJPj8ihLzO0
HS9/mAsQNGvMsU4HdeBbvRBhFV/7vIgfI2mNnPRM+k5p7j2JZO2QyCLBR6nMyNZbhgMjvhcDkIw9
mKDnaR9G4DjsCGsi8UDQyH36Eo0KF2kon6PABN2GRmMp17Pm1ncIPe7WJb6gVXD9ehrmnY5xTMF3
EzX4Gq149vQqfcaakB5xUTEhN56dNZeXCd2BX/HM9RWnTIonMRAKkP7Ysg37iDt/gQEoafx2z2aH
yLxrnYfVSV4VjLGbuh1YIeVGA7tjugRlA3wgIQf3VbuuRwWGicEyMW5Syi/DRJKEsuixAOJlAkvA
2wGxgP6CYoI7sKrEc+deASmqcQIza9Og53b7IWJGZj58HsaV47RQGym9nkNJ+ExAGO60A1ACCijG
jbRxqxPCJWKMbhnI98ilcH1etwYNPpqtBpwUHKu7yoVLZOSXop7ii1znGEV4CcTLLvaLVYLXG82H
DTHDg7aR65zO6vs4N/WpSKDyw5GU+0KXmu6vpiSxSTkrwvhi/mzFhjy3dXvAnkXN6zRuNJpki9yk
M/1vv2LBv4hGQluFpJs/DU66UEFVC+AEYI1gkEqnRSRlG8jZ8+yBhYJGaRvMN1tf3WPN4gbK0doP
Zd+nfOtDA4in6JqXRiviq58KgTYag8lzoxKPo4+vn/w51AUYc53C0KO565b9vBVgNbg3dnWdGMfC
Tkccp0vBcl+vycNFLZAF9PKzUkm8g3zHYAP5xMHBUAcsAiv05tRxxZZVmiCqhDFC5iDEnsxXr9zr
DDKiAqMqDz+Em9jkzNsG+tFFK5c+SGBZPSqI4xeUd3Hk6WxyzTSrS50D7Vadjem5tjXrEfo4RmAM
7bbAEeKknzAmOHftMno7XZT5jRJ5jLuM1cZtiOuve53X41TwzoXsDpZRRUkt05tGynukinWE9w08
bzFt51wzizt3hv2sdXGHHqBe8rDAPx3A2S1Dd2T8ZjKZH3aMJfaD3aBLGLSPFcbFq3O4vi+Qv+yM
bMVx3LOfpVYVkVMamuNg49WqL2mLVaksq7uS0UnUofC4I++TCEeNseQc4njhcadpoRBoPNZksjCG
5sslxhe/q+iTUSDg9NeM4ST7Qj3GKPxo/zyli/qC4ssKcDxqh97xur1Yesc3NkGAUbdmXhExdr73
rOtJO2lusRHcW7rXnCwq3+NIT+4pK9offW78ALhXXxrEN1/JAqpCx2BaOWa3DsOafVvnNAtZeY+t
xof2hbY9IV8mQn0ZkosCyLhzetM8IEQpL45V65jXSyZj4ABgO3HhkXm1d1lVgpIv0Cw6fWl8YWxN
qnBFBJpe136LR/GG88oHsvjqN5O4zQNR1qxH2hcdXDzfrhueX1gP4ZvbglsiiQ9j3m/sLU370I6d
eiq2TL2sS/8DpXNON3kGfFPP8W3a5C3+livwrRxx+Ur5OC3N9VeOKDUdPd1DjMNLmHXFlwk+lt8s
WnfCfYIQze77m0okF5RXLlqFBrRXknxOtK550vUpe8Ld2pylUYM5MavtqDcUSpWRzTeWGEvYKyU+
Gk++FSn3AV9SHAASMa7ELtO9xDY9kkZf6L042UVHl8AzDGezhLF1rAEwf+1nExlrvup+bMzPTe28
ZKra4eaaT5PRGdxpXnXvTPESpdDiIviuzvMM1uGuojC+S4rq2biGk2JaCuHD4Xjmsf6I2yuNdDXV
B2RK9bljW3lyXQWmrUHyhLcNS5jptgKh7uakb61la8S6c3cwimOAe9a8uHoaBshBpNqLKigtaZ4b
RFZ1OGBPOHMjFU0oZV18zgUtkrDuvM8bZov/pO68dmPHsi37K416vkzQG+DWC02Q4SNkQuaFkHQk
eu/5W/0J/WM9IqsKVVlAF249XOA2cDIhHZkThtx77bXmHPNVmsTkaCIlmLY9+e2egBDrYxqVzLTT
pRveiy7SHvR55eaDMXcrCk29LAOGFvQh3U7TjGdy6LVAYTffM8Ei6J3R59UiBqbH8h7HT8MSR28o
VMafbEYDUPfd6gLmoxVK8Fd2x/82wWrO0w+Ix/FhxIu151ie+KFgLTiSh+JXYQzNDplx/IPZ8zst
htApJ30I2qHQNxGMvoMYTfpDr2i9Z7DyOzCe4NqM6OodeVHFyMkJRQoWdRwUe9VM4YhIoxJcPb+T
yvP7G55OLIKicudDA6dzR6iFG1JsFVp4GkcGO4RouA01c97jLlZ2eBhPcwImGziGgWddKFmfevgi
Y6ac1raRv7AGazyiqniCpdT9cI+UPVF6YrxJGoOUvh4N905v5xdkaE4Kt/+7v5N7KiIkb30zgk0V
jfoymf1nirVrOyN0OaDjAH8i65XbCJVsUywOz7VV5RsQ42/0sBEaSvAu4CsT4W4+R+OyqVRxiyeO
UcpIQk1lhH6MDNqvGcCXa3bAeE87eRG7p3KIHpsenFsVH9nv7D5NL7Tl4fkIqzOs3cnM8b1LcW/4
kWxYKFZwcc5ldylN6DCNsX5UpnBK8g5Hdo+XuAYGRGVb3EEIsNsmILxOI8OmVwk0ExC/dKBIyqJl
1IO5rGSq26ZK7afd2G1pQmc7ruPiXE7KFDQktToS378Xeu66qM2ljbBIpTvQ1rrGUV56S2gJm2JN
42MVFyGSBqvbLGtpBYk+ooBqUXBoM/pORD43bSphTVK42nM2HgSTkg7RwRfJPXjzRvm6pFpJhDrj
l3lWEFdCw8TZ2ACv2DA0v5ZiRvPCwGcK5+5HSutdQwtuG3KIAE2jFI/x2oTbZZJMxE4RWPdszHd4
jeDNT6G1G4BzbLIUeFkVh8REgOmnex+GXg57PtAkYUdwNparLKyDUVvLQ1ShOVc1bXQA4n5KMXzD
u9JUyxRIeVqJ536dskODlcHp2xTBDPczxt7F1OnjTh+iJKXHAgnAmZX4BSlC+1imWugDU6LSWrJ8
B1UHbHEFrV9Q2NDzvuHOyUukJotht1Zf7GieA+fMIxvNz2XoTCuoJvUpj2WJK9oKWstwKwVUrTlv
GU/EbtimmAYz64YJEC2NoB+kFnAtrjbdBhLC74En69VarGxbZe420yqwgALPQ3kqrHfU0KfQ6D2v
spC4xlzCuJXV8Gyay5upx0UgsjyTQu/GreKx5QtxfNRIBAgSKGMbTkuGM81K5YckZq26EnuagNa+
VUV4QZT8bitb0DOX+llV8AkWuJIDq+s3yNji51zI8ncrOiZmz+UC/dfkXxrHPcFgWF71TnbCNO6d
3Aof2OPHzaI2B2niF3f1yG4TBlbEWyLRfh0NwWuGire0fNaalC0uIgegBadBCC0k/YlggRZIuM73
cbQmeiZbNm2m3PI0pW2LcXMbNdOwF5DbcuJEXadnSKl7KgyjTaAUdrsZepiMRQJ5Z1oyiFgpu638
iamVJ4iU+WERoh7tkJyFPYmfCFE8Kap3yZR2rkB30hXlFvjqIucbQRhif0XpjnCPB8+av8Xw5yhI
cHZALFHdiIkWrGXXEKvXwouUysuS120APcYI4qKvgiXtwoApX8/KjQ1UXirqTYNaefVgTC5bFEa6
k6TkXIHY+YWr4AIMAv19ekH6kgZTAwQ46/pXJBWCoxTKe8Nzg76U6e7E0nCwivMwfk+cVbFII38A
Pre1UtEFDMHuW79m+gj/u3jPUmaB+EiDKZ/o5Iy1I5b6r6ov3gVDHvkRTsJyMTxndxd9xRkCVivk
luNE/zcx9Rd0fJ9hZCXe0oFQyDV9j27rjiCdjxO9HoBMsCd0oKSCnGqcuFt0ijV3JQIj5EvcEC7J
WzODcnKV7jRz5KsIkRm+cIQYBrR+kQo7WqsWZM4tWcWDLLuca4t9LIooBbX+2hO76KT9eJLW/g30
TuJYzfQIdFf12LxGTpUIba0ESeq9eZohg3C00bzy7nQbXoUIlSiT3DiLvBwR5YqlF2mOGhgM4+gf
AIPpaIJRTsTQoaqquHPgek6x+vjKHXFKIhxw8xD0MiPpSbZI55hrxampU2nX9I0XjiVQt6Lb5/3N
tLLMZfYzXWT6Vqx4a8sMqtrnJA05DQgTV0Qkul0qyECNXFR7qZgtVyBjxZE7dLj8xi5zS6A914WV
uhS7ndQ0KJ7SrHVnobmMcXcGV3qGe8ypj33ThFZamdAIQwgRO9abyEVC9Xu7bj/msE2BRHlJxPJL
vttTosjHmH6NrWvxQB4Jg811aUD3xJLpES+sBiZaLBwOxcMdEc19UjkdhHEVwmggaeEZXgaCyc6s
P2tEQbYy1skJcmOM6C/9Qdsu04+q6y2MktiFIUiPQuC5zYzjbWVhySw1EVTfXL6PMZyAIuWlS3pV
2EmCqO8KpQM60wlfEnYLZ1Vx1hlVPNol+mJII3LhVzAWyUpYFXADEtAwpeMEkPTzOVxFy7UmGaWn
oWVHyvj7iVR55Mq9muawWbKwPxrrKtD6ANMcCkw6iplsbNxaT0YdHpl3emGlfd1dv1oK85ETedD0
yYM2oXHkHPbQxr2yR+W3XYroalYletSi2C2oPiMtusm6+Ess+mwDlFtx27VqHZWRow0E3nIbmeVQ
Hsxsq8OLM/KCKnWmiiqKqwyij9IOeY3VwMkCjBrHpm0pfcqByjyqQ+6huyRwpC4fUrl4YnCgMJfk
oUwVtMmcM0I2qL41zi+j1Yh2PQBamct5ddoINrLRNG5s5GcrTnQitwl7SVQ8KfWsnpU43RFk+2xM
o78K1UiqDqLXWOm36qqLTHOsnzKa3RGAxojXhfJifKNbG7ThdF7F8UGM0CYI1XdWTB+dMSx0pxLu
7kgc6VWkD2YSP6ar+al2hugX1YK61VSWIMGItRnG6CNX8s0U8yrIarNrWwWWvQxTXR1l+ncZB5k4
B38gYuNPMrZPU3gbzfxd160LzWnSqI2cDPFo2DAkdsHh9raMLxfF51XoxxtticnW6hrvWQkzVEWW
aYNXUW2ZcEgnJ4kB/mx5Rh/nzMbLUlU/bdiwFhlKbodxcbH0EhmnDCBMtnRho0h548cq3ZYVmxFd
YsjEC2zEOoFABGJroy8SZwwqvLhdbHjsezHpj0NOVqaUASCV+1t0zwJI5Q+UEp0tg9CxQxWXgJYY
QUs3xlVohJG1UzQAqgqktYt5zpP5nSHAZ1zhVgHCCzCwT79GAztUMa81BKYRPIZFiZkb9C/DZhlB
M/cbpt3IWFNzO6E4ZssfrsDoaJOITeRVChd+nvaPOa0WdGty5S2LPthCn3KFigCEZ4nGcKikktOG
aOQBRj0Lk/ieqRRTuKSUp1ypbxzbLJdLjbF1lp6aSnjEVfDe9+UX0Cc3kqDc6ApkSnhcUPZpyJBS
QgzGqBi/DNGYbLOvSQqL0007FWd96XN3jrhuaVknTiKVV4EfJC9oEt2plbehWO5KbaRFqmN1IThe
cEpSkexJnSNPXNDpEEihUatnoqOsEErX5W7kESD346T6RYqiASNTA1xtzijblZKnVaWo4EvaKbHc
v2QkmkmRwsE8jBwM+D8oDAxHSNjV8twMIm463I6G7ETTcs1bS+aRij4tpsewBO1SW+T9Qm8ANp9C
SVoWCw5RLfyA/9oKTfZt1uBfdekSztm2NYaPyFwmR16VW2LIlaMq8XlB8N0KcTDMPVJ4pbDXyVyd
vOd1pLk9nLOqCgN4wzObdypCahgKF/o+FBeEkp5FB8sxMNzaqcRmaszZAz0LW6xiD6w8uq1Wv6Vx
vl9q8ZPT9eQn4gEujx9b7SWJVCL8FtA0Y3RvH4e7mQK7y78XKfliVLqLtfF1iHi3mg9kbi8mSvhR
DfUbc83KNXDS7PDLeFEFhqlv4EXjXAFXtQwZXPiFZANM9m5nlIFkrv7c6zcUfp99L92ytIsDZkwu
r5YZrALlQPVtUmfVMQRS7GWu3C7v2KXZL1L5laNkwTOTNfKrVlTEKSdwyLWtw6XvTjqyCr3+qtka
XdHIhl2uGDwA9IRbtZlkm6OGFujSdMZmXn+k96ZvU7TXZRDoz+dP5qRczVrAM2LgNcqEypPFnkFF
TTlEsPCvWOybI3Qv3ofh3awqAOfjIIL0DbGIEMLqxQn2Jxg1+gbQKbHVgtruaa/v59zaYwS+o1wl
JzHWt2oFjCNXsWVXBrtjgRmmtAuh+TbWaQb00MKp1LUzckAm8WF2BVbJbAbhgjRET1WoXopBvRAQ
eKEQJP6rEx3NnNYA+9W5Z+TO/po0NhIX1blTw22wAQUZtMtqC2mXUCRRq2mTdB0HbDd4wG1lilOs
xEi5Q8omXDYQCmsm8nFnKPaMUxFxfWc9gM3GcVmCoMqb7vPfnx7/P2fCf5gc/8sZ8//I6THD238x
Pf4//7v8+Kr+ODzmJ/4yPDZ++90hzrAXmwoT2rvOefru+j//ia+ASSCckznw7zNiZC9/mx4rvxHg
hwbBuFuGTUQ/f58e8yXEs8odKMEaS3/o35keAxf44/AYxzS5Yoh9yGgnnEf+Z7UDjhJGvSO6zUa+
0viN3GF/1dzFWTexk7pjcGTHH0TiVR9NR9xNHgxAP/GN80q0PGsviJD9LSL5CrKyr/i9N8LcfcVU
txs2oLnSDYrqgNmhRzoIlHV9B3qWsrY73ToPw2hQBARpbdb2sLR0zhSv0AO5uIlLgBOhBhZqVw4A
hOI4ag+4uUceGOatzeiSQwtOY7Kjd80dnOvAo7gODj19N/fjre7FPlo5u9rH19+tRodhD+VzsG+D
DRbrJF/zLbltOw6AG3lXH3Rf9mtXe9sLbs4vEVzxRQ1AonryJywrbwhukyM8KjYpNPwLnDyNc8ae
eQg3iPQSwxYfxjf5ODiDfQ2dzkPImdmafdtdbzfLPu7vnwDVPeTbzntXncqmA3FoD3TldhlqJXtP
hWS/bp6eIvtzdutD7w5e8VDxl9mtAW9nlA6t9j3O9tzm7QBDj6dxuKEJpJHA7zbs98R+4rWy023v
9vzd7Bpfli3YusNK+Nm+EWr90LtA7A+Yy06LRaL8M5FBDwlnVz/twRJHaANBpyvX5mv1xW0d9Pv7
iI6esIJnCXqdHR20a3KJnNrvgsGWzv3KoAyvTOHJZ4Y4Q7fjj26eJ+PSvqJOdE03OURbroPb7C22
5urv+a4pSR+guHYZ4lMITJfGzfNLQhg5PLVr/Ylthlnh8F2fpcxRv7VNcx38wc/d/ovqiryqfZnw
tina9n0umQ44UuMi7sYnYq/f4xFAb+Yrdkq0qm29lJwe2D+fFZ4NL9wR+6Pste/0HXMXRhoG3nh7
KePtWztv4x/sS+lg62QlbSKv34tbEL+H9m15n+5kWfZSBvI2pA0ybdBYsWtBhPTxKhBDiW1xfFkj
QmtO1jW1Bbf2zZf6GB+AfT+2ByK9nnXjInxan9UquiDkHTJGKHL4QNxlJxiN54rPU+E4TR5ZIBkT
KRsuFtGOoomnEV4CtaKtE+d1MLaUZrB8pdgjOgFblywdlW7LaSDR7eGHseY9qMyClr6pn4YPLJ7a
oT/TqGvv8dO7YaBFF+DA3sWXdJuCAuWHwiu/0v1cebUul8OOxw8n77FxBZaACq0EVecrRWT9xKBa
YQbEWftHf9ePnO59moTmJmdk5Cm7bCNwgdFISejYf3X8tOlKvksrJ3ZI5K42EbZYGyetPmHGs+dX
rrpGs7EzXkCuaG9YFO3wEer7xgZcbI/+EKjHUXFGlzak9sUTs2wglpthc1kC2bKdKNtDtuHVUalK
3eiknMNnYYOnmjtYVJ6XlxjiBbEXnzwuilf0u68a64bhjK+MCC/Rfv6lm17zLXzSE6YK4OAJlL+Z
A80vo5eGKnJ5kkF/BhCCNqqzWbzFG2kjb1f3DMJy/0nA9ZHbJtmnv7KTjqPB1j/QpNjZN2JhgX6Y
Y77ln7QJ2kB+u0RH60NJHJrJ6UV+UC6J9Qw5e5Tf1mXbO9JVORKcdkDkZZPSABf0S9xK69E8ewRP
+OZraAvH4sB43q4/5ctWefANRzrFP8rJvIwOk7xHZXdqtuh5NswhxOjByLbMHdWb2vKE2tP9zB9k
Lsuy9/ERBzR2rK1oP8ZBddmlnuK8eAhp7dPietqV4eoXo0gXi9wv+cBHNoFEr+XHm8JiTpu+tJdN
7w3utAHw79J65m8kZ/ZmLw80B4zb4SRvJOdEQXwDeaKe1x1PwU5Gp9hWh8HtPfNcbUW+BYurDXTR
0ZH12Bbfg1gI3MJJ200uD4g/LwfJye28CiiKLGWrknFw1N+yrRru+h9Ns/kw/3kz/N8fxam/cYqj
jeODw7kZ3sC6ONoM9btDc5g2TDhHm9J0/EmRN7ol8pvWXp1lo9ucmu7Pqdjy4cHyMcUrGltVv7vn
ip1zWJJ2L/kDeCOXn6Hp6+caeC/3bm7j8hSP6lfEyLHWNooXXTT/TThKPAeLqASb9nDsc1W6hi95
lfuhfDyDn9w9OsGPsC1RYe71vbl5PiFi1hLoo7b2gZJ727JvGkfpdI/buBDi6g6bxm1cxb//13vC
lRQM4Z09lodv+Jz4oqfyg6y/zvI7Iucc87XklZwOTP91DiN2TILW+xI6wi/O3kbv6iAe1HPoXS2o
G2xfuY+GY4wCtWaf095yHjIsDSggnbmphUDBS+5KvYjAcadbgv3vV5BPjI6q4j//UAX+ro77u/DQ
/65OH8V398/f9IefQdd4/xzd413t94dPwBWg8bsO3+3y8N0Nef839d39O/+rX/yrUvBpqb///Kev
aij7+2+Lkqr8xzoQ/sq/qhwfKc//IDr8/fv/UjdK4l1AqNLNQ/sNY+iOs/lL3aj9RsmIFtySdf2e
3nn/yt/qRuM3E9W2aAE9u+NfLIrNv6sOqfR0i1qTgg87lPzv1I0Evv6xbqRzp2Ap41GQ1Ed8g/5P
Klkl6RD+JrJM32eNX+nEEjAPm0O3JSLf2MwaGM5WtrbOKPcIMWKjYbsUjAs+zXDLMAlLBxxIW5Wi
Dnd2Xz/Gyvxed0O17cNBOhdzZSGWyKODtZTjMTL7CvR5l1ZHUMd0v2AZHYmo8pjUyiigLJ0z09iN
uzlZTdISqEt0oRZJnRvJi9AUgSIi1LNd2vb9RiK24o0pg+TOo2YymLOqZR+NirZnBPWIuYkcAX7a
xwEBSKUE/kudE7Wvfagx/S6xZsl1fc0BGJPJVSJiAwnGlKyII99YCPTJO9IBMJMwDm/pWdvM6eCS
yworUZHk8zXFDEYbSyeRxLoPPNVG9RU8IrTxAPHmaPg2IMHHrymfB6xD6ndLQoEHVEV0cDkRp5hZ
6U4HAIr9N2cRUNrxiH1wBBLQZIgXJcnYTqNsFCiFzbG2JSVCnpB38auIsPFTFlbk05wObVSFA5Ky
ZNnNXXHPKiP2+W1FYvVJOKUR9L1C56vSG+stIshk1yZL/dgNSuQyc86DscsgOkdyFGQlQV2hQt8k
HpZgrMpyG1c0sjE8s0phMqQdXdfPU9sxdG216Bgpq7HvYrSEtpp1Y1DFHfKKOxRlXxmV5AwEbG8x
/gonJRETi9yLyrcqMXWXKqVuSJQCQMsqUPA0ORHVoB86RgzaD6ptfT+2KC9WckqRUKlsZKXMplwX
KJgGhe2lQcAJV6DbEyRzZ6Vl+k5nmIm8jDwLVIkmBucSpRmhRG7YSXSCZfJiGmIQHVJvGeaZIYI8
RZCeOO4xZVWbnMFLQtaUtoZ0ZA1/wWeJsXwtT1NBsdxnxudkoAqUiWHipcvZBOhWWnLRbKZeR3EL
W5cucYOLKJrUY9mFmiOKEoBfgyxWA92QnTH+2xbmWmxpLfbMEklL1BHaFuMo3hCe4/3RCTZAWcqU
CSIHHSO6hx6ySpLfq1R9rXIEKG0vREQfRXK5Dy2YHbYITIiTm7nSvupS6TXO49Un3Gb8AvEEBDtS
KIjMiVFOV8/SFqNAT11RJrEf5W3I/5AmTDT7PLpghP4lhhY61lKzccqZ4g3VwIcL7yVDROKIvX5G
30Ce2YyOcxWdro/nz1KOtadxnd4zgfDTXMqVk9SOe8SFhQP4j8xtQZPOFomcXpcTUjrpBfVHjae6
LHiJ+lGXjk1zR5gwLAj0mXEnHr9Om23Y5zH6riUfbs1kgZ4POQwD5x9gL/Xrs8yYyg1Hddqg3oP4
MFcBGXSSKwut6MC9ea1M6vpJNcIXbtXhQLJKfi2YtBuhZQSDRkqWLt+vRixiynlWsXonObNnzCUb
IcmySzhAplUzRjs2QcnDqQFyMnhWlWIIKcFx3SDQzIFiTsO5V0bju5ljab+YAxACSSezEvpM4kBz
n2JQJmJ/KFQREMEEeu6I2ouCBuZQ1zA2s8pTjLZkH8eFFtpiRqiCGhK1O6yfwtQux7iu1l8NXGjY
smg1/RoBizOrAFOJMkBsTYbKtxTmAoOXrvGFbOl3ZV5MezljwgQra4M75zkTVK12GbK2HAYBaUw7
wrxH65xUC/gUoRmyl4Zb/VThfU45yZTrFTjY0URVx8QgkrdsZTG5H3ODPoCYDa5QQy2fACqr9VYU
o9KnAdfVmP9nj/3md73pTjY4IMxL0iMsYbnLG2yl4N/lHBq7cMuHXt+vYIGeyP3YFNZk4mJvifRr
K9lFCMDrXsWpD07dRZIade4I+IFE5Xg4RCPzqwhtqy/XvYrZa/xSGoKHrSEttgopIeRayRxQFq6g
mBgcRr6dxfGOIOukTddjoqcjBwEmWQVkC0stv/Ssfcu7YmtY46uR5yd4n4+6kBA8GEcpBvNSB+eH
kWdwcBByHs3qD5jsy5GACA7WKNQIo1LaQERrAmSMsF18XpEU1CsrJYZGzuyD8iqQ/udFZOvtYrOU
bWUO66csMZb3pClM4D/6DM9syJ1mGLu7Lgd5W968WuNCAWmdzZ4Fqh3bX33btJteHgBk6aBHyDwi
AtOYT6ugqk7E27rNtW7fG4zKF9W8KiCTNrIwfZaTEL6gACaxNKP1gJFoZdu26E5MCXoU0xpYzOJB
BTfA3igopvWAdzECL6uo7jBm5jUnqtpGf3MYsogzo8YGDA1CmIpATSzxsR6N7KMgd5rhhhkZDslq
AFgmYlk78EOsdkP+spCAuUOmS2qhvnBMxTtKvWxUr0NdYThIJSr82qj0rSTXyicEHdoNjIHuSlbF
2BMTo/2qYsI4LGIBrqByIB4hETHPJJvgWdS7nWymy24yovBWoe5P93fS0AW2/pc0kcfRhmxiejVf
I0NSHrFUGf4EOXETdT3CcoY6WytLJtfstfitWRLk8E2tCG+ZENXbUgvn0hPRaBvIM1zWZZP/aZrP
hSkSGUB+qSbP+hkVHpMFzFT1FTW48VHK+WWEyYx+sSGCxo6LrjzyFgPE6Y2lvEzrMtyYLL10FXfU
bHZERI55hct/juhpRPmGgV/kSYSCP8tMg4KoGTVS9Sg9DRsHCEeKliLirlzLXeIm9VcSR9kHa6Xd
h2ITHnU5r09xC5a6jbp5K3UZ40ga+GQAmoxyiH9i97Zm4YvHmKPkgaXIvjKaxilqQmmPbEvYWBHS
OeRO0Kpa2VOiIjyssa74cS4oEhP5PJvtzCpi+EvhurEQbgikvQckKh8nM+VETbR5tBtVQoGEMRYl
dHyY3RiaZuRMYkipEP+H3hQODLBMzURvbaKpwNcMDwzi6q9SbufApDN+qsIaVQgRmbu5ldqndDQH
thBG0vYombMzSSID+kaoexzmOhFv3OxaEKc6huiEWMR3+rUZJ3RTYvqDVcwnRCACAmYKj8SAs3BV
oY7ReNLr29qmzVur4G47wD0Mv/FUD9JjHJYz8Q+1ASozJxTCWRPjvU3GlbMozkQZZHYi0PFrSh+w
l/ms4rbHQf5T9bryiHnCJEmelIOYbb+wNUZwHxa9UvpKedr4mdZbp1a9Z2sqhXmD+oVDjq8KO2yE
vkQQGBVJXD2qatf68HzpsI2oojXo5iQcME7ooYSlwx2CtLQpB3aKR5sM9MJVNaQfPW/4WRP0F5Va
coMggJDUCK3O3Rz4bcLuck1gmNthYSclJTILxCGuPd4JxERw4J6ZaNMjLt4bWtI2SWiZQ5P7FyUE
OXkWlRhqN0pVzZeKN6PMEuIuk4OqrY+M7hBe9sL4kfbaKc369tIhzdhSp1xbtdlACzzBt/iWKwvN
ffnQiNZ3ma8PIIK+FBRGAsLDYKpW+aBRLE3IQvPcuIR5TR95kbbzWpDWWNYgORoyqtR7OFtEk2pG
oeixEGZOC14xY5CZq7Evgwv6nFNM1Wk2LZRoFrpCouP07gFo6p0llVRTfbfFFMK1MnrNuApZ8mVQ
wV5lQemfDElV6ET3cPNLeYmuQkTr3RBzmp8GEU8rJoDHsODYDelpdYemN5HlkRE2rdN6thCbichA
Wii/xJrTNwDmwfEf+ZmrRcJ0ncQBBrNFGKsb6236EA18C71yq5WWo8hEM+isNAnMeuW0EBP9ynxe
jbdClAsXY4XN6WBkW09qPibfotqSJp+Q8pdAN7sDfWg0GYl2UeW2hbDFVL6cpVVkMVZ0f6DKmZPZ
z/PO4PXMBdrDAwooexza2FPUe+52UdODmkJs/GFKK63kDWbY1SrsvUqzT/GnQJuK5mPRq84yJa96
pd77D+VMn2TJqSAK3W/DYcYkUSCoQHouXeqFzTWVzYd87Uu3HF7Lgj71aAyPRbLC5hnWIgA01m7M
e8pRpBkkt6M/i8lJ8ac2H69xIx9ytbnozYCuC3TAi4ix+6HJFniYMsKycpHjo96sNF0n3FpGivij
TY0IGaoQ+qibV2+hBD+TmIU0R5rlTVPoqq/lQ8MM32iuacHlvaIU3w5dMVFZzMw0kquhjdJB7Sdh
O0HMOIbL3bvD/C719BiNwaZP0PCs/fxrgA8RTIM4kYcjyIwOSNyg4h6E8qBx24G76Dqy6eM5eTbk
iVs2iqwHaZmylwGEkuz14Rjh5JkQxbbkdHF8KCBm8AsK4xCRnHOIsiS6koNTzs6sl4CcWmt1Y4kV
QViR8UQxgUdgkF4jRbVOkqBytREgPx60MjE7N2Ls2lYmESYFaqUuzEWCwKp1RygmB9ZcCTIwCRcU
wAbHSOaeK6NcjxWueGAw22/iVlxxQGC7KUp9/mxH4tJS2H6Vs4h186uui+pF6zUSFfqZdciOaDGo
1d0nO2nw/GdCYvwq1bPHsVkQGxiaRvgXYIfZWLNjkkKYGw2KnwGl7W4Vuqbw2lotnAot1rYfEKkb
4lKxP6e8v3HT0QhjYbk/lxgh+zyfC7hhj21UUxPK0K9eCy6MfYeOmX5HXR8HxaCb3y7Lk7miuzKw
O3ySW7Y4HaabH6nXzVddWNJtJnbz039UWtGsPW5u2MlSfL+7sKbUoRJogOgYL4sfcFGn/X8MRooD
CtwjEm6ImWJj0XSNrPlUp/opTdDTQvmMqBaSK8fO9CTN0nL5b2nJ/dfmvv8fNe7obv2rxt3xI7/T
y//BLXz//r827tTfNAPLjaUyn4UzZWLH/UvjTlJ/u4MVNBgHjHXZnenO/bVxp+i/MYilcWfIjGF5
O/8+8FU0eno61CYJS46hqIQm/K1h+QdLN63Ov37+v8qhuFT3RtSf//T76Pgf7O38ftEyFUVXQfnd
CSf3FuE/uoXFKSqEKGOT08jRTvB0yRPFOQf3EoVRWSPkWz56RblI+QcuOnN4JhqHlEi0ofEVoqqv
oLab0wMaOZKCHyecblUXtHQhVDmgBsUnKHkRoP02zd1wDUzpuso9R/nXtT7q+Mbu//RUP8mzjwPO
GfdC/VUhMhTQLQbRsz5fxdw3WprEboF4J57LbU/TQqntipuPc5xboYNtcp9hmI7MJ4/bXcVfGbRV
9GRrFhABoYGK6KOS9jsvUhfXCY2OSx2hVVe/1eqisyGx4zySV+Vm9c8KbDe0XglHRAnYfEqgdXtx
2eIYoTmlQNUN2PuPmVhsyF235+LVzD4NDf1iFTkGLSiBA4eOLE8KHQJWvRaTlJh90SI8VBosX9mP
xw+E2zfNjLw5nDbagj0G6FpQhDcLbLRUR5uiivdRw5wMGx638RYdHy8iDR1p3FTRXQ/OONuoqWAW
V5p/5gmLT8wx57ok7yoRpsCI1eptiPYxOlJyFu5dAGdpTwWjOsWKIDERxx1+MSAoFqQjcpCL39L6
Za5PgvUh6VjwEJ1zPkDx86nhsUPVfbFCXC5mTNBfoLWR12aZT78Iod2rmKB9FRradBPOB8EetB5Z
DYldkh9ysEc91M2Sa5W5E62Zj7rvPN9nZGqDOnbeZESlkpfqL2OD/HZgJR49Y65PCioD4JESWjYq
Idg3uIIEEsHMxoubD5JY77JAABSqI+6nMd4lcedzMnY6FPYjYUH1nWhaPSp3LfcvlDpOk0a4cScX
/9lsqnbbvsNJdOWKoCaNZgLjLyJveX8Vf+64vrXcK43IQVqPAll2lKjb6t29cHRnC9b4ZBxoPe2N
CLdkqDJLTPzVPNc9GG7DixK8WHK+i/Tb/2XvPJIkR9ZrvRUu4OEaNBwTDgKhMyNSywksRRW0dEjf
E1fBjfFDse9jdVa/LnJKe3ZHbdeyQgFw9/Of851heKlVvSqgZcmQD8p74E5YXjFyXo2+D6Cvs8q9
ZMuUik23bh1S9oaEMWpamAdrWjfcbQJvctRQmsNASXG6oWYrcGxtKxtrayc4heLFFT/y7oEAG9Ma
8+y6tD6KLMFEREZlKuc1uE4cwfO2Ab/qjhON2CY6xrVL7FDDOWbc1RkrW/gbfoYH9ODXB4yjmwwz
PAK+X6sR8F7RPgprh47X75yESeA9ZIzQxxCT5bhW5nUEMYcw+lq14tKmEWdGqTaGeFOraauF467K
w+3k1tuBopiBiUKEXYq9Nnx9/gx2tfFeTrccluii7r7FlHwk/I1BGSjroz3j/6+2I93t7UIYHy5o
ElfNtvK0gMBoMAvSHSMUbOuV7IZpTURAHv3FKcbd7A5xMAjucURPdenan2CNoXtoF66EHkksXB7S
+I2ZAM1PZEt32nifL4XYQga4f1auSzD/tuiAbk+7n5aXv3hsf0GJ/fHU/ulLXTApPzEeeo/NYEVW
dqXyB73Lru0qXcccV9SUrYryda6pH9afMXIqsTPmllBn8ZvfFWPRr78rPCAA7QtHkVXqz2+hHDRN
UM7VrzLD21gcXci3Z7hEJW5jGFPvuLkLGajY2zhLXVbgmLe2eyi158Y7UNCRVVc8KnTzUU8uueu1
+TA5F5HY5UT72b3r7r7WMbD2V3//zS1fzH/RXH58cVCTdK7F5Z1zNP/zuza4YhLDz/F+++89BtVe
x5LuXc6Z+s33s/xDv76Q5XoWDk3b8L/+QlGfszsv+hV3GWc4gPucQcS0SzCe/o6lCCLz66vRKLUw
DanaYQNIUOjPH2sUaMFQwfpVo1Fh6t56oXFI5LiPCpj17rAubZjhBBGM1Hoea3Qtx9oZziGrNk6h
o0efcs9bdSXeqmxOH1C6cTjn2wj/6pwXT3jC1xHrfKxhZNKLfV5Wd2lExt165MzEM7j7JEC/4fkf
+HlzSKD+68vTvCdzGJ1H+WHYya5z5mv6kqUYGae1x+nK1m8a0W8sbBzRDMnXYOAEst39PjtEiCzG
YdyYGmc6QSRhwHSqK59yjvp1oJ2r0qfLKedobvAoGaeN1+Z7M3oEOs0ztjnUbbTkL/YwulL1vdCu
o0we23gnpIe1EkdtOK2X6Anu6EquogKPLGCwhAVRNC3ltvd6fgA5jJyy92C3W4RvvXoLJXJlcJJt
+Rq8l4Fiv7F+0pzHZRnGsLpzMJjYLgkFZiVUHfox4077rvbmIEko09RP6P4c9T4N/TITzdpdJvDa
/ZwSGsw/Z1Ec9WKDuHSce0Y8/ndhfHp8BZa+0WAPjOVbn2EW96484zYtroZu3+uHrLsdWDncQfHT
P0XZQBTlxwrACanrySgIhkckCnqtDqR5ORpri8pVbcZsR9lBLgA9Q8NU1rx2Yyq+uVttNm2LwEBI
QJKX06mq00BowLRvbJ2P7lNWDKFeWYdOFfci73Yxzmdomc7aJlGOjL9fGOMSWHRKXooPb6Er+Cxt
CjBjlH6YDfd9blwonA+UJADqiFtmR2YAfpOJ6UdKKiFlw2Nxn1TmostbjAkDJ7rMI39NecXGZm/G
y5Wxu/Fb+5AOIWLGY+ap4+geTbljzMg0kakKQx730QijzdA3e8+97nqbR7m3X5ZUa/yRFVnDmd9p
JVI78dY8dwPfPTvJJzWCN1MGt57mhYXSqoj6Z8xhn1GaVyZFCzX0SWuyd5EjggGoCaPAjG4dANcH
h4aPUSBGMpWLFeAW+ASlvFUmdZjWw+AMJ4vWO9tzj0a9C6MHoL5obRZ5NNpUgfaTWcsYUhbhLR0g
O6FdA2APjJ6o+QeRP3ZfYzAwy7b14zCzJQATP3rbUcijhC+lsYs1i+/96LIfcTeiMm9LGwhCTdE7
niez/l7pe7e7rRF4U4vQGZOhRXDFjEztB/0GzwlC0sxwNcfRUVXmIfav2f6N4puiBQF8A7nAAF0I
o9ljI2h7NNaO2lvsuAqLRbzwWai1eydBaLiHTnbQKMb0x/guowJCDVFgwFttzauQ1laPaF0vP7SK
38t+Hhl1xRSVzyNSTBjdLVtKQnwbeNibQpImi4dtXH+UklaUem+y15yzK9vVwY6/6En8YINOUFin
XQIR7O8sCazrJP1NJB6RflaqjYMkAjXEVtOZAz0hCmAEiwLEpntmQzrDhqyWfH/hEq30uFSv84z7
BcyZNd8qtqOif/LMU8RjVg5P0DXoZuS6NOygs9UGUvqSRFjP5nOlH6VG9JN7flhQ1ocSo1xIR6Jl
Xht7RiJrKCpm/Nho8TGC3DxX2aM/DqjVeSASZ0nCB72RX3kelJZm3lql2jWA+B2yjdaMEa6310Wc
ryHRr6Z8XumhvGoMEUTutE+pF83dg9Wyb3ELNiHcxngcWxTAojnwa8GxeOzTB6P8DgCaPTTxFhcI
hM6YZmbvlD5KT9+oCu72XT59Ohx7mqrfT0Dp+RY0zd3BXT/GBX6nkNBh3N5oEmFMUb7Anhfvudva
9NTuE0oTDGhoEWFAs5xXymKQV96xNMhllN3l9/p4EbdcpflhEBeN9maMODh5Kx1tKQZY2TFfe5xX
omjeIFsGGtkr4YDncT7G0UHE57bV24ViscKBNE/1hpowggnUOPU2ClIbRAYUF9YhermpTcg3Ed4w
03ty5ruCBjBK6AKVVcdUfBoEA3nk9cwm2EFQIo7BEYcrGuw7U4HB34+062TOCb/0Rdg9ZPq+H7GM
tbts2A/6C1CpFfH8JsHs5ZUHx77SnN0E+GW8aTXmk/uIVEl4tLtLa7ojfNKETBJMPsElZG2AewUj
en8v8Y5K7ZucnkPOXux9fAdbbEZXtnlBDdAqhf/fvKrysV5ep8jhUKavGjOfwWleXeEHYV8G6WNT
ybXIQEx45hZ1qfUgj88cJLhofZ3ASopXL9KDfoK9Pq/HkeRMHQVz7UFbz4JubLYqBgU9VK8i2WeD
uUarv+gWG4va2pxhs02kT/dGdajc80Cxp/dqmPmD0bqBbXxfNOoZQEBarecYptHEdYpznEGvgk9A
7fVavUJlCjK1xQ8ZciCKE+araIrhRgi56onzgj2ZdQzSHg/wpSYIvq9/o/jBUoXjzQCcSxjG5FKd
eklwC7qNu4I8OhksMib3aNttmyXAgSc3No4tD1OHYurO2g/GgyKBaVbOhl4hbhaiJC1OFeEvk66n
hkf9WBF25ngV13eTvOwRa5nfrvKwvjRyrC7DqmNALsZ443vPHO7PlkAnaR7C6ZumzWcmLAfw+gEe
rdUss++EiVdNh8YdH0pKhauKH+ZFQ+nvfH9TYhHB+hB0ennySfOHmOTDrCexwXH+fsQ9A4QCeaHf
SIvzCpd17Q5gJ4i28fnFzPkojnBXkZjWu6Bqol1fpvcMJ3maLItcdkTwpAAHJtgQblKsAq4O3YcU
rm8G9J4VfD8wpjYtF3ta8Bzh27X4hJDwWdzLk2nWaM6M5Vli8gEj9cB6jn+D+mICrISh02OHbymr
Z7zTxIhJrlrVxVCy+FYBHaNsTjApJk5Q6NNZ416O0VW68DtVVmtp5vu4hG/lXU/+sXZbGgAWChWf
xQoKGyiTra09JJ/MdHbgVleicpgUqEuLE78Wpt8G3QkwWeGDqXctdm5b5ttCF+d42aVQ2pUmEy5v
nWLGvTEXW6jA6zrn6tHrkx1VaxI3HNqrdQa6OCRqKpHXQ65UjNy0CLjpdIY/uhJZcaq7q4KO875o
N1TyYPwu38y0OfctbEbmi6siXpqd2Ej0n5JH5uDmR1B1h8iNtgIrCVvEYGqu1ZxsqO7Ypq5iHCyP
5IQEA1jPLT4tLwbgxYi+NBBdXmn72JqTxKnQQMlw1qHH6kCpCuil7ch3JIi7DUAg6k2nX1i0nU0M
NSMt2druSyHuoP7gJ2D5K5+5mu0wMCAy28yyUprmMs1dE9pb5+ErVSTsPJmyzxyVK0W92WNrqi20
uE1ePajygUOBWcstAN4thWs8w7Zt/RZBLcV8Vyiwfm127G3jokmfo0X+ZktJ3nScT9ZE2Zcv8yus
JucRI7rqml1ijjtEOMfOjwNbp6JMbn+c6v6wbP5xIP7Cpvzyn//637CK/u/TpZeD4P87inT99u//
Jr/Jf1m9pZX8kz69/N0/A0kmJBPLxzvqGeZi3fynPm39A3yOQykDx2XDg8MLr/wPfdqx/uEs/w9/
aDtL6AjR5w9jqaOTVbJwnCJo/6BZ2v8jffqLeqTr6OZk7heWrc4/p39hARMvlNOctWgsdcNRSTqo
vh16bIaA1BAayTpYcZlNZ4H04niX0tJVbDSvXQJxprUy9alHgBzNo3BD/4WqqvKpmSYmq04HFGVL
G1u2nDD88J4RbHvwa520LYeW7U/f+18INsvb/EkNWD6GA9oTeZ3BJxDlL2KJbs+isUQrOMsqi260
oSNrHIHDZpweLtng5raCD7cfNT876ErXg79/fWt5gV/eABxil6mBZUJ0+rNAAMGjKtqRzjVmcell
m+rZqRsTzrFdQyY9DBfcJJ7R8FhnQtt7fTav40i7y11kz5KWyEG1HtKx4mwHqwCIcXOFw4P6oLbx
d7WQLUYq27A3laRMMi5rDbifpQUJjuaXlNZa+2S3BlRwAPhq6/zgE/74qgv126LnZWLx5aPCm2d8
AoaeKYP9BbNfRp6Ob6hhvJdk9W0GCvIsJ92RW6Vqn/KqSk3nUfgpB7RJCAKQ9cQWLLNDK1havp58
wDBvXrugzvTJ8iWxq2jk8BI5uPw4MKVccX//6xj68p7+/J5dgWBJEQMWC2QObsKf9bzRwkFrdKUF
fLHJz4YxfcMRplDTLXvjm9lwUYATO3b+dGdOttp7xcghPeqc97kYkAKsqczXVcmKaVA4tguJ0ddn
qI79hZ2B71JxIj4iWc/dplLYdhkFFM2DrahlzVOfeq7E6reWW+rXYq62KQiOHT9js9WKzqVqTqKI
J1nzntGFdTJ8qyVZbc3fK8vXbhujAK6TAGSi3QG4niY10gA2Z7thygKjzeRFDRjuChOG2FT9WN4x
4vY/q1A9tJlQj/DwyqcqLstHzYNN3xsscnCjm4sk4uhGQ/p8LeMyXxSUikpJehmOrNPuucbje6IP
r7xqzSYm1D5YT3A0qbU1FPQSP7v1BmxyYZeM2bryinqbtfl4Z1laSgxWCw94ROklYlNBnm6Yx5Pn
oZzRH3SIpAJ+kcqrIfeB1zik65am8F5/IUIeIx0J0a3ZTyFolJrZbWxKlm8wTXN6mcoBXNTkROti
EikHxQgaGVwBavYIWY0uFOZV06JKiKx+ErPGUdkduuvGk9km0/tjkzWUQ0xF9RtgvPH18WMsgqdr
MXwkkexzJv7z5UVnaDJVDn14UgwjWZWJ0kunkgPVf9AUvvf0m9H7BnKB3qOZNHXWnmbXe+o0DE2k
7AbwBxPYUmNNEB1IrBWRk8EXvx+Wux9nuSTu7Rm/68v4ojDrvGtcIsiZrrvQjJeo7M83Be1fludV
iPBFreGHq6k09ke0J1Of/f3EFeQVyYBVdVhc8oYFWW6Wa586iJe/vz2/PlCW92HjA3IoTAHw/PXZ
OVlaFavF/Ui6vrn3KSpaY+FI1rjbja3ZNu69XRvd736zX1+VxcLzaCgybINj5/Lt/CTx64YbmVoP
yoU+MwhTtBrSH4mr56PHGUowsYjKEaYJm7Usq/wF7V6gs024jF9wPdik9Hz7pekl7UE+YlRtGeLC
baY1k0sOeH//DbnuL7+VwerG8kZtIxlmfdlf/Pxu25GeGOahpA6ZYQZO713x5t/juUYfzkyIbH5M
9q9toOXWicMIeXAvhtiMoMjkHMZAiBpIV+YbHtwKknPenjNzpjywNZOd5uTGesTD/F5a2j7RKlp7
hg53uFM+WTPF1bbRYJTAKH/nUrR9cJtC34Gfemi1CMFTiXDe4U8z1mFUY9sIY1TEMTJWEsUBqEHn
9Weh8x8BVBAT/LIGeCXKLycYEivNRsybZgRO1Qz9kzQtMDM2kphjAIFt+1APV1HoklnWVfya+N58
xDEldmmVthvpR+E2i7KWlmSOMJCDG/dOgozaU2sKqwTqIPEutwU9WrIywyt6cTgmxYHK+cdVarjP
U6Ux2moWC6w9Z+NlqTFhxeiBmj2a7bXjNPKmg4r/aUeJseVxRsF4bUZYnO1BHYu4nxTRf9NbQ1gj
BTw11il2zJtKpuOuNq362Q0ZzkcUs50d2SfXdJCYxygsOTKy+TtMaU4dT0X2baoWZm1WxCAZWnVs
c3fYUSwcwS0i+cEhNEKUDceK/GXt0ZTLYMR+l42LzT9yQTtoPXNrJ6ULcdtbdbIra1guLdYEPMWa
BC0mZlzcGRUNZclZw4iqet1xCha6Sg9FlPTnORndtUjC6TLtCPW4SUeJifNs6qF1YVET60aptoLL
QzZ3APa4VJ82xQIupvrgnGtOdQmIssMRqXwSmF5OnXOzqH85be2ASuoKLannd3YqcepE+6Cwl50k
nNsrMTB5GLIyP3kDFkVMxM4Olexal9prLJPpdoYMtLAYcNXVA5pJ3MAdkmHacsmbu9QA6yLT8Dmi
fPRmHAlF53iVUW0z9QDfxXiEB2Meqii1LvQoO1jWj6kdBLZYZPM9ESkN929d33bzlF1AiqPUPXWf
Sk7VgYvgcN269Xw9+Fpy1EoB565gO4vfd0dUZGQKA6l3jakVRjOAEezCA1UwmPxptEzKkYHd1L3y
G453xDdeQ87JR7+bzOthSBy8ZLI6ssx5z03mEIUGy7hduuXWBW01a6sHKKKRwiiqfvICfyK3wIA0
N4+qgU1IOiIM3BR9GrjktwqKdInU4CXbKUMarQfjPiwBwiSRak69zu5025qVdtNxw9yMhsreyyo6
GcKeNq3dVh/sxYDlDLR+bKlPE0cL1vmtDXE8UKLtH8vGvEvryD4WptQb+rk5NpsOF7JKMFVznOWo
XvTOvM/5Ac6lFttvBg/9J9IfxZ5sgvkgclVf1fSZPrNVxcNqpfOltKg0pEhG89IdwgCRT4Br5QYf
Fy55p/GQT7vUYIRFA0b4rEF4hXuYJt9awmLFuouL8pRIbXEB23hMI9RFrrHmHVHtA7sbiczWJCvm
4Q3LY9/dUUQz4ymIuoskT9SVNFuHbolJXwlPPVmJ+73ijkdHkKTRPJ8ie7MIDCCWZt4XQeFDHQtz
A+MlMT0aDtx95TNX0eup3bObybxHz18cIYOPHsX+KBkfPbNvLBwNaI0cz40GUwtA6pFawY8ZLAom
TaaGtRwz4PjloHY9XvFV60jAB3UHCDCdoU6yFTjHsatz51HZfh6bobyLGZTzWKhlssvZO7C/1qM9
ZVEwj2DTYq3uqPUU8/Q+9xHyL2b9k5Y4WR2IHNtgB634M3HrLJCtKp4EyCpiPK793odzf0crLg/+
2d6EUhNvPqGdU+o27Z4bmmwsla+b0fP5ZQasLy4Tx7p0j8S5CDNkXp8GUemghSX2RGbJGxeiG+t/
9QIxrbfWsztSr8tzLA1029QWNyX3fk1IBgNDMu31cGloxEKZIvAbuBaJbZjzJplKc3qgMJLTnY6b
dD05PVyfztKNz7FHTqfsSCb1f75SOqYuoTcrgsW23AYzENwjME5kz743YoRMgoPmTQulvPrsfeSh
ind8HqrQwqRoL6DgyNXVJRt1WHrcaxspO4Gc57AAp9hod3XZT9cjncDYXtwKpsOkDIjKtcBlsThM
HB6+cGVpJx8nY7ouvcrkQQynxtnUddTWW9lOtrUdh6RZINHsUS6qpM+5XruCb1fPkt2YYHmZCiEu
Wcf9R148b271LE7Td2INkXVtu41J+SWbEapgBqPOt0kbEgOFWlf3sBaK7nOo9ZGdjDTwMCbt/sdb
zfzIZn7bJbvZHI37Wi9Iq5e5cS56LmOjjYyzrvNn9ATynvu6FZTXsVSFrDKXBr3zC9uZT59MuK8K
O5tvW38GJSjI2z3Qk0Um34xmtkAWeY7rzuHb0jrPHW5p+iM9ryqNbHlk2G8p8GkU1mkmh25rNEdt
Uw6UjJuzMdnJcPmH9DJv93Rz+ZeOIwFUWVb+Uoc+72PIcMp6elu/+H3bNQFm2PrWrH0PX0oedSLw
h5QLFgjsoU96PogsFb+GrFNi2KbmMXGV2FxDfk64WNj6puu85UTUk0NcQN1ju2+l6VxV7BOZWxok
JVg4gSrnkz7jtXc0/9GPKr46iK9qVbem/LQrz3+c1RwTk1GEINhRTM4bEQb9yfAHOa8qY6Ixra7s
4RpcUPhdCS092X4lttDB6S0nZ7jq42ktzOJYg1ZrmbU7/nXpK40adM/BaWuPFFC7Xb71E1pl5TAv
MKvyRm+V/ZZjXFgYpodRKyFIK1lCUJ4YgWlqPFMUBjVKDops/+SF96Ci2omeXQc7YGdgMuA0BTw8
n/d+m2dXHr7DG4oK7JPydVAmOfpp3lntccyNZDP6/nJSg28MpzGiUd4LvXdDNrDnrBqrXSPz+sLo
ZpM4ZZJ/So9dR2PuKK/100trFuxU6r7Yk5xlSjZXuM/DTr+vYzqd6O51ITK5XWsk27Kp+xfVAZ0m
ocVYC3gfK0iYIfwnRUM3gbLKedc2i99Zs7nwvFq2QVmpnBFsHALX663kwmxYpr2uMg5pbmNacmuD
VF1lhARXa9cI9/q04KKlNn2zBeZzOwcK2lrwYY10wAtgt6bLVG0C3GCr6GRn3NmAouZHmlSe2GPe
eXGEv8JMyOXV7YWcaZ8jLHdrWx56v8V8sY/b96hCuIflTRSFK/6qnthIzQ6JBW2c2aWLpN3NSruJ
Rx0XRsxZUnOdmeEEfSdkZcOgM53pKuqG/qKivPBKFmraoyKIVysuzeui86tAHzPrKo1EubFBY28M
J8HWMJMoILsRnl0GOjdl3KQPqPBPdaXbe0uK6myV/Zs2hEjUTg2gRotr2kXSBEoiFW57P5SPUdW4
L5is/UDaUfvZJvgPlBKS64BsG+WmI00frSDdp9VbJbAMMtPvboCW65g5KkwohGe8HcR3m1/f+kxo
fvDN+aRIxiDDt5v/w0S2GlOB99qR4szhBebeaGMu6cQDPd6rZNav9AzqTDlxYrOM9l0yYxc9kJLM
eCoHnumNXt8SVLijZPY+jrH/ZcmbGesPP05i/18J/w1agSrdn46sv1Q6XVMUUX5pdFr+4j81cBMn
tu3oFl28oLRca3GF/ZdH27R10AvC9XQYCvi6/6mB2/8AxUD/nu4hrbiguf6vBm77/0A1t4RgIbIJ
OIn/EZTrS2mtpxvYh4XJRtcSOuEwn/fw89laBynXQs3XA02R/9xYKtW7bWpEZcgoV8O4VXiUZ0K4
g6KpGkwxVpZZ087sueZ/42r7qlPyVuhc0y3H1h0kka865WA3YyMt5Ok+b2eipx40rLa9hdRp/kZS
+N0rfRF/JK3kNJOaelCy0O8aHZBYasbxLYHj3ynGv6hjfCiDHi9hII+B0Vjeyk9KC+V8cyYLg24a
OhB2iqMQuEyK5n2qmTdljIVjGqgk96BfXGjC/5289Fef9OeX/yKdKJv5I8MPHWtXnFxZVuNzuuqH
W8/qpt98qcs/9bPMvPx8QERAz6H20BL45UqqJtmGTsWVRCeBuKwozMA6JighwSDoG0SlZdxq259u
NO6rOarKnyMGv+hYvCY1Dw43wlKEKL58PBo7MtuJ+XhpltEbpBF13ZiahuZTSe2sZZwa6NpU+79/
1V8lT15WEKBgk+5Sc/y1tHKOmrnMelSlwhyqJ2H0pLzjnjpWOYxuuK0IS+My9EoK5h0BzJduvlw/
tHMrhtdZ6YDnnAhpclPobosPrSyVvaK7QAC8G0Bfn2oM8GDK5rgarol/EVX6+w/wV1eFT4EbCRFh
U8T8Rf7LM1oOhcAb79koYVRxhBnhCX+cIG711W8Uzq9+Yh3VHqSoTy0xP9JyG/z5FiBU55I4Yg+Z
l5N+S2gJG7Y0OfmoObR3eBag5HdM/VJ8MjTCrF1PVucapihh6lq7N0kAn+g/i43fXDy/XLC8L2Z/
S9yFwIvlLrfuT7dm4jtULi1DawYOL0NCct6rGDBXfURGSyn9+u+/9L94OdshimNg0UB1Nb48CbKo
ad1+AlnrI6auzZCdNKDkZE++57twfGv39y/3xSO8fOvcjPSFgHrwUJm/DOVskwdcojvJulNxKN+a
KmzFI7puReos1uZXb8ST89YMU7VRTuf+5kfnZX59HDCU4/7gucZKZX25NWlFA1hD92WAyAiUQ7qk
kVhMkuSGDrIYtjdh3XA92LkGoyEyvUvPaUxMMLVTA4pSIf7ySKtCNKZp6QCkNwOjjGa7HgeBjpKU
3imtbo+Kb5VEyjsbhCTZxfs5bjHbcqNVD8PkTcWDYsMWB37UF0mQOh1aqAc+ftgzUmow7JX4wfkW
S9h8BQ5zhwYV2ks82kbWsyXA/3g1Y7U9e0TYtSKFCrHWe06n123FeWRfNzh2aLJrjByJOVOvJaVr
+EVSMsenVhBFZfPNrLN1BvSFwonrbYjjzsF8FbLftJqRIzAV0+mKc474MCKdag27MUBLUJktbo1J
DDsAwFgHO0PGIOPipuvXrhZ3/cY0Ry1bTz0AkU5v/Ove4iiBW9WuHxyTrcVpHIbqhm5Ap9jNlHOx
mOfKe/C7OpoCdHDzymtlA56IqdKCXuk/6WNlPN2j91K7oUIisNKLnG8jonS+IiAUkqIicPvh2rP3
lBS9+2wZLpGPCs3wWDud+pBmqjDsUh307GSlOrcpjWLk3ceboWo9Di1NmL1mlqjEuoXpgDJNVv+m
yyYzXhdV7TzOGE0RTisKG9O2rPqgVpV+pzRtsZ6E1XDHfEvcKsRScGODOZNvTQXwEHw/FF84HNbQ
Uooe77EulL+aBerFqmy9Bkal7y2su2HwPtxyCtOdyrTke5faeJhTW8subersiP1AAxrWata94cqJ
pHmkS2ckZcNqeMv2yMuBsSQmrk+OvLbC5RPpw87VoJwc47Ky7WMiBhPMDgWQA8KeJdKHMmxNLxAM
5XswAWM2YH712gdpomRTbOfb2IwoGAA9zPGq2nqDhL5tixg6X5ikTk8OqKILADeVDZ/pPJaFQjcA
xAQftHVca8PMFUwEaV6Tw35MAy9qgG4FRmjh0QRwlX9YPGumDZSAKoUSpYOf9OcBcZbCQYaxmgYk
pxs8JMxZKrBwqe2lPtYer3uw2LXMgY8L1wpUNyxVlonKvA27WvmWN2Fk4N5GwB3rDDj2oFKk48E3
tXNUxKGzN+OG8WXrknE/ZWCUmfqaNaYde+gJ4UBrYg7cWCGXQidmfYEtsJSUF87oOOlD1bBzxhk3
4EotXdSo3cxgfT6FiFjayWz7eX6aBJHVDQBO1Mu67KbpWyhpxDtEY8z/Vp43Ejqb6WLI301uMjvw
x1yeK9oa+0fphvFwZXZmFl+hEiMdY0WpLmxEHLlOwqjXb/CGWE+O3gHKU+5ctThDIy2YiqQsYyBZ
kMKDjvqhH83PbXfmEvCfdEbI7sGetdDHm1vjMDWR89SBNiew672vklvlhqBBsWjZd6VhxnDmx8SK
A632deo/JUTtONNBmHbJTGKsanyt3zO85lg8GDpPEB6alWM8OZoVX+OyHN8Np1egJgv6kbtVVoZh
81q5jFMw8I19Vuqn2BwaE6XRaJ3iIrTCxtvTHOeSfGTi5UI4r1taBwyEJ8OzsaZp/UxkQgcGQLkb
1SsIA6FW6MM6iRL3Pu8dHH0wA6iWlKVjg+6LXXOEF5QVxW60ay7C3nS0ah2mUS9AXUzdfYMfJ94X
NHsATNTF0AU9/5iFoXTKnmYHz+DKmGuw9ho4KdonrT7aVTDQi5Mt68zcUzUrqzuE9gK+bFq6j1nv
DvfuUPqXIJ0gDnquIgWRGSHpJMeOLqq2n7bYcGLwg1YWTDpTsVgN9QNt0+GdHU9UtaA6oy4RPCeK
PRXlWxgvobCxMWgCKudbGdfygXFsdTn4lEFz3h8eQw2YlYiWUZjnbtC/YFNp0ymPm+mcpvkbUCSq
BxtsHpuSsD2BhRYXsMyx6sX+sLXNkc6rEHp63Gnk6aO2yO9lAmBr5fSGfjHDlGsykW0IpINSTF+i
1I3WaLN0APRx5+yroof81Pr+c9bjpFceGszQOTija+ey8P3wlChyUDT2bZ0BK+c46e6F1grCepUa
tjyAsqPbE2lVs7qjpWgtSo/SwhKnAYq87m5wemfo84CHPLlj/r40Igz4u3VBtwlmeblNMipvO73e
h17zBKyg4lFUT+JNFvAbAUAVe0CG/SFrw/zFn8yJPKnNVK/jwYWLQSxTUJ4qnqHmTW1PH8iLT1kW
5vuWVOdsNSwBJgp9JsKh3jKlSE/Yq4DxeZZEraotZvZG+GoTLWBANFYwitHh3tnDHpjjhmDizA8x
1tCUEF5fsZBrQUfLG4eQNNvhuAT6VKX4XOqwegpBhT2B2qnvLZ56VLkqcaPNCkD0QH7H8vrvaVy7
G82PL6RsPhAQW3ox8psKuA4yaLqjxubJM7zr0U/hURSs0tnyXWU5xLwoszEmt/S9BaGOb97Iy+EQ
wiDYwn8/Mpm+h1hgI9sZdeCXDZi2VHr71A5J6mQm8dCkAYKrUUnTszcA2MBM/zlMrA43cxvNO6M0
rXMqSpuywVmRQDbHjAAa3CpSg82rXTbxHZ3s8ACF3jXOug0nYW68qL5mTOhuu2YAkdire8vxjPMI
eANHfVNeCRd7c+Lvi9pkaiKr93g0z6kfHqGpAZxJDXkAk6iOVeRdJXZFNquXl7GJ2zv0fC1wyuWx
MsYRPeqcdy7roYy/s1P8D/bOrDduJO3Sv4gFkkEyyLlUJnPRLlubfUNItsx9De6//nvoKkxbqZzU
VN8NMECj0ahqm0kyGMv7nvMc9/V3oEruEUIZOR7ZBJo1w5xyFN6YzsQ5gdeF2QBvrFVoRHGVA+sx
y+llNGHEmTIroLwX7asYHJQ9iBvYgW96x59poWbsbJWs+lL/NRTOhk1ae4O2o131hbvtTaFWlZb/
CDB8ra2FuA/t8CYiEON5tJVGgEl0l1LgQEGf0M00TfLF9Eor72Ydu4zRjAWWqmwjlGw2eQGn3EUd
LVXtd86ImLybV+OgoCxoS/Q68WUxEkEqx24PxXG6K0GbbCKZfw9V734VhXEOowLOt95t8wgXGqCd
q8CmASirF8vrObVq6iuq6H3rAXYIo+dWBPcT2cGrvm4uKF+aaxTaL3nC+kbpibSrOrjOM3TYcVXT
QKwjogsXngS7nq41fqiaLXg9lO5K1gZ5MSnbZRFk7ho1vU4tgra/p0z+z4A7YO0lCXkSE0ndz4Sw
tGvyMn7pGUXRCKev6sgaiZvXKhc0PmF4rJUTr8oK+XYMHQwWGRVPTJczCTWXwl1gtFN5ZbEhpisU
hy5B9OHw4ILbcvx20ppt0YgeK5gzDKuBWmvPdqXRCoY7neKV7ZGjum7ZOz4TmUNcSmRF0yt9RWzP
YwvOhmed0DlKm3iXd6TYxhj1v050zJ6iwTGDMwnwhaeWhzkOXUHP+6wfTP0NjBNeq8TpMIEYjLl6
lcUOPUXijlvgwnbHoy+ywQZ/VDnF3oiUCSdXs+fu2SOqL96iv6+9fTXL9jrpOcdujABxCQFzFfGq
gSd2ua6ic5MV2AIQ6WCmaRpz3Otp5u20kfA7gus6WseFKsC70wgVr6HhZBls30zFxBSJ5hePMSPi
si0wb0ST97PBUUyDFOwUmVW1JFOOJKwh2qihld+9brTokRaT3e8rFLTXirIej1HTg/tEXxT5WSTN
L+4UZ+UKpGRyrbcYCUjFEe4LYhWDhYCyo8mgtlWM7MWhN81dJoFPg6d213TIWzzVbsDO17Rn4NrE
0RiQ7tC1PlLr+EqURkjviXodzauhBlBoAn4Eih4C9TvrrR5TddVr0a8qMNB7dNTTIdAr4Fdbiuy0
1Z1OI9UcFcd3+peTD27FfGw9uzU3Saepp8GTDZFWU8FTkmZDhXKg7TyvKjd0LuNMgKWazb7hH0dF
w0hn6ZKc7br80ZFT/BiHOQMVEr28B73FMua2KZkvkRP2YJCCoPmuKpXwrKZ8PosDrcNkOsniNppq
z/LDLohYG8J05OKyzb7LpEb51BdGtcOkMnX71rTqt8AkwTcfiv4OUfRA8AfEhKyr4DQMZVELH7CY
/dQ2SAdXWVHP21QZZctme5bjqhqojp6ZiecQ8DZ3xmsfxd6TFXjMR5m9CFBa0G7zWhDO8qAqDVt0
w8DEQyKy4Ysl6/Jn2hPHywF3AR92Yz1ddiWHgpU1Nz3Hlc6yaz+NxQDcTXTQ8Bp3sr7rCF3uhZPT
fSxNFFLw3OwqOEtdr6Eu2dES3EQjSXV8i8Xw0+kKgSiiUJEicpYOkZXJ9i4M7Dw+V1zlSzawOzjL
h0Drt5bdpqyXg5MBB1B0nGLhzq9Bbpd3E5C6fFXbYfYYlGb9o8/0+SYV1pLmrtmVzWAI63tiXKCA
tgSlAm/H2QISFWEKpHBUvwl7GYdNSzvPoVh7gW19d4oA/QqKw/iHptCRseQGZJJxQwo2OaAAkPWj
uEMjxCHIaqVShO7Y8zNQ0preqysLDthtPxVbZVbZw6gC4giMIi9+kjtngZoIm/pLn40cUPW5KKGJ
M9WSEZcV+s86qKx5FUz6IDHDhg4AJFBWsz9OJA+fzfNAitQMTusyFj1APgx82rcMAgA5LbNWwTDJ
ggAovjuqFA2LNhLJkGbYltp24lRlB41GZsxAm3rVwjgEIWuyXkRDArpQmJn9RaA2RQnFFv8hmySO
S0O5QBfntsL8jF46b3eoKIra18ym2vddP4WbqQ2NgUOeY+xzFJzGhg57O25mp03QMvWmN11BlQLJ
j3YtedSw58gzmVjRnWTfapxp9tBg8p4HWJp17ZKYUP6m5XpNw9FIa9L5zRUKup5HijabfJKCv7gR
wL4zXUlwRyZa4nRjV83w4CDvw1flcZvssIv6zpjjENvOQPV851LLIG+bhJ+7ph09azWPSsddlEZ9
zMAy6RaQdI7UXA6K+RxMTM15jRh7RCvhaqgc9ylAF9ivZMkStQmzwOw2ygjSl9MltyNlVQ7p7JQ4
cVvSsg8KioWel1ScaCtMfM9nLlMKvk9HxwGMFOr0pT4UE8FK6abpYHIlTAVMwvvaZe8kxEYulxob
PHF1LlK81yhM4D8R9wrAxD99vSO3ttwUBAC0P0hmD4qXslOZblcU902iM/GERuMFQ4CPUtM+4098
uBRODOpMkIQ9U0IoOriUEINsSHLjUiEJrFJngStstopiNuyL33f1rxqa/3e+nf/XcoTgRP/xgj+0
LOEXl/3bQdPy95/5Byzl/GW7NppkiWeHMW1QPf6naYlzZ+m3kBVkUVmmvPe/m5aW8xfwCAfYE//F
Xn4ZJP8Ydyz7L/YCDFkwUL+hFf+KCG/o3uEggV9lupx1BPALa1EGvx//oyKrauyoUxEWmT6yTQp+
dHqJcTaZbYomHKliRC617cUE2Edoh6JmRtE8GkT2ecbIcSrSBgzFVhdFu8i1W0BS9KduGjbpLeLr
wnklcjViFpOzds1eup92erac2LtKoeage4vzjcCzhpNKyydBlB/HuYSyH4KbrVWxnd7i/4kfwMkb
JUfcso1I1q0DcYYqyP2Cyjb5alYJNb2+WVKzuxpiEMkrVGSgrJDjOBdLenKMfD0hqA+FI7Ewgt1N
OuaDWqciSG+6UCEoUrZQ5JA6QcG20IuN67JC47MGVNxAq9WJHzYjO7wYrGV54/WZL0g7EB2HwIII
DuHkre9rKBqYZsEAuZwBCIpnDos8aIFBc0nbOL9MR4NOUcpdYpcwC5joeLIBBYwzrbbN2PXCpFga
20Qlapnm8ouxT2FxKNrnJAxp/9mmQ9hD7VWyX9d4pZ7N2aq/iIJXeVZ3OvbhaUqpX3VIL30Skpvn
PLStb9II7UcZjkC7a6++CZy4x8E9OkO+shsR4VwtcXis6jG5FhgP4h7jrkkIB9W23ZIB2lYe5aS2
dFEsKQA9+O01DjcFAhtP08/qSruRwXM+3jZWdoHLhBUcb69n7fgVRU0CqxXvVdLEPtEaU2xugOq/
wFS4043LkgpX785PMJNIkirn9npO6O6ENdtjyg1mLn2W3ddZQ/0ZxDCVYF5VRn1D9WqFHPDKsNst
ENIbZPX3OsHWkWY8ZuotqYbbeqGNxG9Wzd4w1J/jjjClBWAJBaprl0c8sjYGe6PX9NVgiW0QKUS0
SPcKohUHVEEWKyjUU4pVVDC8Aof/xNa3RLt4Xo5pjXN+xMJvbvKGGoMbRFssQZezmzdbk6XEaL3a
TwKPqk/YmvcEQIivTjaXPxJd7cXImHOHcVxSQjVKkwKtbS/hTlmG3w+6/JraMWy3quWbO9Nc26Ji
OWnPjkUoulV3v0wcII6b3NquW10Uv8/sgxru1eTSM003XdCdR2HfXMseLkNIG6gHnOhdotZfq6H5
wiJFYWte02B68owXfboGHL1KvTVt9dWgPzmG7gNWe8In7OcNL1Iu59RbMpoBGulnkKJnPzbbr0gD
V8DF2RtVZ4leQh757lj9XTC3X4UcNhqGMtSKjBCx1vIRb9Z15tgb10PghoRJUeVgnqS1C2WsRdrq
AkeFFD8ORFBoyQWickSt2qZO7EtXJWsPDnpGOoEtCD+3+C1W1ezKlmKm9hBlP8wuuBAS+ej0bDpo
6jwkvJSU9fgiDrJNX2YIoHexEf6IHKhUIfS2CWX+Waz6b5EFiSEE0BgB7DXu67EoCR71XjVwawy1
ix6aOfGBqLFqyLpaejd4VscJvr6Xddajmxo5NuZihYLzLgdNETjwKmpnYKIqnp22vewXgeNEhEQ6
Jpu8rcx961TrHm6EpYECG2P0/Mq+6WINSt7wZnf0rZlYTfMubti3012tV2WY3sYWSPwhu8z66GrW
RbAN7BRnGdXdjYE6l+TDbvwCjGuNxveb1Eqs2Ul/NWHIEnP6hLRiW1IQ5uinbUFD7e3Z/ZrPnO3V
sDHRk83zjR6jL4clUCJqh2CFElhl11QuXjGI4MhgH14hn4vPRJ3RPWJO9zY1pBQ8SM5mDvhc1bPo
KRfmI2SePPlaDPXWmujf5+KukvENlSybIMwwdbdVnwGUl9eyaBBupZMkJbsC9EeA5xf45XvLbX1D
3QLDoVoSfhmc/rKp0/Oifen7gjVIdc3XTM5XIZM+ra3HSTRfzOHcG5oN4NKHtkrXVT7CaVnyWbcj
4razuBrGi3C+lEsHR8uRjybxzZzUlzSlLmkM0ELiaxzUZqrvoorEMee3wtj3suvM3OWiuSSjQ67S
kk6oopRo9aFcS5gNOm0eH5g+uQUT6kZ15vUNZ+4aRa+oiOuD0M/ZJRGbzgx+qdHeJ266iwcZXKAK
bV5y20nXFO52sqpvZI/vc0aXsUr7/sEaKLtENe5VyvFh6pcpmBc1bMek2XIyuWwzuLU0P1lX5/Ym
bu1LFfxoMp1EeIAcRblp+9xPCRmCGe03yNDjyKRr173W+Af0ybk1yoayDvSIYeQgQe6F/Tqbe28u
buR449JEmdWtDoFp0C8slywwoYgjiXZemXNKwN8AYm1usQXiKC9XXapu0mA8Q3+0khzkXuJKXbLR
f54JzLUo/eSxcdFNmHoFyKuJyg4iwU3NCY3UhGYj8z2dLr8LnXvke+aTOxiEeslLDTgh4t6bvFsm
W45IDwSTfHPnBqKI86OW2hrN1evcdJtBaeVrg+5aycdeH9iwWOAWTNxEgev6arI2AjA5kZ/lc6Q1
w1rF+u00h856mm89znAdVmY94SMrSVmOVq2ufFfmO46GzILxC26gF5OiDcevmxl2sNmOu5rJ3ICe
u24dmIkAPUJPW5PQ5+2wuvpaj5dPj58bTfK+UjIPauNOy/jrp0ddb/Fjjsg+rukq4met7cSHQ2M3
Hqgda9wVrs2XChET2vhuEs8qQIzfzOPeGeyrUTa/bJa1FC/GeqyXaJp4ZU8DLSnW0hRtkHtjNE8W
ZBrWx0fsbOdhScitO3l3bXDrhvJpTNJ97XkYdXAQja+uEQNwKccLxJA+PdOVFkbbWsTniRfeJx3Z
huZIIticbDqL8gsbP3AWxeDjV34ijfdHgykoTgirbtQ1NVNKuXxJZbtPJ4qGsyBpy+t+hg4QMNuO
rzhcn9PwvAXh6NRU6dv1MBn3tgMLlLTraS9aC72Asi+Bru8JAwhjMkbmZsd2K6Jef4MVcN2m3rYz
ev02bFjn8d3Fhj8n+FchRaGsWIcciclQZs4dX3KHnDIKK9b0NUvCDY4Z4he+i8TlKsW3Cokc3akv
rgODc/ouWnCrmBmdub+LAVAkVHWK9JsNKWic0S6P8XWNT6ePLrOWpQCRt+7uHNv42TnhjubsPoUU
TdrNucpDnknCSgcUBzOJJLHOjmkqLQrbCj+ANt56ne23WgCJa8mWd1iXy0enxI0Tf5urpyhRuJGa
GF8DRCQZEazrWJsQTwrOQqKSJ/rkWkl6TSdhXWHj4ZU5524UsjdHXryLTULmTH099dzodAFE9rmp
7a/UcIMnykQbN0p27Ep2DQ2XwESn7Wh+RE8p5EBgqQkeRL+pwp+9adHRXxojlLMztVoW1xF18sAP
IVLB/x1+7DgMz5a1Tp8fkGdj0gmtjdvcDey771CEEIceLwATqlOUjTDnYHijK/nYE+pnhUgsbnr9
gn426coFXlEqSom1yapXdxzBnVxK2KxkZ3suWT9ouDU6V8gpi7eAim2a35B1cW635YXSs/CZfslW
URbPJip2VoRPE7l+o8HWtqyvmcdmqw33Tqu2RjZ0b5aN7LlrqcLQcSoxwvGaYXSEZQjojBNGynmG
cCnSQ1X2LGhsCq24jROYSrXZPsZDXe9tKIpIsNYNP4GKvU673aB8JFvxtYDHNHPFtN4NEnTMqK2i
mt+H8+mF7iBuACTTq2JEIzDInzj41pOm39uwmTwi6OuzOmpZxSkgmrKtiATm4DRL9Rob3mo0xc+2
64e7gvhJUS/sUWszhfCMJHL06XvdnIuJPTnYOHioiRtdTYa9i6fOvivI5dbni1gz33J0JarU1mOD
8yJgK1R4HCHo26w6viDKajuCw6gk1H7dJP6y3zGRVyhn3nSRuRlq0DYjL8om8Wh8JQlrlyXiKgEc
Jyuy7UgI6Js3mm++HQNwCX6QYUKKzrAJiXtFVL9KSEFBx3gRymzjQJNIIkC7/RfaeHn+hd/qnbFN
XuWR/eiw6HBWvTPh3JidsSrN4iqBC0jvckcmyGbufwlyB1G13DfKuepD/dJlsry28m5rC86eQ3Nr
JOUqyROwoQJuEojEtTK0u8mJXoxOQwg+iLXdGCmJLX0MDA382uTBEp4DQmVne/FPXqL3+T5Ofb4L
Sd4a6yrYp07YrsWs3XiyY+ujQ0tMnjP5hf4VbQN9ZaRoojQCt3U7a14EjdhaurdkR6zyFKNAcxsE
uoTjIIV+liEyI9SnWbthcSWqBjdOB5nNmTiJN79mvLHalLNoryk5gnNI9euA7U9BKZZ8WwG2X9XY
22nYijH369pS4Ic5aMamRBrSDd8jl/ncBKo3s1VcosRC/SXFF7dLRKbTi6eNr4FdOBMFrVW1yjl/
TI3hrQdDd8+iuD/PTE6BnG4uzYZvsI3pmtud2iEHXNxn2dd8SoKaTDc+YJdD6soCMEzwUrYxlnVD
96afMsWVWlZBg5lrbi/QAoF3wAT7hhu68WNDu0zT+ketgq0wCXTkuLb1Bvg3iB8mKqXhRSKgBFmW
RrW6QklDO3K81IAPQ5ostn2H8HHoz7pRXNizjiYIbKlyrzqreSqmabfkf08uSkXalTglEKOYnnrJ
w34ra1OD2Y9nq5mzFRgrRKUNHtkkva0FTArCtUbowVICtoK01Djbyb1sA5hPEomMyT7VKnRnH1d3
ldqiz3MwoJFDW+6dqfs1x/vl3XWYHCr+kgQ+HR9SQzQKvTpnfIyQHVCNp2b9La5xncD7D9pfgWkF
5g7s3mIy9vQm2KDFdPOzpX7pooJEbHCmjZ3G7msGjsEGtJzYTxuTddOVOWepDIYZ918YQLqjrPSu
9a71GiYLY7zqTIKh9jl71ucgMMZwF9pjoG+d0jEoDNd1ddPnY6Wt8cQYGNoWwkLL1wrT0DAqzR+N
Sd56nsu5gM41D9Ssc+95mDlZbJvW1vrFWdVik7JmOkdRpeOAg65Ymj5qxjJZ1ZFrYlBCxMuEKiG3
EYHQ/fz/Jcp22v8EF79QB/7PfKGv3duP96aK33/gP6YKOAEuyl1gu7btUoX8pz6p/4Wml9qx7UoL
n4RF5fIfU4WDcwIZvYNs29DBoJj/qU/a9l8CRv5SSUcstpgh/g1Y6L30FsUrP0ACc2AgC4li7UDw
3GW4kjxO2Yi5xslvq07eZanEWxXNnMMaI/hlJiUebp3m6ici/Pd10b8vTW3WYDNm8RusA2W3mYeY
o9PKXskGVUBuWtVV3Kt47VZGcf7H6ziivT9+KeT+aO9xiB7qmVEcR4Y5F2wMB6teI57loFtXBDnT
3vrkrnhniCkX8f8yUP6+KzCFIKOkgXxaHDRWjBC/nlDclRFH1vmA/mtt1dZ0ffqGjr02T9BiRKbt
gp866Kl0eRgmQVXaKE4db9eKKdj0RIKcd11RQ6BEUnyGx0H4RZeMxid3+N7I8M8dSsuxHGIcLIbt
+3p2V5tOliQ1m3qtBdrJVF/scz0rN30O6agcAIoGA0FXp+/42Cv0eHvI8rmuZx+MFi8bKozPXDVu
oeCE+kSmG7qZHf4DtT99qfdy8N83aBIXi57VMfg8xQElhiJ4PBnE1Kxqc4rI7e6E2Dggge+cBtm1
Zcb9OnLhQbCAjldBpYR/+vpHhhADZ5kPTG4X+fP7B0yOZGK4GS+3H5vkwiy9FltjI1r7k+u8b8z9
fZ8mLUDcKABmAJi9v06vd6OHfgZS/5zN+wqPNiVQR11WRdSs0ba5u9P3deQV4idwdD5CcFeuffhc
qQQHiKCsVaobAoEo+4ZpcqYHtNjJJ2P06KWWpot0XQfZ8oHBJ6PwKio3BxI51D+yppLbEELzXWSz
2Tx9U8cGi+BCmEZ0kwzhg3EZ9ImnGhu+I3bZyseOy3IOk8a4AjGn7vORFvJqsKvoUU8DxMe9/hmA
/sjnaAosTNJwbAJRnIO3KPEQJxpdExZ9U7v3gi5G9BFN+7rNxwfS8IhFC7zsk1d5ZP5hhJIPR+ay
wTJ0MAeU41SNocnzLWODtNmQCk5O5WxD80M7T6slV7jx7E3Vxc2v08/72JvFKMEUYMDiM8yD+ZXW
wtixcbNWBNjOiPc7G3IuW34X1fH69KWO3iRyAzg+CzHqcLySh8wcilZq1TpeuTboBO1HHASvleqd
q7yb4ts+g1NHsdNC5XT62kduk9lHLDRCYen4m95/m3Fs0UypbNSWUZLtlEmQpDK8lA07BK3TlzKW
v+tgycLsSWNyadTD5Tv4LhUx2ymoNrAQjUvkTE0qADml7Oxt4qP1iSo4LaHtAMTmq8hLOhaJ/Knp
4Jw/+R3LdT78Dp6z6VnMDliC3t8zxqy+nyN+RyTAu0ZB9NBLAB1xFFIbrcACJ5Gdrywv+Z7Qndxo
nf52+hccmRDZojExmsg0mPuXl/KHy6rtijnUI8ui5NySIKtR6KcFQsSGNRbks2CQOX29Yy+Zxovl
6ssGEfbk++tVBccIyx4YYOVYb/SY9o1OYxKysPaZYfXINIUMju9V4utiw3dwa3NPfK+NwGiVBSTG
lLJ3TUwZ0/DVGcA9InNydjV9gTdZDdlN04Pc/de3amHwslhOaYLr8mA8T72pq0KjAgE9ENKspTm7
iVkKWelUb09f6situu6yL0a2Jhi3BzNEVbV9oYO1oUtk6zeTJWLoBuR9J0OkNllokUNh6yGlKsw2
VRrV/unLH1m9/7z8B8ZcM2thOWmQLJplyIbg8mtYV5/MTe+H6u+dOogxg70QIhddPzQg6840VNEk
Kh8iCE0i0v+eUCKLdUnKtR+kTvq3/OTH+L+OB2QdvR4yClYYyXKjHw7VrGjNLvNgIRcNcLlGDeum
WkgyQ/xCxyr85Pbev8Pft4e0Bkgo5DfDs9yDRU2H3KUnsmtxFZDBkZhpCLXSfEkrK9ioXjcuLA9O
ldN1NMDZZ38yI75fUv+5OqsbhWuHg9Zy+PtzHtDwNag4s1pSsQ3gU6AQYLeBGut0IlzibDD8xlbi
9vS4OXbR5ZDIyDUtDg8Ht2x0oTaZlJ38wSBsOSvwXOvKSmCizekv6SbpnZy74ZPX+n6J+32nqJZ+
J6uhl0IQ9v5OgySjP5ZWDcka9nyWxiUVS1IjV3o90wGHgjGShIACLZwr8clDPjKiPL5OqH5snEh5
W37aH5Mt6YLtlANB96mc0P/BNHeJAMJDVi8N36wpJp1+vsdu1TA4ATrsk1jmlu/2j+shA0wS0xwa
39A7otriUJ5Le0A4OzoODYSsTqAUac2XKm3NT+b5o7eK95vzGvtREArvL51FWi6DiFc7ySG5QNoC
W6Rtx0c05pJ4arIsTt/qIqD6YyX9+7UiiGKC8xA8SO9gCtR700H2QtxFVQmPRHgHnJETzQbs1rl6
KCXAtxUwPJ26HHLut6hwvVtyW8u9IHvbN/pBfrZhPNhk/P2TqIpQZXBZWKl5vH8GqEQBedGc9GG2
PvB9uRsvpM4QJshwWtCuZyPl0MsENbXv6mCLk2EQsMPJiDj9bN6vuX//jkUciOgLty+71/e/A3fQ
wpi1lD8SkcyVCXFIhxAmI3ioTz6uZUT9Zz/z96XQkFHZgdrJpuLgtWteoUfYKlufKGDvyhrMctsH
Vft8+oaODS7bkIgQKRMtx5D3N2Sw0kWTU9LJaag7mrGXbTLQRw965wBs0LFw/qul/J/bQnIHH8RC
EeMsg++PD6kNolrGet36IxXgTTfD3yFacdgPIom2//7eHDZHdCp/m98PxnEtwmJK6I0hW65rv9Jl
sZuLdkJqQ50ZM269OX29Y4MDzQ0WdG5P99yDOUk1Uz6UwsHR1vTDppPEHlWOV60CEzfx6Usdm47Y
9TkWJ2LGh3kw81qjTvUkilq/LR1zrey5uC+Vm95kFv3RlP36KgGQRZtypBFz+tK/i3qHA9Nhd8S5
n/+4h7LVuUIbSTQwHffccffKmy1/jGGUoQxpNzApunuMnMGPiSjBXZQBltoRfJhutLZEhhhhtb5p
IwBm+RhKWKqZicPR0qJgbxnQSJ1MTu4nX9KR7QCHMLiqDqOBL+pg7g5MMt1NbFv+UKTGleeSeQVQ
7tbD1npDFHWHmkYTL7GaCjJiRu/fT6cLFgDRF+gF9q+HwyKzk4lCZsDcFaWgoqMuoNuAWoqGs0b9
HhQWKnocTMp7qZqFtNd1LQ0ZK8E6mBXNQ2LP4vH0O/z4RFg8OXcvO3q2C7+n2z8+Qquq6r6VaeUH
btBuZNTRL0pkez7j5fpe65N4SM3MvcsbNd1N4KK+nb78x9G7rN0YglDQUsD+jer54/K9VYnBKxUF
DxuSm12n3mqR4W5N1WnndVm6uznDvkrkXvHJJ/qBAgQtgiuSDe9RbKFwtcyHf1x6po4iLWK8fJ4M
4Xi2mrcsWLrY1lVY/ZLa7OyVM4QXIxFpkS96x7wxYn14OP0APs4UUMrRG+sCkjyAlYNZNyJYbi5B
ovlCq+RvEhlfqpHcyKmc9v/NpZhCcS7wDA9HH19xWbYBl0pnq31ttMaG99go5Dkycj750I69VxBO
bLtpCBhSHnxoQ5raAjZt5aPoV5jOggFBkGgBXEyBO/+AqyvP6nqUIzs0DxPF6Ts9NqhZLpmBPZPd
h3uwsoxJrib4odVilyBhyIncVawT0gORpSD6I9B2nGK1hSEXXVjFZ5ztZeC8nxWhW3HYoN7yezE9
2BkkARjT1swQ5HRucR1W/cD2CJ/4xWzr5c4AdfnJEnDkgotJgTdqYMMwDg+qPUwD4Vpa7idOg3qk
pomXIVkjAEWOqAVCA2PN6Qe8jMqDW2TnoyN3ZyYl+PHg9QaikkMcoDigXV+tOxZs1A65pE6nggvA
4jrKnDT9L75Yk6G0GE0gY7uHAvge4oZr9mQsyralzZzZ6dUoVLgZbY/ULLuT57UH9n+NwRUWb9mm
10ABh5+nb/3IB8tKB9uHUi1thMPajnLNwlNhW8LQ7Y3XyejzrZBjvjHtpvlkbjjyXlmf6QDRW6N0
uBgS3s9QxjJMmxqnTxe+KdNDYxCYdPlbcrrQEM/1J6/12Jy47DE51yw1ng94IJUR0zq5GKaoAQMI
0Oo2yCn7pveBrQXkomVW/71mLq38mBoQQjcnQEMRBvBB/vVTFkuVCcYOhUtoRe9vnX/Taxk2Vp+5
Gx9MBuDlfBgt0uOCmtri6YsdGc3cqs2okpTQWIreX2x2RU8kW4/qaGrtqy7PxS2IQ3uXet4dkz9p
h1qsf7IXWN7dwRck5OKb8rAqS0cezPu2rRlDPHGDIRkFt0NvB2tm7vzH6Ts7Mg1T1uEaFLh1atwH
d0bqIwzgya7I/Gvg0aL6PAemSYqsZDu2EgP/DmVcl1XbGVHZfzF82f4yQ9B9wkV7cIuFcJrIHiX7
bRGoSxgdPeq7PhhXBeqSrUNuiPPJ+D3yItlFLJ1Mau2M4MPbbXtZNiKoFgUouue2qMlXlMO3rAp+
6kDMQ3T16MlOP2P745vk0yQE16LebOvWwWKT9cTL5DBgfdTS4z5PPXiWw1x8qVCoPZ++1JEJgdFJ
Gi0MM1oJh8U6USkkHKlk/yjApld1ahC7lWsXRoy6BOVk8cmO4cg6akm0KUQusltyD3tSvCtJOkem
fBMaBI5dPgwOo5NcQW1xUM+Ww2VjNDDvmI/h7ExIS07f8PEf4HKqoWTIOFoeyB97NLuXEQsZP6Cb
g+I7WI3u0gSmhAe1A7DgQYC1RwAfHbzl56Qxn05f/djjdpEyACKjvcl+4v3VUc0k+tAp5bPDAGUS
uDUKOlAzq743x3Mm/Hx7+oIf6y1LX3MxN1Lg4X+4y/P4435lToXNtolsJm9O7hBQ444YkWLp2ngP
+0XsiR0cV2BjtbNRy5PHCff4Khk9VJCa238S7fxhiuLH0NOVVGktpCWHBWg9HerOs1pvDbO6vWrG
xF5PLlrF0/d87CocE5kGBehPzszvbznw0oIcBgfZvcTFkLQYQeq++aw39eEjhbTGOkqvlMYBCLyD
q+DX0c05XLRgMM9WOXk9e5BAAzo9Ee5O39DHS+HlpILCQoLmBqPe+xuqQsnUBrt93Xhh8Y1kpvHB
nYhJHmrgZ//6Uuz2ADIuO20dmcj7S3ljDnKXYIY1QCoIZJUWI0AVSUgi7FhaU/LJTPfhe6BgT9tn
6ZmS30Kf+v3l7MZ1hxjr1bqZnFctD3rfHqZq0/SSBkg+aJ88yA8fP1eie7ac1imhMAO9v5yRTqGA
EbAwpaNoHQOjhzME4EQf7P5KL5U6R/gDYhHy1bzrm4aYkdOP92OtcbnXxdW8hLWxy13G7p+fYwWc
LcbVgwbaxTkVGoEDvicYrScyHwDf51YjnqxktuiE5XWfIgZKJjbFo5FHZwLedvPJArcsYO92DcsP
4khlwMil+Hm41gxVPadGlgtU9pr13a3gRzZtWN+aYfZl0hQ4i0q1b9Fo2J+MtCOvnq2oQQXYgXgq
D9VIuXKUhrhQX2dlPMEEF/DLdFIVEkdom2RWzidzz7FHT1WC0gR9E4++5sFM6HWz6MbOmdeU0SiY
NAZqGYwMDV9vlnXQwRTW7Mofg8HsyTdNpDqjjYQHSk+C5levm1T3To+GI981vwgliKBzBdvt4Lue
jM4EgpPra3Oakj2QNsxPBCf5fOXtJ5f6uA9f5DQs87xmyu+sf+8HnmkWRhPqLjxzunMEWJNXNJSk
lk29VWxyj3Jer/WFvxAWyJIkGTyYlPr3r5zdqcdJZ1FnfXgD2CwLgIMEmXfSqPdlYGRIV63Yr2oO
1kP3qd3+yOdOJZGWPTBkd9mLv7/nWGUD+Xm2vhZW1MKwieorQ6u1c+UW2puh4Pj6lubVdwhFxmE1
s7W1PnnsRwY5ooVlu0NFmvKceP8LCFahmjozyKmJpeem3ppnI4ysh2I05zd4W2X8ySM+8jk7HDmo
UVCPMZzDr2rIzXTyUPESJYrln4h4EZ2LXMPnAgueNAAaQUCbiKGDjNtZC77+9JA+8sg5erCC6Oxx
uOXl9/0xv0WJjUoAB+dac7EI6dlMbvNEEtG2cjoMH4EtMexVZrCFUjqvsin6L9ZKNhgWD5wouI8P
wMqSBmViQ2Dq0OHRgeoJpj8k2FpEn9EjjuytLJ2S76IZYzv5AbU9/g9nZ9Yrt5Fk4V9EgPvyWsWq
uos2S3LL9gthy23uO5NM8tfPl8JgWmQRxbkNuI0GBCsqmZmRsZw4B8obpEx8G/LQqotD5ACtC8Oj
9jsoJ9GcynLv9x6el9BPNP8JyqLCJsYynA9z53Xh5AzJ+8cf/37zedIs6o6QBBAtbEufM2U+Y6SF
F8LZ17yHXlA+EdF2J8Ho2EtV9YyNJN14ozZ99CnuQy4qU5R7eUvootnbmmNuEVPLQDqh7O30ySuc
8UXjSh5gZe9vEyGQgh2r0+XozsaHpTOt7Sa10dxNbfOLH8MgkKHIFWZWa4d5jgM5OM33DhpzhKyo
ytF2QWJmfZq1pAftbDEZOC45SP9IQu1u9SmSyktzfbx3u6ZolFHo81yTSG9taiqEj9pp5YY8xmje
C59708OV5EsU5h+b2v2MRB84JLibiSvXppa4Y2oKTtGwzq13UjAHx8CIdRkhCTzDoZsemNs7lcR2
QIFplqmqwdqczhzv4hpkd+bcNl8BBBdXrm7DaH+ffW4WlJdKgzHm2q2yA2e4u1CPWhdXE66uLf5w
oZtaWXCJh0ZqdOexUdSVE8TgFRyST/RLjroxu/box+gWjBr3zXTDr6E9oA4WBrQ2nzzYFb4GzFK8
mEVUPcMp1/39eCPvnS2FNXXZQfWYtIE2zjZDc60wcuxNLh/QjC14uGaHAeWlZDgwYMKWER4XASsU
awfDOcqz9pZLF58yF/6eGsnmOg4S8rocqa7QbFB7jCLHugFpiinKB/bLIuOj/ri6AutQ1abF5qIz
7CjA1rYD0DAXYsNogEQ2sm3vC3rYX7TetYgdEei1+sG7Iup9FB/vGiWVY87BoCW/rXdZS0BV2K9d
Jux7+yWIUWBJMoKnxp+jpxmiqNvUQK329o31SCvJ2cn8TH+bp8jMChiCht8armYkfCBIufZgUuwT
FCruP7kel1AOGGkOOCZlzszuvOTr45+wt7kAACmV8orylm+i5SGZmclKTAde7cGB7QJRxcXQorDR
liEUqJjf3m6POhRZGc8IxfCNlwikXxQlpcVQM635uw657RW0Z/27AbLeQrSszv96bHDH4VL2Aieg
agSQq6sP8FOkkhd6A/8rg39TbyBSlczp1SHkvcSe+P7Y0s6npFQAsR/3BDambWsjG/ISJu/FC2Hs
e5f11Z811NCXNM3Kc9a6R937HWtgrkFcE5UA2roTkMiZk1tS3Qt1AdGjsChJMFhnhG0uOxh0k/Eg
6Li3hwdiRAacvqobbKVPYI5MSldLYyjajOLq8UCfp0zTzmWWIdIRjeNBEPADD7p2Ay5oHTq8xPak
Mvompm6ge1sspnsvHWSl36WNcLK/9OUv8ITrH/TFsv8oi2b8lCRZzAyeaPMbZKrJVS/T6R2tCGhP
oqo/F37kfyOAJd99vNvq9dz+PLIbCGRNAnF2Yn2uAkujJ14lUeiahfvEzWRidy6m58dW9r46N8XG
9/OQE++vrfQIozGLMUfMlU/1renr9Nkrva+lF/TPgzYcnOB7J0hLjgcmADNkgBlSv+anu2LR+yNy
7KMwl/14NoGWn2HstuCkrOCFdrzywqzWEY70/oJSEiJuYJd54Lg9a6O2lfVZ4i7xxdahMTOWEm2C
nFFywow3t2sI7YiaCVFAwqlC29pUPQYLinc9eXGRyJch9uASdVskHYomP+WT3r4uNdOSj7dwZ30o
9TABT3NMQV425ziTiaTr5sJSOjtgW3R4jeLJE1/KAbaYt5uit+iZPyb20CRZr68t/TjJIxPBzNmw
IA51IfdymRXgKtgyP/DkexfU4YUGjEImyP/Z3AAyP1hopwr5j0rW/27csfs4TQvj3SM9qpteWg0P
tT1DHeCb3XddIKbRV0yxhQytwsE78NQEky1+naGef8/47xEM+kfEubmiDsUQQLTcUp1S5/pz1EVh
RbBzJRc5znCGdQb0FqkJh1WWOohK9hPj0ykUhJ+WyWw+RN0EUYWNlGLb9ub71qrnjwFsGOArwKRK
hnF7FFU7gZxyUv0OaZUFiw6yIre+1Y7Uge5UYAhEVPOLYQhK6TTANjexsUH1IE+RXIRefakbvXg2
2hwW4qVAP8MDApSUSkBXNDBEQB1203hUGU4Q/oeiMmOYtGi0Pj5bd54IX8csIb1AOun8exOEKoxY
NSUMeGcwwT3HVd6Pp8mmgpgHvfXZgTr0+naDXBceABpXqrCz3r1oqGoNJTn7TAneRheht14aYaKc
XFT1c4MYzMF5vrunzLphBnwuxTMXf7u257WLsB2YL8+Q4U3XlnEV4AngEZbJl+Hjpd2lSqrhp6ww
jmCBgNt8S4JeLRsdsOvj1DrdqadK9I9hMFlIYVTQs2c4Oijhi0QcoT8wvbPKwCbywssD5SEeWq9S
Ixnry6a1z1IT/oUxLVQV6FufbVuIz49XeZe2YIH7p8SMVH9828W10HmgFMXAhZtOywV2bY8KRQSJ
cekt0MdCy1eUc/05MbUR9oPyCFh+XwjGvqewJgT10HBuJ8QSLIIbyrDPSE/YRyjRwCQ1Zk8NJIGQ
2dM/h6S77CPo+Y3J+Br00/w+h5bpKc5R0nn8MdRpXfki9WMUTSd1YHBr2ynnBhSE4cVMv8TQWZzb
xvBCyKz7t19SggWOFWrdVJu3M1t6m6Cl4tWoKop4vIoA6gkN0OLJb0ZYAWrrKDXcXRW5mqmmRVU+
vD5NMwMingTGfLboKDxPVVy9E+1YHHy7u7BEfTuSBgVywyNuQ09jKoGJTL2N2IAV/W3VBF0IMFd/
5TRNkDMeTPvTDOLoYMB5x+EBvyXDp7LAjLq9yYwygj8D4R70BKCJ/a03KwjGHLfRrzAxGugiW2jz
Pj4j+xa5LNT2KGZvYXbwho+u4TG3047LdCrtGkmLuC1gy0SWZMii4eC73u+exbNILkYRmbGPbWuz
NFE9NyvsmQKWOAdhIKTGPOdgVfe7hxV6jCBVIIbytoM0qLmhF2upYaglzj+aHZrSFjrAH6ZGFAA3
Zy2Ah03v/5et9v8/LoSDBdFh2NwEHJC7efzJgrjTgqtgM074JKIue7L1yb+kfqS/On4hD5Z579Ox
h7Ie0ZfHw+1sng+67mXQ9AGg6cFGVdWT1bOAsvcSGJIIKaJmWjvQS9YlBHiPj82Oo8M0QyW+2krw
epvnZI5tbQJHbZ0dM4/CeIBTWw6Oeel6r4SGEznh2BgRYhByCp3SlFfN1azPOhLfB+7n/nGBaBa1
NhimVft/63GHEcwTkuJQOaC6fInaFk5GY/BeXKSGDxZ9f1fgcuYVU6EIVaJtcbNP40kzI1gjYjHA
ttNY8tzBm/lkOt4ImfcwHUQHu/Ycvq2aOFaJ6drTQSZrILdrKn6bDvZbreQDCreAMt7xmZDt54P0
d+9TAhzhZjpKanSLLBPu5JIuQOKQ+7o4GXpWhHOCPoYwkDt/fH723ICa26b0zSQoWIf10tJey11I
ihz4RGNxCQjsQquCrf+xlb0PCHaBAiIhLdVhteCfcst4muMEnWqlxNT50MsXLuoUc3Tuouwvb/SM
A9+253UAIIGvokHER1Q/5ydzkPrlZuMZDLb2PTT1MkNoOa80pj27/qVnsvvcG5V7cEjuIx7KeKyN
W6B0El1rbdRoZpq/3mBDDYz8HMSmgfgkZymedMTt0WCqZffJ19ryX3auNS8y1+Vvjz/ynhNicJgQ
g/eS6W31VX5aNWwuc5CDATvP6YyCpC4YihdtejO0IPhKvtuQzFRBqLnN9Mtjy3vbS62WAIfn0mP5
a8uW7KvanfjeftG0195GiCBNkbsP4mE4id4aw8f2fkzZrwMqwDiQbdNqQNwXEMvaYFU4eu7qMRey
DybY8ePKZVoS7ay/J5/ENzTLwoTpWIvcMnStGK2IGRGyDzoaVr8ZUZVJGPOaxj5ZsjKQkJaNR1KV
Dj0KeaKGSzdICjRWfJB53/rUNf4pKDoPZyjgyh7lnCXvz+iNQdxLIpf92/IgHcxdWXUnegBAOJxs
EdWpWcbmAN6wc8TUbBCYNvwCYdfmXA91Qv96YUC8lcwHwaUMyVIAj10aJ8yJtqI6zwG0hibVulMx
VEe4ofucmoCI8jyKw4oYiL7E+rMHVh80TuRb0L7o6e+zZaN3ULqd/n0qENg7i6wTXwYDUOrJRtGw
O5WpZX5tjdmFxm5I7d9q345pkydd69zyQUSfHBT1opNJeVsiYCAIvEFzlZCc0nph9igpp6OARP3E
zcmhNQzm6Qe5AanBeglQcKEsiZDL2dNsGRrBXHyZ0E89kZDPl8endM+UQ8cYVAI9P3A3a1MWYiaN
wYXk3AC7ZOto1Rj9wqtRDAf12R2Hp2aD/s/UJhSvbOXtUlblOMJ4HVHk+G1RqdGJLDCB2btq5ZN0
6uX6eIW7Zh2PATJyZ5SbNx/TtmHFs1NW6LcIy8HS1ttqclLAD6Y3ovktCFLtEtmdf2B358vSPaXQ
RfWJaGPbiU78vpIJv+esd1b5lNcQATaD376LTP374xXuWoI0i1QG742vWe9hUdb9IOecjDnxKgDB
kD4HdgubW+m57R+Pbe08xbyM/7G1iTIgox6rWBArJ32hfxnhwvmjUX3px1Z2VwQ/FDUVgsYfSuo/
vxK2XvvIwjQwexjQr2eyDT5D01a9pAiP/BfbZLBJJgmpmr7YnMq0Dlw4gonCrcZmQKtj3AGoTv5k
ijJ5fryqnZNIXEEjhBYeaeIWdDqWnpzMBClpc+4APcFlcdX8ibpuM8a3PGuNz7Msnd8fG93bMLBt
6mDQ1CIHXh+O1BeBV49sWDGXnMV0ZIzXBDX/2MrehpFeE1Aw6sWmbdwI5VPhzoghQOjQmb/HXfXv
pjK9z26b/xdnnaUQpEA+RYVrs12WNwJQHaV1hgE9fV87La+IGcdNuMCIebBfe4sinGaUDl9M/rKx
1SjGiAKix3NiTkOIBM18GgRFzXqej4Z493aJYBpaF4u5b/o1611KZmNy2gnfaPQZgj01VMfeEL0Z
6UgtT83sMmnNV+LQr600leNPLowYaBh3fxH1tZcyN5eryYLOoztGT48Pxe6iVG2UuF2lnZtFuVow
240Pl2ZKqfRdJZCxO0dIe+jhYzt794oJ/v+zo/bxp5hSvTimpWHHmpjTMgynOZkIE4D+CRYoMYLi
peBuH9QOVRizeaNJfEijaS2YMDRsjDLVErtFtWC0Z9D0FEV9+m1M5+HaJp73vhh85KQeL3Pvc5Kf
UO1xAocQXv2in5aZGXmfCZ2j3zlN9TwszZ9VrJsHWd2+EQ6Jmm5h+H/zWs7+WE6m21PhKcfhJWhh
lE3NXJ4fL2Vvx9SAmU7ZjLrVXZvLyKoyHUzrDJApfQfzDIJiBRrV1ZxAnx/5r1MQ/fPY5P3CqLSY
FHfAP7rQCamwdfX1BrMxJs5+QX4QBk7jfjZGy//62Mp9eqPqOQaBv+oMM/W6ttKXo5kkDNoyReIV
N7Q/l1czS/0PFXJi53IiBqjhnUAeNBOXx5bvPymWIcmkoIyzYnJsbRm2iGYCVs7G+VX5CVGU9Bug
ZvFaD233bNkRdMcSUPNjo/eXgEKSqjwqDC2DWOqj//RRqW72RcLlY/xqUqmMgxRYAQG+7Qy/Vbyi
1//GHHBOJoR+1M3W5ow0dmHtUeZqtHCsIEWElQc0lNnwHW3mI7zY3urwlogm4SyBF6k//2l1g5PR
FV244vmIeKCC5YVuAiu6waD/r7kotYN67t4RVd5EzUUSiGyR0anhMZMTk7mQW8WKo3160hPfPmjB
7h0U8BgUpn4UbrYlsAwxTuKFEaRJ0KcfSHynmwabL+TbEzqFKcqQjM5V4eOd21kaXSQIRdTAI0iJ
zekERhkMDGSzc1o8vRZmkVyCES/z2Mr9gw32i9QTlLODjW0gbLeeWw4FVkQ5A7T1ED5JbbeHBZtx
2semdr4iB58SCv8t1dRtL26iEDW6JRfdzPQo1CyZnfzEX0Io0uuzYVfiLB3E6R8b3TmQLm161a3i
iNw1ABGYTO2m4qFLbPG7kcf+C02t6pumTRqiP2V+EP+oTVk/cWpeFqQFPSp6nFsUr+eUNG0X+NpN
f54+2dkE7f0AEhRmmPhctErwttTKFxknJTqAiNE8Xu39bjIcQeyg06NhhNXZRCtFgoZkMCNEBAsu
0ptupLdhxXDcZannWBx82l1jqmjBhrqMX2/ymnJapC6WiongNu9ubTrb77pldm9kqcbt8bruJyBg
oLH9HyP0lE+haVj7lUrzzKIWcxkmU4H6ejXKi86VuASZmF/jQebvHAkHkkwcBoM1+c5GVvLT499w
fx+xS7dKvVJwx2yBB6BoNBcBvjKEixcV29RoLnG6JAf+eteKemsJOAn/bPXRf3KgZOOc0cIvw8kU
w1NKlAuygtrf47Xc3woVqDBKo4p7rMpcW0E6W2p5RRHN6il3W+kyPpvDGL+k7gQxPXqs/cEG7i0L
H2bR+XeYndyiv2O7hygZOEG4tFb3eTByqP0bvz+InveW5YEJAb9iKn7LzccrMw9+2yWpwMvl9lMi
oQBAskvCdSbL02DER/buPRpf8Cd76vf8tFkzkk4RkylV6M3a+wI81DeIWWe49OuMkU3/jyFIgoNL
d7dERorpfSkAHeW6uxkRPapEU8awvUqzs09jhqj6ZHvdk62Q50ZaH8H27y459hgJoArlwxp6R6fm
JdXSD9nISdGS9Jp0DY0fC3gDv3I4cF4/2jsr56lsWaqNwCFhdnoTCSLDMNUQ+ZYhKrpzcEbQKP6N
syQ/eosYoa5Ly4qm2wytPzI/l7YJrD/1NDOhUs717N2wJOavi2nBKzpnUOLmRUkdSY70le2q/BPW
D35/WdbfSOr7J8Pt5l+oYI9QtlmtPGl1dxDo7X45fBYNGF5YuqXrw1E10DxLrlOYomj4DlE4cXFG
kh2/77WDQ3F3DtWHwwyADMUyusUhCOlZciL1DhG0/8OZ/OrPKSrnW5UNiGzLts/Gs12kR8x3e1YV
QoxRSP53NwSIig8xJQoVYa0Z8yVYZMP8g6OdIhhzEOzRdGD6pnF57Ln2virFEgaQYW8E7LfxXEue
iahFmCIsHHjIusxEKQoCTuqE1RGQe9cUDR+wZnAJkt+tN3Ba+tmLQQiEA4iwk5M47TlPpyhMqHy/
1R+zgTDqQfAORkAVntamILqc7Mm3i3CYSv/m0VULR2cYL1qeJFcrKKN/Pf6K9++pMghs0WYEAUqI
LfpCk5TaTKArIZIRWXcy7BoRqcIoXkSn1e+meOlfNZn1cPLm9d9p0JkXT8/qgxd15wBhBegHc2s0
HrYELkEJerCu/DyEi8ELu9Sqw0XazcmBCuNDEAVIdZZ2dWB0Z1dxncSElNV5+Lbolr4cGFb0bbTl
Giu9RFARfV0Mr6f1AlLi8VfeNUV9CtJh5juIy9a72lYkl/OEqbjT41vfF/F19E3xoXe64u3OBsSO
YhVV4053TXrYB0fbqjRMjW1wqqPFv2oQKp0RPzkqd9yFuEQ/issOWC/kzqRw61XFZaZgSlEOEQyq
JHqcOzekXruzMwbBd9dp5WU0oE7tFGIBUqmjtGjvowLMVlRdpBIUJtbmWyIiV4/iIuwSoziNQoO5
tdHNs9Egmvl4/3beWmCmAB9UhwAnsPHgCwpZbemIIlysUWeCrGu+FBFMVXXUVU9GaRW3x/b27gOF
U6I/FG0NSi/rpVmCIombyyLMY7N5KT2k6uvGRElJ65ZzbqADlyVZe+B61CI2jy6E4P8xunl007lc
xg4WzVBG1giFclnMXxjqdm91lXvPuWUl1yD30KSXtpn//njBu7YpZ4G9AEcNbHK9YN+Q8zCaCGuZ
crBel0ofTkSGICZ7Kzl3lfgzDyrjRUj3CLi3d4ioHCs6XBhbwZusDQdzVflamhahPizx00zu+2um
U0DAXR3BQndNEa39eCYVbdPaFJWtomr0qmCkwPhlKdGGrUePgWWhRwdVij1LVkAnl9xE0fZvFsVH
kzbTemjXTshbLv2iIfRVFZdMet317RvH0Chj7wR7IBI3N6OiLpi5Ou4GitDqeS6zrj0FRfm5bTvt
ZjVMLPNIopFmdvLXx5b3Xi5qkfRbMI9Qs67c008xN7BTCAonB0+3aEZoBmhyth2avMizJmfRyTk5
ean/bWwTpYupWukjNbaDUHXvptIsZ8IKt8CrvVn/HKW5qpvk4WBnwbMwE7j67Co5I6r6p+HDl00r
54jW7S6Fwu8qpIkiBiQP3XalmtQsx7iZsZky/intXvwC749/UFDbu5IMpUBdpOoYzHyuP+9QxrNM
+iDHvQr5sbLZT3+W0ZXX8g8vcprl3A5e82F2obM4+Kh7D4uSfWBuDrAksutr01M1QmPUlUVoj2bX
nFEamy6yz+Mnx8m7b9nQ+H+ieyaTU+cj5dwvvn6kzLDn8NUEPjgM6D2ISta/YBB5m0A+mocujxyS
YgHYkERkSKdSvckq5DkfH+a9G6teUKJ3ANVU9tf20sI14gHZrNDJnOKMrucSGq2bXZMAqbXHpvaW
xvgPST/VIa7txlTWSa9Pa4StmyA10TPzXUb5o/6pcKv5MvWLfXCO7peGf1UknnTNqC5uW/mu3RlL
FMd5OMrpc9z14mXQCTQLUDxvDuiAYFCSUb6I3sg2HikUyVdg93lYZo24TTqXHaj8iK73aB+c0HvS
AAX34B+60erF3Pq9oK9sisElEauWyt/NPh9bZJ5TiKdgrl++zDT1/p5kIc99IFKa4o74ZawRnkTO
lR80TfWBN7z3Q/wYxZOKS2T6cgsoLHTNs4clxw9rafG1rpwpPxdObz+5E+WqU1Q2/a+xaKr44ODu
2qXCAtOwD9Zg2+YVZlx2w5jlITyo36WmpRegB9474VAKJ9tGc1Q41pfHJ3jvRDHNgSiBIgG8A9sH
9L7ssq3z0J4MJK2XKb962aS/ny30NP4LU7xqcOXhBciT1vdymUTMX8o2d6Abr46fokZety5CJt2R
/tT9vTTBanCAebEVuH/jcvo+GRxhY2qyzfo05sy6D8S4YRvH+hN4M/P57UtTrxYIG2ChQDfXS+tS
V5hV0XJbKudj4iP5zFteXf0hWQ4s7a2MRIHTocCad+/VXKWWr02srHBTxU3E2MLSItkt07T/MhRT
dQCiu38fFUSEqJmBDLLK7abZ5hxrXu1loWu07XX0tP5j63fmASRy7xQCe1F0/2qWfdugN8yaGn/Z
ZCHUpuOJyod7cXJaXQKfc3m8VXsL+tmU+ik/RTpVag9VMmDKr3PjYz5E2Q0C7/G/uMpK7wjYH+hu
8NdrK5Kn0IgRv4E0LJevQTX476MOalFnlNFfHh3JczMc9uV3zoaSGVHsK/gtrvPaaIz2us5zn4Z0
0f6OIko35WJ5aGAwfzYz0/P2L/mDYxtIKUk/9DJrcxGsVH4NuQk8AG1/7RNXfmJG6m26Zx6OiXxC
FcKI9mlWbA9gF5ilnbRYEWUzdgCFo/rcdk32h0w0+QF46VFHYucsMpdAXYFIlJu2rYXBwOdj0VJn
UXZnRsCcs5skcCpnh7Qje6Z48CgsUM/k9du4KSH0RtL+SEPdSptTHKHMMsbGgC+mcPT42O89sqqO
yUQVsQrR7iZjspKcaW+cblhMkX5CusT4bkSaXZ2iVLGrFOih+YgThIkM9FsMa9IZBpTiVomqOk+l
K/58/Hv2lq5gCTrHlNRq23qymTWfHK1LIWXX0o/GUkTvcXpwFOnxEf5x51n1aJHSraRVyYjo5lr0
iF+55dKkIVopxcny2u6aNwKsdZJ2IxRFRnSp82B5eusCeX0ABwA3gnkARrP17UhM2ni+njN01aXB
xZSiO+USh+BkaXaQot7fe4vRYuBhzL7TCd5qPADp9xo9T9OwlFNxSvt2vABYQ6ulZqo/MODWfby0
excKek9VVin2schtnsakMCixAUL9Baq4b9R6ywtzg9rtsZX7E6Jo+MiVuBy0mLeQDpFLt2CuPQnl
gPR02WYtXFlozgeIv5wem9pbELOsJGZwVt2Ttk+IH2eVocUhEbsG6I1J5Ykyf/jYirrN65oQFqgK
o//BKeQ0r08EnKO0BcdEIoA+Vr/oXZBdXQfeqY7c8Jbzn528WKt+6Vu0kx9b3jkgPOJUF4mGVMtp
k6Ywee7JAOXYkBcYKZchENfe6ud/V0uGWkSVzwdnf9ceZdMf8xVcgU2kh+gSQvQD9qKunIFQ1cW5
1EX8HJjtfHMLZnoPNvD+ipM8EOnRf4W5kT1cf9qiGeAXKomQ+6yNbg1Du5CcLui7p53zQrPKfrFS
kR0ELXtGmVHFh5HZQzKmDvBPkcSYW0TmUsqQyfnqYubCu3g9GleGK7R3rhnXv6Romx0EFju3AnDw
f4yqT/+TUd3swEgAgKAT6kbnul38V5pQ07kbivjz41Ozuz7CdEj+uRl3Q8lDXnTT2HBeEced/zKM
CdkMP9Wqa2rOWtiXHKWq9t48PUYeyCAiV55aNBSvm620IRWqZVLIMHeYUqHrNocSTvIXYtCA+p7j
v93NYI8QDTEBlchvdrFBHRzRrEqGmTe3Z0Kd4WLDQHmevMy7Pv6gOw6A1O4HESB9L96i9d5FkdaP
tWhk2NO7eV3gW7h0kcWQUZZlhvEEF452iwy9el9bU3Rge8fF0d5T3TDKMBRFNucmN2Um2mCZeO+m
Lz1KSh9la2dfHy9w53Cio8zkMfxMxBrbcghRk1Gh4TqFIrEUvaJIbzzvTZinc3uQl+wcTob96Fkq
xwYNwSacCdI8n+sA7+lXdOe7fFyoSOrVS+nQ7yuarP+XVo7FgdGd9UF6QAlP+VGDB3e9gbOuLZRm
0il0AxmckqrQQ7jW+6fMm/rT40+p9mP9WDDJzZg4A+qUX2BaWJtynT4ygolxf05k+ocGEO5sMyL1
mSpeGWYU/g8qS7v2QG2CxAF8RPVjbW8GcdFMHfGQPTv+S1nI9H1SxA3zxjIu/2oDUR4YvD+QLJDe
rOJpI2nedpx6P2knaSxjaHRopMTtOLymvRwOXqIdKzDPKYCRogSCImO9rCRZcstsNRFyYBltBgbx
gj5RdeCUdz4eRRtGGYHicCq3BaNltHph8KqGY2JNFhH1NN6iKc6/aZ1IXxejiw6qADvLUmNSiimC
+hTv7HpZtTPVKU1dEQa1rd8ab9QuyfGQ/f0dI2ylEQEtubKzRSovvpm3gbuIcHD69FPcDdGL1s0p
nnkyKCcL7xPUJt3Bju19SxgoCFMgc1Kp5XppaaoJ4hVHgGkq/b/g/S3OcSblUzJDu52N8oj65v5O
k4FRd1QknYwHbKGafdAy89WUIzpQJUI5Sdq+dDYHhurtEYx3Z9for4Bsot7GKOZ2engWWbD0Q8WR
r8b2pc0s45YnpCSPPcfOgrjFwMG4xNQQtw/a4mRa5xssSEZF8cnMuuGS2TXqgskRueq9JfAi4K0Z
qAcmY299Bs2qxBuymljE17uPdq87X4OyXEyGE9sgOVjWj7HxtUfE2o9dgigZF7x5PaHbGlNE82Qo
0qQe4QKvFER/SX3vBK8F6dVCl+VJxOU83hxiGth/5tSBQarKdFLYRneKU4Qy8fdh0Zz+nAdD/es0
zfN3ze/Tr3Nij9+JWwOAei1MaE8zJWbrVEymtYSPN+j+WjEDSIEBqgzFmbFFiYwMNuRWnA5hGlOv
OSWyrH/NaRvFjMn51gmSdYawgungXt1TH1CgpDrEUAEErRz5zeMV4HH7MmmGcGTA65uMFg3W49FZ
jEsjxDzcUjG5V1tp7F67ieFzd46sfzSva9zTkid2cODC7u85tNvkjgrCAcf6Vq9bJnHRT3QY4B7v
09eeTPkyxwX6VWM+vOapFx+8N3v26EmDGqE1zplVl/OnwNlG6j03soHgq3TMcwk37iVomb1NwE6e
BPpZB2/C/WWnzI0eOVkJDubuQe1H2ipFTVyZemkL1qHjBlb5UbS8Z0W5Sjq29Nxx1etVIQAKTBsw
ZjhWWXCrkcC90pLqDk7s/UVXtESK1JAHm3hkExyMS2fUMfKyYWz66YW6W/eLHbX5SecOvhkdokwR
ozIMTiN4iyHIZsDsRdAS/iMvdnKWcvqj9BBjJSSXT25Ux/96fBn3lgZNBfRL8F0qZvT1B2zgXmOS
ibi4saV/7iAlz05mVcNfZrnF97fbUoEIx4/iPSWbta1eawQHBrKqubeTV16/6ELxKX8/anN1pDK1
42Q4EMSqSruJQGGzrk7KCk8Qk7zpQn/SZOCdYLurTw0gpOd2duTZJE2/PF6gWsDaRUNmQmwMHTXv
AsDy9QIjo5XBoCsXLVsBWDFNvpT5JJSYgP9lhjHsuYlG79rPo/HbY8vqb95ahrkZXBFAP5q+mxMq
gzhYloJtFC1FVdjWoB7B/0/+X4/t7B0XomO4utRIGmR56xX6hecJKLpIOxYqxCV9xFPR+A16sY08
+Jh7DguiIezwtpKbbkzRQJgnbY6gNuPynTJY5a5NBn1B5nevbj6Nvz9e2c7eEUrCE6OiPQv84Hpl
i8xTtGJVclo5BjqhIDRFGjTtaVwW42ke0CNOEhGcRms5IlrbOasq8CLt4Nqz4k3IBzrDMMsuJ46I
l5w5SatAmiAFK2CZg/YbLcLqJL1G3h4veGcrV1Y339cq4nlZJgoNFuQ/yBQW86sRx/LcBOKI0GV/
gar8rChDOTbrb8uitVafcWpSj9OrtN0ZKEtNTUPwBqOZPr36uXGkb6H+0s2VUE0FyIoV8bazxUl6
US0h4jBgAcx1CKLjLv4QTcvb8dg8qXQiVURFhrClJC3kpEMgm/LMBfFvQ5F5n4vFi66dJcyjsdMf
k4PbFVHfo9hNAIUgovrMPz3hEBdEy1CDkHF7v/zoJIV4HuPIBjqc1h8MKbW/h7kbQrP3+hf4oOvP
1pQPyxnnkH9eHAfPPhSug8CG+3ec2NGZSKP/h14r1dfCmZGGi8VRt3HvVjFJR4pG4xuRr00lNIqn
pS4aXk4zWRTBFNTgRQe4sgZkFMLjXF9iUS0X+vrawUN6f+YoMeMSddwxnY/tmZvcwRlyz4PGSm/S
+dT6efOLXuntdKJgn34yltk3ngXjPvGB4ft7RTlGJ3ujJIoSxBbFMI4WkJGZ4u8wu+51Gdrgley+
OC1jFL3ZRWJKzfFB6kwXaUtY7Q565EqJz8pmrWKG1xubUOsm96Oj1W1/ynvriLZod3EqTwQcAjhm
S0Oua20HZYvgWR2cKUzTwL2WyGicUrMznh77p/ujw+Loq8LcA6Scw7M57ZEwMxsepLAcPPs6mEv+
71yr/I8I9vaXZmTYzxkYBNX1/Aiif//yYBlPRXOO4gm1k7VlK7ba1g2403OzyHOQy+hdXfLSJdEE
yUGVN92Xx0vdNYjYEq1rKl5AVtcGCV3bOUhVrOx77avHCN+pqLP6XHbSvCYp4ODH9tRbtnYkPlyi
dLAQZlEZ7ObTxraB0EuDPy6RQX9JO2t6CQwYeGaUn0L4mYovNWCOWz02y8leuj/fbN32VD3d4gcA
g94ksrFZtIKeIPmfa9NXjlOKtier9PFhQTecc+Y7royYVe+zVAwXw2yPUGs7h3j1A7bv7dRqRjl5
Qzi0NPFoj4AhGcrxXe/Io0Gn+0eIoILWFb8XQCvd5/XOSiP3gjKoRIjedR9CB2mfdR/i1sdfdG9B
eDsuJJVEuGK3B3aaHLcZWxG2Li37aMbRzJFACT4L3iygQRGCKjqtCcIVRba+XlDKHzaGLUSo50im
Roadn6oJnsJmLvVzoh2ySO0tjVFCAgdWRsy3CcvGqpON0+gidPK4evI1HGky1Mv7BqTm+fFXNHau
oaq5wc1BHxBRqu25sFQXtDMFmD9Glom+6GGf8lnz/qKlFSwntICdK6rLc3WbTcb8LwncOx99kTgl
nTYBwxBoCUNcqDDXX/I5ct95dZolUBA48xHt8+53UQqOkPBZ1MjVn/8UC9B3oxpUDCI006F7EiP0
VLJLvqZxERw4p53CCXEiUmEQDIAJpFS9NiVHPw5ag8+i101/7foakTqNkm7TZc2l7ZIvGfNSN2Rz
JHdX989+sAwvjGx1B/uzsz38DoII6m0kBNu3p50ZwxUQ1YW1KAJUVtPFOUHc5p5JbS3mFWPvzckO
75zLByYbIHTddlUT1OCaMounUCapePb8kXrlOFJ0cyLtYG07HpnBAfDnuAvyxm27Qy9rQHnzNIaV
a6FEwIzY85KVWYjUyBAyWghEZtDHp3ZJltAq0yPk5c5pos5NNQ7bKqvbnHzhMkqb1j7dljTWX/zC
+qtEfOdfY/c/pJ1Xj9zGGqZ/EQHmcEuyuydpJI1GyTeEfWQXWcw5/Pp9qItdNYdoQlrg2DBgH1UX
K33hDYeHbOdCJJ0DBMkpoxK8hWPXSLQUahIh41xUxqnv0up1ierkQBRgdz4AzSky459ER/h6y1p1
ZsbkpkOIitTyIJdxPMVZolE0VaqDldsJU6jVIIUB3wWQ9zYGqx2vyOnADKFlx/nnfmmLhyzyjBdN
T3V/qLCmKhJt8vPO/P2qFCBvSinUpTSgdt7mCnAUdhSI8yHMs1oLodwQ69alPM1xZxwEDLt3wKrm
Ry8OOA83//UHRdwYvSWLzl/TefVZ1XJxyQtZnqY0/tSVVvphsPTuibsoDwd7Sf3ec8tLT2508LX3
7gDCagjmcJXBSm7uIq133dotszEsZ9Tx/Gxp6TepWjZ9jQsTwHQ8I5V++1nYSSRAQ8MfhkVJb9fY
nA1z1u1skTR1vbpL6PgPBsZUtvPoztjsTDiQBUqEXtTtQfeOybqwNMKRWyVxvv7eM1TCXrd6vjf5
k5/Zk/JizKX8cHuUvWNCZL1uIEIxmOTXozjSSCyzwQXP6IR1iqKh9Jc5rZ8nvTximO9+RfYNzwiF
I4AN10N5YpY9zl5DiMMxAopaBMU26YfyhBbkv92UD58z1TwqAezNj/cKJAU7xuXtuh7UzDWrt8ty
DBHmmNiUfVuGam/rz31mHT3IexOk0K2yO9cuw7ZvlzVLpI/xzJWjDbF7b1tdkrzUKEhbn41pfaVE
iVqupY/ZUWdo70yAPqUswJXG67GJMcdlNs0OoYWwUtGnFwTxYTW0/blPtPEEpvBIoeNovE38HmnR
ZFSS8ZKqk6FaD/Epq5vyrM6eexaDcaQqtreKFs7ya6ccZO9WvGLVExr6uRxCBQzbVyz3cMjuI7M/
4QqeHHRJjsbabFNjgv6f6sAAgKDop3G2vIdiph5WzvERRn93KIrFtJYRqaKFeL05RWfUKEQCADCq
3Prc9V0SxEOunkDE/j6Hjw4viA3abmtOvS1JpIOnjKXO3iyVxrugbude9AYUgMfxON++UvYuLvRw
MEgkkCb12WwOHiC3sPRhCCFSmdqp4HsOKwvh6Fbe24RkA+x25JkAX2+urjhNKLWbLkGpaScfTSWz
6SpY8qFyTNGiIrwcne+95VqNW+FCkrtCeLpeLheTeARrBIBZIrSzavfmuS7wY4umXj+ofOwOteIb
MGzdIYrQ2RWFvkQEuupcnFJMQ1/ZGD01AUseDLW3XKBzaZFQJCVz3HzGJnJ1PICTIfSiob0vyO0+
KcqhW8HuhMCS2zyjdH23YCUUuhY3RkYoLGFRXKSdY4BlD33pJ2WVHrxpe/cwKLP/O9ZmnTqjNFzp
AGBAbSC7QGVyHx1lcv/uMoidiho7oYRa9ge7nn4dKgvAy6l3rkHiL9lYJquu7iVXFKWN8t9ca2Bw
ic6NDqKC3e/4k4a7EpuB21wPY2WZ7IuRTQ/DWcp7LRPmQyzatrmoKRjT2yd5dzB4WCtWY8Ugb56V
BohXKeaKnGBozcg3Kit+mLtGIdXTuOX9PxgNQAD6lGgUYcl9PTUNASt1SOVPGEr5bEcj7iCT8SCy
Q+2uvXnx7bDVAfO0UgKuR4o06WgKHDuwQ5kI1SVq7rEE+RwPpXIAO95LDcg9SCHJ0vGY2IQf9lI3
dpHwBSusrr4qE8oCTqmnq/J1chq6TvWLScmCZcq+3v6Ye5UMbBpRoUa/ZXUe3RwCYXtKmo9kWeho
L4/2iMl3ac3lRfYDCu+9Yl2y3Jw+1NWQfEM/KXpsEEdcAtS601MZl+3FlsL4S4363H7K7Lj4tzeG
+b/bP3J3HdbeAHc4UiHbzYz+eCU1j/fPU0frk4xH0LWZIn54gzxyL9l7LOjRgLIAMLn2Iq6X3Cog
ptYOj1IReQjUcj+c7XZG4V8H+4Cr1xGpem9qK7SFSBdkApDT6/G6Qkt4Siae9nRGTayw5Vdz1UAv
O/dPkkAYhbTQ1twTycvroTi6Ma1KpmbXEksGbKCar0hqD3aQVNiJ/MGdsD4VLnJA0Lu26Ve5GgzC
wiD002R0hwhBd1foiRFgbBifbm+PvTUDBbfmXaBWwJteT2wYnFiYI1XiYW3gCx0P66kwqaPlIsVY
2xuyv24PuLdoVDapGgDXImHY3HeDWXeukcge9TJTuReZjiB0McQLh7SLDh6pvWcX6TlUDigcrKnJ
9eRI5p1yNhmrHMzhJU3tTglJBwfnYL12xlk7rlDHoDDSk9q8S47ezkWOWG1ojUZ8b+VzfcqiOv9+
+8vtjgImABgOedabTiuMnnzAeJhaZN625XkoY/1eJProXf7/xtnsdSo4IBN5AkOgWZM/u1MFdCtO
Dvp3b+0iQAAgg/Zzj9PQ3eYbluklg4YRbFjpRjw/2Fk5aX5ZZVxLQ52l39QuKf8e57Lp74wy00hG
+hi2vQmq5G98rXTjpM5We6+pQonDnJ5z7xdJ5nC96U73V1NomuKrRpx86pIi08OoKiguNBqCps9D
kxbrNTgbgz9EhbEEPTzalDKDNO/dllTi1JTp8trMWXMkEr1z4Fa6HyoxJCRUzTYlntEegY6ZWPkK
10U2IE/mT4ZdDndmKQtk+ucjftPeriEcZN/8hJNvOwlpVJhehR5EiDiuzP1xVBvf6arqKD3eCQgp
zcGsJZSmILatPOhtncuhUun2NA1ENB3UP9GaGpZVrl2WpkDDj7ToYKvuXCYrq4IGNAVI8rvNC7DQ
WVyMjo+poulxN8opfWkZz4cfYP5+CE853FsbPygiEIVe3yV9RlUFF+yO7ZpaFMDy9KtBX/ggltlb
rbUFsOpyrmy+dff8EuFWij7oiiho2tWq8g1k6Sj9kep4ePuI7xUa17CF1v2q580jej2O5XWp2epu
hwJ10quh7U7iw5Dhah4URWL/r25HuDB104rx3dgU3SfM2+d/pG0r2snUUnxObv+evXUkfKOsg9sR
PITNoQCxWElgo1w5BrWrRWj6HYjY/wqtOwJH742EHhzgrZVbAUfueuL1qE5qtOCQ7lIR+z5odLuQ
mE0nP8Jo9CDY3jsS61qSQ1Aag118PVY6iTRrDaUNtVZxtHe6cBzAjINUysBE2jZ98aTiZj7if9M/
t7/n3iVDCZVbho4Kj8UmMJ3brGk1XG7D2FKxGpm7DMsd/Hnea56wA5jp8x8sIA1RSLYOzVHo8tdT
jS3FNRVlIIzI9NRXHMVBWhll/8rWq4O9uzs3AsyVwE81biu6kOF5baaj1YVlZ3b32DjZQWTFw2Ww
q/7eWjWQb3/L3R0DkBclOJADtDqup9ZQFSay5Y4x2yF6jEvFwELH0x6MWDtqcuxNjQbzao5OEQk4
zfVQA1pF3YByABTi1rr0wyyDuHKSs9NG3ReF8Q/ilp/naoNQgNFLrWAtGRBRrj/ol+uG6G9E5RQW
RE6TJ8iH3vX8bpoeq6lYhD/m7fS5WMz5f4ZS87DSuI1fbCMtjg7K3if+9WdsDiX1udYU1OHDgc+C
Mj7ETfSCLdRQYvEHLwbXHUiXn7IJWwxIHBsDtjhwaBBs64PELDRQnLI9181knm5vnL27HCng9fyt
xl/bl15TR4lGGhlwPCtpkOr6+ETpVf12e5SfN9Z2DTEBpipCQWVFRG3W0DWbdlKmHhZs6dgnOWrz
2UjcOgT1D9XYdscny5DlU1yAzyvzybw3UtFdIJo2uU/5a+rOTdo7cBooulzAfpevRWRZ9x3580E8
/hP9/ua3Wqu8POqfbPTNe62jolggN9ZDLWu6f1PhDJd2KTSVfk9nQqht8UzOU6cdLrqeNq/g871v
sWmkZ7x55d9JZWg5/pRuW4VNNRYH67W3C2likk5qLBdJ5fWHLCp0gzRq4EBTGycJ6jFy78BsWn+1
0G0PLpWdmgUDAEKio4D8w1ZOvaSm2Ypo5uA5BgnylItTildJsCRAcxBM+tHBz76rpuTo9tyZJHQn
YMUIFECMe3Pim3JZCOAo6A6NKE9dPXHQLUlQF2rG5KYHN8zOPFGOhu7NDUPbdstFNdF7HQcXLpKM
XNO3e8TVC3N0/LGuinfAfvVzkqrf9WlsD9KL3XmuEm/U4Xntt1gdpy3hj2bQkyhTjiBNrPxUI215
UQf3SIJh7xalCr9iqEnOEDhff8svt2gBc2k2tJqDXhjJXT33ul84Ve97EqtjpXOdQIva8aNQuGKU
McF6wJh/29aJkWlhwvpF/I0EYnuTRyCg4o7WF2Z01ePidvWTTufaL/rDdt/+fEnZQGysthRbH17H
lTWofMqww6Ip761CWC9wwNwHb8Q9RY2b1F+W2QlzpOR9x5idkyujoydjJ7Yiqvq/v2GLeHUhcJCO
ICdf6W3zbVJpStt4jnxC76B4GKfE+9jKPP39HIDYlOY054Y8Z3tq28iLlTwHPjK0w+ijuKE/RoSt
B6PsRAErtYGWFcWE1cPlejsJRFoBEDOKhqvDq4hlKYPa7JznZZzVUxRTqTm4jXZeKri/a1uV2tba
778eUVWTto9alY9pxvPi516jlr4ee+a/t9+qvUP56zib+AbKYFyDW6BAaFXVeZzy6FRXIG/GfKwP
VMB2p6SD8sHMhORwG5BmmliEavWcB1QRQ4mFQgDn+qgCubcL0V9FXYatiMnIpsBkG6hXVpKl6k3C
fKFHa+xrTqd+buow5q69y2f7iIy1+xVR8lk1zvj7ts3j2iVqnf3Pim5ZPKgzgtadhRUZJgrxwfW9
uxXXwgG4Z8Qrt/m1tgCb6Dr6VnaJFnqBm7LmLy73G4S7LBRF2376gx2yShQZ8FEA/G924uiiIy0m
YiajNnKUZQczkPnUvRjYZ97/yVDEZyQsQJC3lCxtXlxlXntyWov9XTzPZVi70j05pXFE3N5bMQys
UFrnL0rV6yv5ywNhNijJa8p6WdVl/aWvF/EXlh7W01ho0evtWe3t+zWSXzniCJRsH1zy+M7px7Wd
pEr3FQp19kVBu+BgX+xOiDIYWS3icOTt1xPqVAWqSceLRxVPOePuUftj2lR3Y6FGB3fT3haEXQKK
Ga0H9Bs3O0LgUjJpLg95lfXijNa6cpc1Mn1djL45I9MVHVwce0camACTWjVs+IzXU2ugogvcCkgQ
zKkOq1713sdimnyXqscpiY0Yr94l+uf2qu19T9aLaigoJCKWTVxsS6WqJjxSQpGn7is0/xGD8L56
jEYU1W8PtReR/TLUNishd07rtKLUorpxPp2TOFGes9JRKt8eYy9wOit/NzkF8EiuOy+8PfjeYvJu
ImVK7EDJfLNvlkomZqWA0169g96Rbb7PrEYNVX1e3iV6fOTDvncYAHXBMlgrPeDbr9dSxy0RVdgR
WLipQhYyremstOrvyzphskZ6t3LLuCm34V8XDYTuo9KFvYi1e82tMLVJD2Wd9vYl+3GVpqMMAZTs
ei5xhIYT3l/sy6WfwejM80lmlIy7xtLPRmrg6hEjTX17vXY/IMA1OiXAngDNXg+a6rkuRUuZEOhe
eqk6bCighBw11/ZG4Qpm21OSBPWx2RURAiCGnWQ0Nqa8AkaAv8zcRfnp9lz2zhjhKpoloM9Jlde9
+cslPC1wcK2BjS/R6PyayGLyIfXMwndS+08CqpWmBlOUl0V7A4xFfD/rbQoaTuVaZ2mVOcwa94j1
tXeaiEW5GQ1ozAQg1zNaXd1l3KsQhJSuQ2ndXAMBK79UeZrfO04pDk7vXtWYKADEzApWYMzNO0Y7
TwV4AYMS22QwmsniXTIlsZ9MZYlPYwSM31gq61wvUvG71C5wqzOjy6LPR17yezOn07zaeyARRwvp
eubdOIx65oxjSFup/2GYmQxyoC64n2FDoQlpfv/9vYOe2eokgsMxfIDr8SYHi42+Y7xC78o7x4zL
k21WzdfBmMcDTPXeYaAzukInUFB466KeRLPrjfDa4qnxzsJr088jJqqX358QIlREWQgHEkhuJqRl
WWxoE1SoKtIVv9CkCGfFJXpVvD/gskHNgcvGzlnFTzZ3SNmMMcg79L2k3UW+tKLSr7VoeM3mcT7o
nuzckbQQ6JsD20HGc1twb9OW8pi3SonFln02ZFv4c1aNZ1TSGugMjhvQlj2SKdx5UFdrT9InVPtX
W4LrvTFEfZK5WjcivqDIv3TpGndlM/SB0Tbpf7PRLDBFk49e1BsHO2XnQqOtB9KQ7jap/7aTXgF/
oJsHP3BQEv1M5/5HOzTWnSrFQXTyZktSLFrJjytbx1ypetcztAdM05MkpugWZ20wtwAFSpquL7e3
5JszvY7C68bCAU2iGXQ9SpzWBdX7jFGGfnywQdY8F1iFnAkOX+JB+W2N83U4BBngoLNfSN+uhxOZ
MTZDRX2tjF33oqh9EyqDKTFn1YzfPWw0DgkNEKHiAuFN2IYhMx3MqOyqsPam/sH08iVsZ5k/orZ1
FJivf9RVgZWhiP1pVCLMu3rJXM9K7UTu5KKqgTmMq5dEZflOY6fnuVC8uwiEr496S31fUfz2R2/6
bS2/dXhyQkRQIZNRYLwePkfeq0xawD85gkcnKmX1S5Wv3FJCsbApahpfzXwUpLw5B+ugNEtX/D5P
wXbOldpgK5aLOlz9joIWRvq5VPD2NJJInG/v0d2hyLkBtFEIZ/tcz89eeHJby6hCZ3GWSyt17hab
YL1qnPngsX1zlzErgge0JimVr6Y810Ot/lU24I4qVD2xtuyNqP2ux0U/+aIylY+l0VkfoWXEn2/P
cOesAzpa8QJrFgky9nrYmp/SjEKrwkkrkSuYB6ILUXZ/8B3XaZHs8HwDl74eZcSal9SXfVIMXXEx
LEUP3cTV/G4U3ukPJrRiBLjCKJFuTW3F7CieGTEhXXWqFyPnkFJNs5Ebuj3O3tag3gSGk8cO3fTt
lDpK3XFmVgh8JfnJreV/U+8BTBm8o77S3kgrOQ/RPiZELf/646Ez7CmUScrQ1hb3zgW04tfSU58G
aVW/+8SwCelfsUbgHlbQ6PVQgk2ijA6VEatKRqycR/XiLhNvaWtm97e/3871T0MEwjubAo7MlmnJ
FkgGRMyLUJR2X/vtnKnynU6Md5/SwkyCynGr778/JM0BEF+rBPCb/jwGcUbCBPFAbcfkBH3U9GU7
Lb6mdfqlcN2jJvnekf51vE2kMGURizlgD2r1mhmUVacEctLne7ePDPQa4vhS1emR0tG6RNsXgVIG
m1/jxXtjU1LwXFutWhehrhTFiZq4GmRUVB6bbGkQOtWrJ4EiRWBMtn5w8t5OFx7pah9C+ggL3tlM
10msxq4abrACqbH7TCxGOHZwPgaRdZ/UdKzvHZ2jcntN3x6OlbxKiYEUGR7dVvzO0wGu1AMCDfzd
oA9RKA8TeYSvoxDx25cYu5X/Uc5AZInhrg9HXxKZsZdptGaT9aUdptmfrCj/lDdOdXA4forcX68i
QqBwS+jbAbKAinw9lrTsTFmYGYjMpUuwmmhd6RdKmX7PpqKEEYhRcFC3ueiCftLad8DNeWxTqGc6
b5VIvttRiqiCawKNPbj43r4YJNWEhVwUUF/c7cGth7LOU9PmMyiG/CQpzgUqViufb6/r2+uBThPY
CIStKRGgKXX9AfCL7LLYJbCRqg5bPFEsn+6x99qn1Td97NyD9uHepBiQPJ1KAbDpdZv9UixYZrsx
ayqcoWt35rmBAl6/x5vcPtI23JvWSqCF64mIyZvqJvXtYmHj1JCPa4THujhLfXCmwi+8Vjy3vXJU
0X+rbwiLhyQejW6wQWzdza5F1kml5MaudWUs7icxlc9mOZd3NtvrNJuWkvr6pCvvYI+Yr84cwSJE
TKt9F/Ve/z21vTaMUq/8KgvXfmw74T52rbT/M/PS+lzVsYmbrhQvWaUltK/qQzDO29uMX4+B7lqc
ReZhywBxIlJmw0waeLhd4fiKl6of60XPHgzMN589p1OfCms2vs2a4h0kl3tLBXBhRacR/CHzer0l
ZvS3JncwCK07879+Et6zt9TFKXHNLw3436Oq4t5wQI6g39JxXAHM18MZReJFapO04YxT0Y9Csaa7
HhcMtCAM1+9z86i4s3Nx/hQ1c7g1CWK2Jf2ksM2iG5QGoQ59eI67RvOpnpr3lTseiQ7vPAwMtWZ5
ZADkXpvDpZpxp6aY5YSt1QzL2a376lSo5AgPAnD4Q2a0btiKJDmo7O/sHeA1VDG5Ralpbrsw2kjF
gW5tG8pMRJ9bE6beBaJeOz1axuxW1E/b9HvSyO6iVSAEz7cvsHW9Njc4ESY14rUBxLuwKXIWbZS5
bak3oTr2/TfZm4ipu/n01GhjjOJab3xBk6DAI0Ifk5e5SI/G35s9vAWgeZRZ6a2t++2XG81rlwji
dduGjZjTbxV+G74TJ/F97SgicBO5vM5VP95VpXPUcdjZWavrOukon56XeZNSQCC0tG7q27ByFSes
7VF80FURPwJZyD7e/si7Q1GNoYm9Vii3EJ4OZjR9kxIJmAIH43wRpt8D3wvyBIz37aF2zie1nlVv
xl1LotvWaNlrcPRR3wh7FTuay6I0Y8eLbAHx1Lo5P7V6fJTo3h4SANX1ErrSwI0JiU+ckx26o7Yb
JWSDlq0EyaLMT0NrTb/L00Up7/9NEjTC9Yi1Y89SUaIGsPqyhMJu6Ap18/JkpcbRpbA7ufVs0vX9
qXx1PdSotFoSmSlCrelgfE28PntahkrBmnpOQEhlnv3h9gLuHQiMRShmk4RyE23mVsV2pS4JIqax
3id+VBblvTck/yZ60nyAAj0/OK3lPaOCcMTu2YktKFWAJF39OehObeJiNA7a1kiaJoz61IZSmDcB
4lq/nyXCSqMCs6KB1lb65pKd67w3bNLsUKjV32WRLe8MTYuga87d6faH3Dl0uPfRKqXChTzHtgDa
tlW5iIE0yo5wmESbrw7HEa8IZG+PUD87lyjRD9OilwcleduzN2dNb0FV5mFjGH0bTJqsH5se+h/C
QEr74KKk9SUexuKhMIv0SfYA7G7P9S32aW1RMT4FLjJiDv/1Nl1cZ3CKFZvAHz5h6Tv+GAaqeLVS
mpfGoFCjxbZ7EsQ/ftHZ3oVo/cjIcOekQKckZSUI4Te8kRWT6jx1CdbtZj5mZ1ua4/ux9oAnT6ck
97K72zPe2a0/q5aQzTkqYCOvJ4wcejtFKRNGvCJ+zEo7/jz0bXIwys5hZJSfRSfVItHevBFZr8UO
IQdzwkL4+6Cmtu8Zef3Oc6rqMcX44IWYpSLqW47unb0tRUgH35zLAOmrbVg3uXM8NipFAKFZd3FT
uWEhaSWJRI53bdIq9NQ0PZwWozw77pR9uf159xYTqjHNrLWfRgHz+vPqMs2iyqQmIDVj4cpxvtWE
FWeUbP9TlVg/yNX2jirtHu47wIqEsZvFBMljxkXCpbCwbSa/bIv2QS/S5Hmh6n9wVN4uKV13RqHj
ohN3bcmxpes1cqiRY/PGaP4Y21YU5Fhp+KD2rAvS7VUokggGVMQPuf1NtbfTXDMq0noTsSBwp5s1
rSPR9rGo2tCxBEZ/aWwlJ71XGi5afMAzX511885ZRuvkKINbn1RnTi/tUETpOS1j01e7upG+YucG
CoEKnJ/BHLu/D37k+q2vA0JwvxQoMEKnYkh4dL3yri1kmYwIiTaTmB/1ZX2J+rT0+24qEMByu6fF
fqGlH3rCHGNfnWzrLjGa34awkWCA40HiaOWg0wq5/hlIS9iVED3yV6Vh33fK8F20WHnNg5mdNWRQ
TzJajmqlbzc9VO2VLbLqU0HEWf/9L7GoWPQyEVELywlHGnlSlmnQ/AwdTfUCeh1FSK9rZnm5/cHf
bgpiX5M2HbAeumbb/A1QmWNkPal2jwNJQPNRBNNgR+9bmVkH1YOfiIXrtXVITk2uSx5gOiGbte1n
joSXI0UVKZ2Jk1Ed5YvfRoan+1oVjw9dgir5BX/IuvSNESxMMBT29M/SKINx8gyJuIu6WO47t2+a
PFCcfvg+6g3OFIo7u19Qw63mM+bDovPbQm3fl0OGp9/tz/V2jVgbiw+GkMTa2dxEKSB7yyiTbMpe
ZmpgjrYTgIpS/hNlnEGXHPLX2+PtLA/ZCSEERS7qLtvsDOdk/ngnbUJHmsJGD7PyPi5IHr421shn
Oxjs7eUEaI1ckB4OFy//cL0Dq1RKa24cXM4ztazfpboRWd/HdMS/HgmN3H0G9WKNvoIfbxcqmYLz
pJX3Mjo79M3lORtXoeq5yaqvOv3D1i9LW499Vy3jdyJPqJD3QxxRLlGWZ6PPB+wXvMr7XFewuH3q
aJgwRKPrfJBLEb8u/VLpvuogQH+OpBW/dyK3fxpdRRVhWRIP+XUW00ZOMwO5RBCEbXkCZWThXhyB
7QtGpbcs3Mux/bsbYH7NwVSNc3Je4kJi9wiBVjzkadYbfloiXh542aTCCUMPznvE30VIzLITOZw7
pXb7x4EIL/7WgPfEuUDvhI72oIf2rSHU6IMxpVp1h0oZnhiFljUORTHb/WupEEH67fwKEASlFtDW
VKvoP1yvEABTPdZt6tbCSTxf4MseWIPIkU/2vFM2x87pYEvw510fWRhIKAn/BESslIXr8TBMsbUW
eDeA4Sz+1pp1deoQXvpQjCjL3x7q7dEiNyVHRUeJBICM+HoofABEDcmzDvWxzi+Rq8WPzowfJ7nj
/Ajt5CgB/9njup4bjTx2FRff+tJsaztGNxtgn0DwzpGFm+msN8tXXfZJf0n5PzwVhhH906LEK0Ii
2Eh8yObSzIOSwswSOHbkRZ9Ldxo/81QnpZ/S/Y0ezabRfpRV3dQ+j0v9te9M+SGZSuoocSIW9xnJ
ZxL9ehDjfa5I5OPItvQpaFK7Vv1OT7wYVTvP+uK0hvhm4bP9WmtNEfmWnVvVKRfZJPyll9aXJs77
MgAUU/2vMMb8kyoL5Xs3gJBDU2J0v8TUH3O/SUR7T+c2W8Kk6JuPQirqv2DNkfGuvEguvjMXBOzr
anzVe7P/gvCb/ZC1qf7vPGBZEtrmkvxDfNdUJ23C48WvMqx73y+xm9MdkbXzMR6y9gsWRQt1dCVq
86BqoZY/5qnmfl4g2Innoo1Vy8/Zp9WnpY/H+IMTGWaHwEErlyzUhVpYH6IcHfHAI+zi4KEX8JC5
3vTF6GKrCxSjHr4pTZ60MLOaZD6XHAE0OJEPQpcBq8o07AGT5VQ1ovRjlq6206YW9c8jOk2q3xeo
1/naQI30XFKbeO0VSfpa4BvSBXZkztLvof08Lr1Xjh/6aVFOQtAFO9jf26t8FU4nkqVLztmFpLHZ
3yPHDDQwoK/JbqoHrfOyJ5gh0gmamX9xMNh6D/y6t9fBHJ5agheoL0Ajrw9T18GXmHtLwwBVzYIp
652zG/VHIJ830Le1s7H69vEyrQU8y7gehva7WcPmUwNNFrFyKlwxPVJpik6W4N71G92bPkXC6h/t
oW4Rz81cc/QzV1VkoBVafYRsxdt1HfF64oRtOKXwNVeN8C02EwVBPZlmB/+JgrDu1ekzZQAvZnkN
OuV2Yn0dBR63ZmuuVECtRkZBjFax3KGkIpE4LeqpA0qgK/i9V11TfZmwfjfAS40xIApRjHGoe03q
+G3VN/IuwraBylbVqXoAoKSLPlaWTI1T2ep57EdTEmmnNLdx3WghXJy0OOo/NEMr+K+zeL1yvKz1
3dEtxRmg4jIE2EnOhd9bg/PfqCZ1cfGMIclOUvG0j9wUTnHKusl73+jt9FceCXPx6ySykktdiu6b
lVTVB7evvb8HU+GIx1HLRx+F3U5BbJfm33U1AOpM6rZ/jjIY9b5oDa1/bYZ0eY30SvmelsJ+dhAV
U2GlNWIMNEsgWlrnVfqkeB4ydGlW4A9u1nr5KON4Gp5MtXe/lU1tzjjSNPl9Gy+tCNIlrtWz2rjT
dxp/3f3cTBJASBppr73pdpav9CVSj6ko39NEKmU4iQV7uNp108jve7c0AqE78h1UcHYXzbT5FTK8
84B1AOEd+tL0UPIy6l0f0yQcHToILf2F1AoFzjSbl0eR5QWQcQxRAgfNnb84D/xCHTDAQ6/2loBP
m2M7VGVKOZ5rYc4Q09xJfrLhx2jhkFo1OVmMbaPfOE1ahdGQxx9EQdTy0rt181csVdSgBY6En+nw
Fa4/Rfr4vUBqUgEOORU/VLVd7LsS6eIlSJXc/TYlolGIeFqRBsAfrG8Ua+dPQ9a5z7GLD2wwK533
v4Uf/2lqKgwc0OCwv3elJvNAVUzvszotUXxq7TiqwrlYNAfYUKQj05sYFX4Go4i6YHYi8b7XilgP
pg4WkY9zsZBgcowp8XN79tovZe62PwYlU+cTiPjqGXwZTQcj0aynfKn1NPT6Ojf8pob8CzBRUZXQ
a0t5bnIFvagGLQjjTG/R+VF02fwvSbzDH13rvdHdZ64FOXvJtP4/koqiOcXutHy2YK3Mnx1DYGGK
GbvSBknRjMrTODdWHTixK2U4JI79Ef2W5FMPG9J6tFK+nk/+vNLmmjZBhrSwk/zCORIvjTG4+IkV
zdJJ3sRueEKbOfceLGGWYzAkkz2dVq5d7I+dzIpTUdv88riYB+O+aKfiG3a47eTXjqNcYtnhIIBO
TfxPMhXRczm6dYb1UaV+s4C1On5uGOJjP+K2DNlBN0MOBGmhMlrtB1OxMj2w49n4d2gyp/PNHqaO
P6HW8qzHbsMWTYfsk4CKrF8Qmsoe0yFyrSdHiwBGitms1HucMkwrkDJNLOmLwin0wMJi9snwasyX
lEnnvE6pfCmitbw2pcv0GuGgFgHqFXbl51E6DoE3gbuaDL2qiUM0E4OcEk7Zs01CJO6iIanew8q3
/66K0Wn8bsHOJVjdqpozWjb94BsNm+rBlEb6QSimICw3+sr52qZCv+RjQhJlidwI4sQW/fs+0rPk
o47Bbx20sikzpGlp4fqkRpobKt0wvTiG3rghCjRuh6RrNX1yaDwUQWfEEaAc4Walb2NqPvjaJJPs
rDRFDKHJjeLlsTXHJnvIF1P+T4lIW+8zKcr5hOFPrJ5rF/3SACCz44URn2zx3WkSuEXNyviC/+nK
3DWT9BltcpAkOpo29QOUU7tKLjKqytgvxeLl7wZhi//oVDjOCSD/bJwVs0dYwMlm9e9ppKvro2gy
WmGjpcYPMm5ioXKWxmXpKTsGq5DhBxRJ8iioq//D2Xktx6m0bfuIqCI1YReGmVEOtizbO5QjOTTQ
TTj672Lt/K9nqaxa/7Zkt4DuftId0glMjj/7QLztsqbT6IrJvDaMLsw4ipszx+UGTefOZtv1/DQI
n/vc9h+0b7lfsyKci/PW97P3CB1Y1UfZhXlzbGtpPq2V2NZdu7J98Oecb4I7UI5NSlFvbGu77q9K
WzTfzF1eJsahVD25ugnyE2627XK96qVVkdE11qetGSauZnvJrzUSn4J5hd19pmfnasSl2vlTtSJu
Hs2bP02YwGEUPQ8Ox6WDgyKPjVsFT3qwsG9ZrMkXB4DEW5DUCmBOVBdiYfGxDX4PixID2APZfuJY
mjrC98Wor2Y7NX+U7ib760011hOuGo5KyrHzrisU9vpTX9djwEvqhufU88gezcH2tqd5KLMbgxSV
zCLls2QjWtpXftbXH43CMEcC4th8Kxbd2VEve/M7/NrCjtJ0ne6GlG1+mBf0va4RtRo7kP+uKI4i
D8Ozt+gNwhJutUM01iZmOfk86TDuAf4cVAt/5AAubnBvwnyYkJQv+0WC8JLV3h4L169S73jw0Jqm
V/AB00OdWyuxchjQd6xUavbXndUTMXEaK76QZboYz1th18W+Bqx8PRc6L2IXP/Ce7MAyrklTBTQq
dv1Wn7Dg6yoIu4Vy0QdcOxTmRdm7WEBPzqdhkNyFxaaKn+B2MzsypFtnV1IVqx11jq7bx1SO8AG7
TdvyrgyQN3nZSL2L246JSh4xXdlCjC/bcge/5NZDtVlNGHlOk6pk5VjrONNW7VAZTAE83npbh8jT
K8MfNdtdAhRtG+l2jON6Tt1yzQ+13zWfzLos06iSXf8wGpX/TbkNv1Z6mUAPaBnWh76EHRFnGTfV
sS/CMozAEZSvhVH2T0yU3SnRleUvR/RUZxvLmmoqY4JTiui930MW6bzZLmNK8eFY99lKEyKzczPS
wcLuGEYx3/WW3DQonsWaby1roVLc6SduLHqZPmPaTdvcyvr02TAs1cYZiJpvS1aGzkFLM0UHvjf5
TKs5DPeW7Ez/NBdDMVz3AvLEa1EUZHJ+qcTrWJrGFONt6X8ONrofB1vUaEf5tkrRaSvq7A6t9zSI
aCKr+U7krvKjjf8ViGBH/yKcbKOOls52aHxkheGuB9UFM2GlN0uKd9w7iaMDTx5njb08+Gotsf1K
Te+Rwiq4Gm01G3HLaj9xL82QPc5Q6Bid2qmPbmlzEmWBBfSpypRdHE0652GU9kP6AwgBZF9SODP/
4Ff96CS95/SvpeXXTVS62roNPb3xWRrL+ZTTYEDezKiMM5JERnBQtnadE3e5vPV3kYRIrpb5i4aB
wJ9yUaQCc5Ae5FKTNplOmqfnJZgLMy6lyIe4F7MoD2hXWD9hKBj718gstq7lVIcqdQJ1RNOlfXY6
keEhutprHzlhIbfIhrH+FUYscaMaXdDRVo37AVGi7fK4y8pgvnG4oMqbQJdLx1kewZogoedfbw1I
7Gid5ZAeOZKDjBtv2u7cdrTTQ6Cyeo0KQHLEVd8daGwAMJvjWqs+PyloygoehmRWXo4CH+FMBfpc
2IblH62utV9FSxv4hOAPh0AupvlEeVRUiW+1QXibV3gyRmZaz3e1I6rqqrYIVlHvFKjPpkxNPpjj
YE1JrjbzG55rg3lMM3sYTmU9y1ffXBglUUNkj2KmkIpljhBcJMK5x1h1XBkZTCZGS5nXBtdk1g5k
dFqlzYnGleEdJBNTE7F2h7Pb5sSbI/MaI4+8XawNgx88synmOg9vRWmPkUvNQbcKP4SBJA8SSoy1
xvgxDQXvZ0Ri6POYofDD5szXIDZVHpBQtuJrNdqTjGtcgriM2NaEctont8Mi0U4bzRGQls2wyqBL
4cs1quxpvGuXutKRbPwNjJ431n0cDOzb2Ntq4RzdjA5ClIoQxDjfHuIWK2c66udefR/Lwmu5eprw
U+mpwCKDHNy0iPDN8cpT6s0A/pjs9AFpGH6cUQWs+YXE2SVRcz0dRHLOnB99i35YZOMfNR4DQ/bl
x6BdQiYaKKL5kRB60TD4elr7TejXifKdakw6sIUiAoje93EDjYfrLAyxHxk2oxlPdVG415uzlDwG
elPWqRFV48ZOV2JbtDlttcUwExcrdlqlH8WWz6jMgbf4JbPMq6kICv926CTOKXYbtD4hEEmqx5Rr
/IsSExGkZF9uUbV52y03A2m10w2kJjj82r/aKk+fhqaVn8etMZpbp9KrgbqcWJI5d5Cu2RkraVyG
fvVi6nWVsU5n22OqFIQ3ZbaKJ76I5cQDZcARzoXtJ0Wrl09ZuYJzqUCsWbGrU6eMF5H5NzaCKx6H
y+zvxLwS3IciaAu4bExGD+nsuTXJVm8cysFQaxyOg/fbE5sIb0Q/5Z9yjEf4+kovn5ViOnWoJmP4
2bkhbS1Lu/6V1bnajoPRcR4Xx1pbOn6yvl0qcwTMWeX9R7fLSDN1VvKZ5wnzpNiTeNBHg2M3U9wu
fXpjS4To4hmCqXMolrypY53J/INGR1iCdx2AvBRhofKbPldzim+NN3cRfc3pw9AtYkv0mLvdNdry
4lfuF251KKaectyz5sw/rxDBusNYeNMcDVVovGytPXSxoGHYneymV0fPVk0QidaDRstv0BVrTCqB
UTedijZfLyXHLuyLA9vT/U7oS7/lRol41LD0Cvtw7vMGs/d0+inkpOw7v9nqMXHCyfu1MCXBOXTr
ayppEtNorMqiPMxhScetwhmoJ2w3/MrmYEv20zI2+4eSGdvYLMtdmAAOwMiEpFh/rWmRX2fl5PXI
kyADE2t6Yq+D4QKvxA2+4aCZrcHFOCr3BZHI4LdvrQJfC2sK8kOpl9G/nRt3emqVl39BrM2rD4U2
xyqicTtu1xtee7/wApiuAjKuEOdRs/5hmZU5E38LegpqCNQHu5+L7DyZkO3OQerMHEBzaX83sz2X
SUViVtEIbZ3PS1vrb8ovOyPG4sTsacI0IU2Yeh6W88516yPRb66MhHa1jFWg/CdjEExJUIx2AcKm
iNkRudPutiav4nLpBvsEiwU31lZmjh+hQVT8rrEUyCNYAuhyt6DPf04YG31X5ZhXlFFVWx8ATamK
cqYkFrH98Z9b5r3iyZdcywNZWV3SV1TyfvZTl6+BER49IV/bjBN45fPRlFp8NnvNkMALSz1FTtH5
XVRyz7TJsJjit/Q86gld7CNPNBeou8sCWDP7i7+7acf5E8STrIgzEqgPxtIbE4nBYpwlA5oggvM2
EJy1YjpbIVoROemMp+1Iiv9JNtLBun3R6qfRZvK+lkX2o6m69HVZi+KrIlumV40K9Iu0kGuO0zbb
XlY8zHk+14DJWrvBGjnohmSxXYMN9KnNisgqMvtuWKlxIJtC20zWxcpOGs/l52Htpuc1KGi3jP1Y
VhTTkrA40IBWByMnQsQoe/cfAx+L1cjNuuWJ+5oeQrkY87fecLvfsp+7HrpS4Q+x3tyqjTak+54Q
9HI+pCqtrqgG1G+xTc5zzgn6tfQdwL2a1klHyW/Sug1zx4MeJE1vjlI0dIPIpAbF195dgxdJZaij
nHbDN8sau/wAqsUvE9l7pN/oHY9MVsQ2PNLHWWty66nUMUOZdngSlKDFtRNucANKu3G+DLnXPirb
1t/Cqq/0rVzrYGY0OfsiMqWX9bfFkAdtQvmNHvYSzt2hGGXYXVWMDn4WtPpvQrwg22tEJf0ntMp2
gTnGjn2M9FcwJuQvzf229PoprXT5HZb5fIP2XZrH7pQ7L8VUhWvUti0NZMUo984fty7DvclDOhgA
VzVGo2rFa9MsKuUG9bhy5tXTD2tY0/23XKMdzlzF/XFym9yIPDvlMl+IZ4zIzM4w44Y7+2mzCNsw
myd6kyDjBJpOptXRKC2z9tnyBrVe091wP2xky0z9NIVzslg4K0UZLfiNjmO9XOmGnmlcF+bI9hkM
2vhNgwVeVA5ra8V5YIR1sk7O0sSDqtE9swHZPdSDg+JXFoZVcO8yQvxd44j70kkKXs7inknnaxVc
ZWkzl6RsppyfOA00h7DLUfdjVrYDWtTe3MR1iE5uXFWD8yLcjunFhFfEPn8xWutW5s50ndPISKN5
gK57Wodsk0latH5NSW0tDD3nrf8xr0vxAii3kwf0+LLykOYCJ4FxUC6JAXP03+k8L7er1NvPuuJO
vTM7a+aEwv2eTqTC+lpsnT2eV1kbZ281M8VgyFPpsZnDsD2N5C/fwmWhlnX6zT72qSObQ+PK8gkf
WePB9Xv3w8gstYiU9PwnGMvNF1nMRpG0lS/6aDRs/stlxZc89oRuKQ1nN6UVsKyEjoG6UcQOF3l1
yKd0xxqP0+4q2a7TV5La8jVXAYHRT40+4/wHzLGA/qozvZFNwXF1OCBVVVJt+avZI8NotghkVJJE
IRTFj9TRYowmDUALXbElq5nI2GMTwVnvlggovf1CeuI9u/Xij7Gqg+U663orjHpfGFe1Xif3Zvbk
fKVVo4pzvdr5S7PRSLrN0XmUxwyJ3oJcX1OiuE4vvmwULnkiaHQTHkoaVufJD9IwXhn9vyAHJMoj
7LNOHFS9yvzIEDd7AjFV46ti0ZzqOys8gZ1XX4Rc/LthMSqGbJVtXgHuLzsmTAMHoWrC6tZinjVF
tq6KR8O2iO2D0mOZtFObfsvA//WR1AMXI07OcMKCenObyCSd+pCu2iKNrNtqSjydjq9b3YKBHXpu
jQjJxeEF4qLxo2QD/JhANuQxM4v0s1vZ5cM4kUHE2ywd5uOIupzUNtDjy4u+VYn2shHXQ93U13Wr
jOxomaNxHXDxeQkKKW57GLWftudqrLcm9jBPaKK+8Ag84yisW9edlJ+gTkDuRRUMhdn2i/wYDnbW
xfkgrauNRj3zhU6qU8lkTEQqX0hdvUbPAU12ObX0zzyXQM1tS7aRge4LuX5WhsVheecPXUh6JDb7
ZwMm43vnIvwaV1ZtkRNMKFqEWcGlrVCOjxm/jX4UdunwMDdbYR04GY2PiseK1Z8bqtU9eVZtZhQR
+fY6OWI242r1OucwGfR8yCYsVcZ+t7ivXQ2m+ybHfsmOBoAmd6uxhlYsw8Z60NteZnL5iPwGrGn3
McUaZAeV2NazIJEeI0ZqjHWburrWe9ITIzpmfPAlQiIIZZX2Q0210z6ldrP9bAA9BFed26qXoCiy
R08GxyLrzfG8GFY+0G0fbPoC7lq5wA3C8G4K1/kzI4ugP8ORam4oiORPo864GYbF5l9UjWE/bvM2
huSWegIrSjnw0BOKcKoKNnq3KUkETR3frSk5KydP9oJbH7K+Cg5crFlI82ZW8twB9qJ71NeIX6x4
wte3Q+3kXJbuXN6vbrp8kYTtZ4ePU4DlmuzfXZCT9e5qebeTE3bLiWfsHtyy7EljyyWlU+7wM7PA
PCtCihj411aHNeWozzaPsLpw4cU2GkwgH/bJmVN6+7T2xVdv8ckg7CEtfoCNQO5pQvmzjHwkOsI7
Brw0/YLWpUGFv40wDys7VHB91waEJnAmw0PeZo0ZdR6aYTi/e1OWdK2cProhnmE3isHGmKw19DnK
YQ92bu9tPY4hOGN/A01S9cfVoMZOzLkk2NhDnm2nkKb7C/RoZ28bCyqXVTNyOq90rVQ0jRVcsnyw
MjBGmd+4UVUGAT0gg9hBePCyNnG3FlFBkj6rPhZbBRQyMQMVmjJy5LyKo3amxrhv6D1jbNtX9dT/
6vNhyO+XLJjxLhiLioQHH0tn5RYt7MpO6noxAKDoDEjncK8KxtNr7I2OVC9SSbmdSGD6zIjK1AHb
FC6ANxGms3Pjgz0tboAavV0BkYqyxuMeTHxpteWzk3lSp5GJvGiNhOgqnY8u5rvtvWyNxaQRQ9Bx
z6PpQavCVtMmy25Nw3g182Zurspllv7+75qiu8nRq1AfPEtvpFpGsAXdLwxGbVIbxn6sMfUhTIZI
dYaYKfO32bTOYqns+U66NNGZGPS6/Y2Qtd66mHEyhdhx6L0s/Z2Gm49/tFuO9c3YYo/7WuG8Mv0M
LGLnvRl0qRcvCM8vnxi3DObHRnvkQnEaeo31pTN6YXrHumZGeE4trRkqj84WbD+NpdsBPaRz+bcW
6Gx1YpmBaWK223GvhETMCT47rmFyuC0/s+mXVUgKI5AfDO6I1FMHQIEODBMVVB4q3g7kiVH54qzF
powPjbA7Mg0194JhSaqHFYjzZEqOlAB3EXz3pOP535UXVP50KpiTZnnkLl7Zj3SgCrf53AdEmZ8h
pWuaLMHiFDdLUdTTg1gl4tgxvDckv3N/Sf2bZYCycSocrZtbkwrdPQU4bMxJTet8e/J6/v4uMgNG
BUj44+D3Myuypf7o5aaxfE3XhbDBrGQNzwP7m0fzrCo80RZX+sqaNCEzN21GKbTX5uF6NRSizt7o
V/o8NjNeIlNbFzOhUo3lPYCoXB672Vfd9bCZW5lo0TjVV5Q9UkmdOwZDQtfTNc8DUJMtKtt1sw6O
sTY+swyaLfEq3Db4XHFintEELJfbcRVUM5tJfE2mZUIWAb3n9YvKlvzXsGzWcOVxCVSHxa3SL0Y2
dGaUGXp+QWUzs4+LGVbPRdc4KoI9X2OyRPhzE1TMqu5rNlapT63lhMs56/mlmLixplcZx+WnErIU
BxOs83oCmGm9QECixyTo2YeRCunDRZBqjEcmqVl9qIJy+7pKv3uGD219XIPM9CmYxiIZZV60DBHI
EaNcQreNGKHkdy2192OAegdAZndsRJR6af51GrPRirUYJh01fb9+buxtnUlktWkeLGXLHyui5J9n
VS3XBsl+DSym867UiOA9RZqXGA7nApPL6sopSwlmYNpuGQPpOuky7d50nJ452mzF+KZfUwx63WKu
bmsfk8yZsoEy0un7JtK53eMRwGCcyTxNoO/NZi0f+673aZ/6tW4PsgbefthyJr/PJTfiR9MYRnrS
aJhiDiH8fGWu4QBCqC0P0EfO2/1YSAFouur08BncUfCcVo1VHbM29f3nDufvV4mhJYAddxE/w05X
K80YMa6HdBVNG4t5qZIhC5dd26HyUWpGNKyO5wUX3NtxsmbkOmrZXGlzzs8zYObuTkBlKiipBeE7
HFp6GcjJMa9BbJLez2yb+S2kdVHHvUrLjN7ziH8vgb9l8ClT342k8IevMiM2JcvagOcoKd2JxlWI
863a0vVMWytzD2MwNvkNaCqjwdmwaOqkSDf1sgETGBPKyPV741n5D4TsgyCac7HcNAg/6eMqZfF1
mGbgykGel49T7xaMLu2gA7e4bhNTlskebqiXKF+R4Q/vdnpDFluNl08xSB/mMAxXmfZOusX5oG/w
XY0wHB0JVrp2jUim2/Qhz6mMI7y4EM/3yXSGg7usy+NUOrrnlSzCjHJuoC3KBr/mxrNCAFeZHrnO
wxBp9ZNFS/OVwT7IB10hSh2zLWlcl1vR32QLKVaioe5oLrfdlFBshfxSScf9aIZLWkdc++wbe1wn
+9boh6GITCZBn7Ns9GpqvBFIdzcOZXDkMgryI2aq+VGZvaFin+GVdaytcHwSY7bt2D9h33XZ4D0i
rYPMa9NxiUfGVgVrkhfr+lgAzf3gFFI2N0PodXmSurrMYgnoYEpSkWYBsx6SjGMwMBXfWwi09bVQ
WU8v0xLyaNlN2RxV74b0fygAacJOi47VaqmvLbHXjWsLHZxXKBbtdpAm2Df6brmfJWYeFqik+854
wyRl7T5b5RYUyeYawTe/GwMnlrJddMLhRj2hbNoGf/dlDN0raXbTnV5wuYpRQqLLHjRNe213Bi3s
3KKSO5Ig2J+k0MMv7lCGW1Vh7s0iOtsm5ediBfFQYgb9UpbDdi6BUtT0YA1Gs8CDqpchH8RHa0GY
+MYi3j1tjeWRD/wdpPkvXBlocWSVAlSPTHK6S9Gjtp5WRVJFH7Yvh2Oz5OJKl++uckmFReQXuSMU
wFGmC9E8ukDCU6RIr9naIO57etB+zdcXnQX2qQLTsaxOFheokb/zaP/C5+2L/gMHhZFJR3H/+f/A
71VmEYlSZKldXIZv0EnuPnRYDJwaRvj/fSlckwHroh5FVLkkbKHAY9Vr1ftxb4ErcIJiOmVepU65
Jdt3tEouUbW7XvLu0v6PKQRKdBcIvXzuW46dDuK07NuoSnFLqPymOK1l6UW92t4jMbyxQXbAMJ7U
yJuBDLz4dNXabykQkhD8wGpf1ZtergIu0nde4FtPBaIZTquN/Om/Nghk9savljKMgfBhODuDAHdS
qzrUWjD2LQfxDpzyjb1h4eNuk8jDlmBS/+fesEGIjyMM/zj05PfCNatDNoMxL1T3njzIW+8PaUTU
qrjY2Y0XKFEocrKXRhHGdECGDwAC/LuatPed9/cvwt6+LUJ4euwID32FS55uLwZBdchnMiaa+F3V
23egNqzDEBjOg5aBjss6T5+lt1ifmCyqxAYj8+E/3yVwfMB8u8RMGDX7q/ifA0dp50PT4KWOA9D5
uAiBqoDScpz/6lViQe7at2RA5w73Z+diIbvMYXJjeApL19duhMUAeLLZ7O3Xbe7fk+3891ZxEIFk
pgX0lnsyvDhwRm6NjE4o4Y28Wr4zP2G4uaKJ8BmiXfGex/QlYWN/sp2r6zm77DxP+OcrLMvRShlz
0PDyreCu99tvkin1kazmB92vJoZf4R6qTM/vUHn+fUGz7q7QwfnbIc0X63pLMBgk9JwHocWxx64r
lsr1j03Y9wcj89bYtBrr+Pf98ubD4ljMngFsDAHnz4cFTLK4smKuNNHMgMsO1B2M33pcMByMJreS
iW1JkKSI+//n48/j7kYiO7/WhwH058qtKzEIapYwTp2t+VQbTfu8OjWt1HmZm4e/P+W/LwAovCge
7/GPeHQpHFM4Y9lrGbJWmwUnc17lydqYI/x9lbd2qaCihVrE+bcu1Qcoy1PaqD4X6CIGGMMdcyvV
Njcr+Ph3ItBbe0XYML8gk/r7LOjPl7dV4Sh9FJjiELTW/TKt6b0L9ueLhR6DmWytm84RSUApkr8/
4lsvEv07XNBwVIRGu7+C/7lejNKk/6mobLfZbr7WdiaaQx1Oznz4+zqXVNn9DEKs9CF0CrTHnIvY
MBoW3gerF0IlgCqIBCwnrpysAxMJ6JMAGDCfUeLnAAjyfnaC/2pVuS/PNS58Jpfool5avyttM55l
uByniGTHLmLtUWn7GM7NJdqG5vSeAt9bOwfNxl2L1aFvf6mvmSPCUa7QWONAmfqIB8xTimnQAX+0
4J0g9d5KFy8WBdGtWCUvNvM6kdSNheFDWaWHRvbu1d+/4ZtL7R6tNrIVyI1dHHDaWWk2pG4Yu0bh
fkeoAid0p+g/9UX+nkf5v1OX3Vr7/y11EYxIMDzFoCmMdR4iVm3jJ5rRP0vw+BYAMvGW/PujXd6a
tiBx2RUdzH8UnsXFehQ3iLmpSiWzMVsn2EcL0Kw1PFa7d4DjLProZ7RwnLUe37nJLl/qPysjDASn
cI+6l9zF0lZwGm1bJcFYBb+brguvKqa/CONb3Ttn8K2lUEw0uZtRGxTuxR3jIbxfr5OpIM3q4DeQ
ejeGFvFx0oPxXplw+f32p4IutusD724Ml+etrtVgFxkoVsNZ7pi4WJ+GZh4ihhPecx3U77HiLm9P
ltvJuSjFgFlE8PLiyaxJYXwShDpZjAKMpBecxD+kCTgUDE27jr+D6d07X+7yStsX5TohL3P3Qi+8
SEILoeXkdyAzA4acu2NOddZIkbwMcIWPZBwiocnTXedKBt/ydZk//OctS0rDV6Q8cnjmi4OvM4Zo
w9pMSbMO02mqjl337DSZemzyQCSMWjsgI917D/3GHoKZHyJtFqJ7CGvqz3ihFck8i0xJNZTMaTzb
2GIyVO93NhRgCf7+iG991p2N7wa7AC6b6c/FpAIYQm42QZRyijhsvPm+G/LxMbXW/DhJwGZG35nv
fFbrjb0LZQqZVuQHMfe4VCqvCz8zs6qfQKIP9r1N25apS+BN3+upC89Sz/NHP9+q63Ia7ScqvPqV
prCTSBi7Ev8bRmVp2BR0pqBrJGmXOpGFufh7GfSbfyUItV1AEIzp5ZZfKNJxlS4BJZsQ9OQUbBG7
RJyH2hjPgyfqH3//Fm/tdh+qC4R0sAvmZXYH2bNtHG9WiQMq2gCDaNRp4oBoAiyztDd4qRYH2Evp
TVXU4zlF80If//4X/KP68L+stf3AkRt5ON0jigyE4s/tMNDktHcHo6TqveaGtltz9PE/P/tZUR36
cd3ibpzE3WhufSLqDhg3XziRSlWMUgA4/f3PeWtzYjUTkGcjFuFeSvEA4M/SzmbEvM15c9Os0/qk
TcgVRi6+V33mM2Na5Dt78601kXwg90Uklmh1Eabm2jQ3Y86mBGZQGburrfdR1OQ/lWugq4jhHd2E
JnX9dyLHm+tiFrArVQJLuHREs5iCbzltNszLHY/5wdTuwrEKH1KmKTm0WcPMj2Ul3Xc++ZvrIm64
33IQuS+/eDflS6FEOyWmXTtnv6w8D1jxVN6ksL4PulsthiKQyd65d/bXeLnROFqEMASxEXDcz8L/
JMUz8F5lOzA9EMzUL0WxjAdbeeLl7xvojROFsQ+0cQ4wepGXOgJgSWsxhduYeENXJiGqQ1fQAgBR
jNlvaMs6Hu3FjkkNHPT8lXP199XfeLWwNU0MPF0L1N5l3kGesA6VlbOV6tK7KT1Q8wGeTCcy1DGZ
Whv9ADm+J5jzxqXFonRTyAp2FvvF/iWSoTQbErOUYoaMcgrReaWpXvlpEfti1v/9jCJ1ZO9BGtdl
8zJGBuMuuOwFU+LWq3EzeuPwlIPs7Y4m3MgiNuspO66hvz7+93dL5U9Kx4u1sWL+c/9MMCYEaPop
MdQ2ndbOas6T6M0Elm3waINXhyA4rE//H4u6tDdspFH23PnPRftmLMxaEJm9Ku9uFpe+9xAI40fW
98vJbO17jHXX6p2T8kY6QBrAFrZ5jzYK/H8uuqal79VuOiVd2ow0uR31YcJjsyY+DFBQ//6EbyTp
GFvApmbXsthl0a8nEIRKzyRcK9xiB/rYtZg354PBHDOaYG/HDhrdx6nahs9/X/lf5qOEHgahOMju
wlm75e2fz2m2GyF+DcET0SlgPrHKe8kQ8jcEjPWY9w72qE4/iB9Bn/Zw18EoA+YwbPO6xvj7hWkM
gER7bvMDqCb4An//6946VcRlDhZNSoqIi48g9Gwa3NzExQCwWoBXOuShzLtjMm5Gaab/q7LfPy+D
3jUdWHIyvDL+fBlrHli+lJQsuaJnLSbUC2yak6fCnuz/HgB2fWBwo2JXL740w2FW5Iw5fLAkBWN+
IuX91HLKT1ww1C7hIB5Cu6mS//46McRF9w4Jffx3Lg4SlLbOA8StEtF09AqsVj3MRbsmYQqwxMXr
7fnv6711E6OxF4QOyVyAC9SfrzNoTXw311Yn2k3N85IrCw79OL3AfrTQnm7Se6/rqvf6Bm9tGoRM
8XFB8nJXTfxzVV3k4ZzBKUhaJZzYCyXIsrowDgADjV2SwHnnS75xUzgghF2H74kZyOV6fcANzNh5
TsSaVXe9KIbXwXbXE/206svfX+gbj0anHCk4no+Wr7f//H/Ct9jodW5bOTOGBH7pB9KHRuxBQDQU
4G+k4rd30rI3FnRhWRPEmfXt2n5/Lth2LgwUyBJJJbP02Hrzr8Yt7DNWaT3qR13/zgZ941Uip4mu
LxNeNCUuyyIG6Yq5rzknI5dWArKvOoFrcEGXe++Jh/+j6naRCu15EA5oyHzRTb64+Lwc6JhXLEsy
lfl6Fg6qBbIw1FOpSuvgzdNI+Wm2j4Uazeuxh18jxnB7MGeVfS1Qwv4Oq9tF4cAZzno3ZPEdkX7I
0kHdBxR91+yH8txCYjlnWTW9J0/2VsEAT4Eilaaj+LfJ1WY5WGiCf0vEMHZAhFKIWMJexA0Wde1r
B5KDLHZdss8h8fiqkwW6I0CFjF+T0xWQQhAEGA9/35tvxDCmAYzJLHIdnwHWn1vFNDqEUQe2iuVN
BmCjJtjVlzSqLCC6esutzpsRjpArO+edAu6tlenN08hmFoFS0eU1IxR+8Hm2JKXp/8RwwiVh36Z7
GOUisSa7fvVGXUTzGKp3Ms03tisjEOZKlGxsV9v+85Ez2F/t/5F3JsuRG1kW/RWZ9lBjHtq6agEg
JjI5JGfmBkYymZjhDsAxfn0fSKpqJSWTWr3tMlmZUkwyGAHA/fl7956rpDHvgKJnyMvcMiQj0No5
7fhXMdx/sJRC2d5eh144fJMP79FSVWqxHc4wG5JNnG9P9QGlzswMd0bcuKzd0WvN8S/e4B88/ttK
QwQFhYFufuyhL4YzdKXA2C4XCCc6ili02uA6jus0N6wAoD1k9Oe30e8+U+5mCkxnm03Qzvt4QmH0
L4zZHxaevry/7I2sOZjCng5IKf/uXNDkpbhhIVRQxfi/y6OTRTW6hQcHYxNdnuG9y8Ny9NEZ0dH+
i0Lmj94VpCmLK+gDrfm42zeGXArf1ZYdVmA69HVnD5GDaCVDpjRVuz//CLdt/LuVDYggjUko6TRY
Ed5+eBJ9bDIoYcEm5MilL1FgM+pfVwGA5c9f5w/eFGsPBx6Tz4//Bd/f/kYK9CBtrWVXjXAQbDxf
+F/I+U0D0b78+Uv97vbfuIgupTErNkePn9mWv9n43DIAQbA1zLGttkc19HLX466M1aAte1rfy6Nu
VNP+z1/0j94f7Tlrw8lyEvgYhpXByMOsaiA6Qr4GN8PMb5qFnp2nEMf+X17KIoJge3PUSt9/lC6+
NwPV4qZvUqTUOj2qJfhzSOID75d53H+8zf+ZvovrX26E/p//xZ/fhFxAfGXqwx//eZG/daIX39R/
bd/277/2/Tf980q+N7eqe39XFy/y49/87hv5+b++fvyiXr77AxYIfEGfh/duuXnvce78/CL8ptvf
/N9+8Yf3n38KsPX3f/z4JoZGbT8tzUXz469fOn39x4/sPr/51Lef/+sXL19qvu/+rXtpcm68X37Y
v7/j/aVX//jR1n/ajhh02ekdQIPbFp7pffuKaf4EMJW2MJ1/UO1kqPz4QyM6lf3jR8f8ia8YW/q5
yxfpVv74Qy+G7Uu2/ROL5jaZQ8qxYXSDH//1zr+7Rv9zzX6AHnQt8kb1fPeHR9rhdEjDhk2GrGTQ
Xh8etZpWO/OUboqL0gzOUmiQZ2Xa/1VX+g9fhSMJb3HLsnQ+HLe8XPp1Ltcp1pKc1pNelOo4q3p5
/c3H/uub++2b+bhfb4NnPlFm3KzAbNgf3gxZupJiE2khUn/s9pkuGF6m2jHovPzMG5r+Xmv69VyU
RvFX6/DvILjba6NeYwSn+zqHvA8FbQ0jA1eqQLyfOob/WrXCx5WukDR3oTY29bpTS05bAbpKNcee
H6QPyuiM58as2yTOauB2sKusao5SzTPTHaZ70VwyTcmcv+pA/P5q2DpdHIZnFHlc+W15+s2ah9Ry
JIOV/HkDd9qNSUmXnlwd18LfHNBTbrMPMnDhirMTftxxi970pwkLKJa2UvXAf6gjr0xVt9OFLybc
fdQY41o8ZRh21N/Vi/GgAZ11yV3hHxKRPpxoBqUKo7UKP/Z6IAZrtnjnVqu6v7mS8yp4u6gM6cPx
IH+MO2OPKtDctUYMcK9/Hl2/RQ5qyQcnX5/+/N7+WDHxSiziHOxNFHebDOj7i+YsgawRGhpx3hpz
FjZugpllTLwYVJF2XpWOWP5iF/7dbcJSxb0Mr5WiG8nYh60jHwZ7MFF6xs5i+8fMHadodoX2N/uN
24JIFI9HUeEj/DQ+PDf4xe0ON5AFCxOSCkaZcl95uR4Xc26dTL19sMRS/c1m48fX/LBO1OhwF3vl
NU2/TcCTJGtslO0b+mf3UfmlFfqp5/1NZRPKG5ZYOkDMknXW9A+1k5fOGCQQgPOaWnI2Fqu6BkE+
n5WasOGCFVOpQgrFKdn93ftmO8U59P/oAlKSfnivkAXRAbfKhKTSVjeYA7KXimySkOXXQ7vs1uVf
nOw/FjecHEnd3Ko3zkygIdjUfru60HZBAdQ6TozPTV4ZgQQ9PoCTgiTiF9rpz98dg9QPiz69Yjzj
G+CZfgLSsY/KYUO0csFIN8a9m1TjYejXojmT2GLXxwJBV3ZIeZPJPgVwQcWvKlTjZrKsgN8IbjkC
K2uNlxnUCTL2tCzHjjM5eOczcMWLtpfd2nqRwE1Vb/HVnBTo/dsAgTsncXfNKJrxwLJmTCjG+tk6
DoMnsGB0OfQB0x/yLqoZOMurrgc9dr6M8FzOpjWzrEeC/UhuUGkV9at1CqosMHZWDVw0bHHKm0eK
0lm92jkAnHDxl0l8moTbukeGeYFxVriJ9mYgENDjPNfkE+I8zzlBmlxVGDgZgnmHvi85DUpgBsBx
DURnGUvu9rELxkMOtngNE0iUZWhVcigvCj0Y+tDygenB5HGKazIOphHIg+mP11oJ/WPfmp58kkup
aftihXe4BwRo+59sD4BTWHW6LyOj07OrDXBtHeEd9g8JOB8Pg2NaQvXyGqhxb6yO9mzvpJmaSxYl
Sd/y0crJLKc+7FbPvlc6aEwctMvKR6iaYg2FSszNB+ebabRSwj0sc92kh6AqTaC0opIYak2sB+f4
fPyjOQ+QL2zmIz7oCjv5HEg16Qd9MYIvqLDVIEOxjK17rk9Th/URz7Bv3AL0M4zPdusU/aFelto8
rK2tJPbsVYh0hw5eTcd5DfBOA6ccgQziWQWLoOFMvANXNTchFnsLo5Prp9NOKOVqO8soKkZ/2AdL
Zhh9s57QP4D6NfSKf0861y7iARDIvPOLxngsgFKWcE9K57zvue4Z+d6a7D8lRR7cpQvERozxBBvj
vxzbBz/BOBZm1LdBNMNLLS8dWQAqJ0UjOSU2G2AYZFmFCFdJ97brErzNiQVP65x1nWKjljAlCQvs
TUy8XeO8dE1PwdT6fo0XW1rSf2qVst+TBmtEVC/raOx1rarzyKz1lkZMMbcPo7K0O9Ns53JvWVoD
kQrsBZbpcmTgDVgF40md0rGKttvmG3e+yCNXyJFpeJ8kUIHHVoYzSFAs0C40mBg2N48FQvb8TKzO
lEXzqCRcEANzpIZ/uSU22IMwU3fBYB28RqQYc5uOH1JqGaDD3sRfh62mfbWAjgWXeSHwMdSmu3jR
7JcA6YphxHq5rhl0pmlKjK+BNkB9t6W/zNxeKAIwkCfqDUrXqke+B1gghh7Iw0CkAdmc9WQxyeXa
lcsxz9Dgg8pqNNygli/x19rmOlxJCqspJqhI2rRQeG7uambQ6Q2bYJHvB3cEeMr+1l4uSTBmQC9U
jSdt0p+0sS2ufAPY/WHIZ0yAKebz/ARrd5px02imf8/QRT/j0dWfyWVf0l0HM/C2wd8SfClNrGN7
YuEcguy2yUbwxUoz+KJWrydgIEejob8S1nrZ13CQcNJmh3a0a5KU9Kl7NOy6668tb+j68xzW5u1o
pU520sGbVBNBCQlIhC07R2/3/oLu8WSZlQ7Lrhmy4pOsqPL2nbn05nWb5l5/M3nCtFu00WD2CYdq
LeyLTV52XwvSyOY7rc2L5siz2VS7ye5t/z111zzZV9SmoJqHBBbbsGhzFmnTtGqYJmXf3HiB5u6W
riYuYXbx1qCkSevDmnv6l9zX7CZaDIZ5Jw665WdfmwgAMxJZ3lBE6w/Zaqt61/rSiQOv7gqywar2
DEuU/gzQcH53MfN/a6gCrIPTtdkVAXS5vK71un0F0SK/OMKaPpulDPrIxut5rw/KedA7BFOhhwBm
54HOgT+sef5NUQXaVxmI9amfLKAOC0fEYieV03tnIpmR3rJ4jjFSSCDRne7gSU+ttDjCY8rroyUr
eak1nhU3a2GuIIyKadx3S0+2s1lmgYffPuj5CGcTT5b0E/mphCt455UpKxYiX7xqwbzau1TPJhcH
lVM/TPrEsgpMdE0OCjBTD4TGAa3oQCh7n4Ic56AZdNpD2pbmNUQTzYLIMVQY5aAhvUMKdZq92cIs
OSvQUBwxfA1pOKSCpz1RfnUUZZ50p35Q7stU+vDBwL0NT71RwfOq0eWqWBbLfDnYcv1c9bnWRWSG
eD5AFBc+iEwtfd3VekIP2WgqU3C5C/Fewyl8sdCF5lCW+qKPWxqyfVw5dgWPdcW0e6j0wUpBuhT+
Z8uo2u5u0hWQTGOwxpft0r5V1CkUWAr6CeZJ3mlouPmEUcUph4sJOJoPsne2D8QGWAxliz693gxm
WDubJXtaHN5/7PuE2zNDnfQsMueuNeOs7IBwpklTXq/a2nax6pniHkec9gwQA7tlB/fozQEQzrVX
SOuTJDlABCCAAZW7u3Kxmi/K9JLgcoGZNcStzR5ypxMEoqGIGquLZhoMY5c1OLAbvbCSo9c3+XtW
ubKIGs1jqmA1jnxzmyDo4dFh1Tr0fKLfCh9cFq7HpZxYWRubK2p19PPxtyeHuQIZz+a7XCX+5MyH
1gtw6gTLgkZU1G71aEJOhcgCrm2MnWTauDVlk69RoSiZQxxLDhY7Z5JY2I0J6qoXiPx67qSVRcCH
jJc+1bE4Gnquz7hdSyg55oqDraqa5EnQ5zXDchKmxJU9W/frZGhA8xAqArNSg3jRtAbXiINAAHBU
Z45LSPISdF+S0OYvvlmRMN4FeXcDqXXNYs4ugF9wAYnpABMNaIWUdK5jxzHpLJcIDfYaVLkh4glp
z7C818uuM3D+hTYlz2vOonjjszk3gFCSbg1Hf4JG04EGgzVC9aV2avVZNg3kkF2Y+6gU97296uo0
asqrIUOV9nPljz22VOycMwYQE3VZnyyYfJMV9BewlUEHho/r8TiXqsPaC9/5lDQEDkUzDQOyV/JV
6pdTinE+zmXJVS2Vym486lItnhLgP9FsdssYE/ogd1aHwHEP3m58LZAvUbIS7QLI3i1cMHwk5GFf
z114UnYGkTYiVWKkrOrK9LJgxDgdFTiLKu5JhCKt15bGKW+kSQ0pS9y7GUCj5yqzXQhmdZ2Nx8n1
1A0w8EadQXVw2IEmO3uQo0VRBucVGoJmZtZVS7yhjaPATd0jSXmF2gHwpwDOjT5/nNZkfOlAcPm7
xsh9L7bR+H1L6gLyWw9lIotGlulvo9MEt241BAB/pIvZopfdw2jp5YNCRiBZTcB8hhnew4MKekeP
6F8mNW/fdRkXYPZ+mNoGOcPsDfJ1Fpm4bfJxvO87ufrU41IePaF4053MHTcqHR8amEf8eREvduDH
KzxatuTSbT5jsix6LJ8yU1BBjBZc8UhgiDPrzZnQ3NUlN8gAbqiN0nvAiyOx+y4AXXaVsQbTzoQi
gOeBu9cIHdobOqwFk3QLu6MzxZMGsSZG/DkNjFp8EHg4WwCvoP65WEvNETH9rQ68J27SJRpxKOZh
RxlHl1jp/RT5ziiDswX2y7gzEte9bTys6wdpOM2F4yfrU0eFh+gajJUV6n1AQWfmha1H1gr9xlNZ
85gQMktFRKzBJZezhRVToPkF0pKZn13VL1+ytekaouKr+laNhX5rmktzzw4EEs+aVPIOB7sF0YRZ
9zpAtFiHYA86jXsNhKqfKJjwARlLD1iT8hYmAqrCiBJ7fhuzurm0oQhy5uDC4vclD7DfjbOWUQCn
szNQK2ZQJrEENyeJeZEDgCNMjMkuSQ2csGbzEaSy08Kx70RKdYyjhV9fNCdAkzw6CQXr55UVsuOW
GEGLB0Ge3C72wCZSzVUKNs02211uDPKbwX/OAX7O7avtmuMYupkFJKZIOBJAGoG61/YrpmilAnmL
rVfuPZHYgDCHlQoEfZtFgFSq9DwCCz49pynMOCjkrXOhwY9q4rGfxG0xpBqLs9xwvXaqIeduMTHW
Z4mFXj6cWYruR1lkrz7c3vm4yRCvmnGtsnOWyPq5J0dEHNQ0+7dVwjYGWUIMXxRKVf41nazD1M94
T2whkgdQj3N5IqCifgz0cbJClRSGIlrL1j7JdmENrYspuKlqTq8xeDqSkChsHc6D1NNUTSUjToDg
qVWACQO2xRbjeJQmVWo8uX3Wn5zKY7nPZCcUQCqGA7uFw+J70XHSCnWTg+tuTnFs78gLdPvjivOH
mkZrK3TWUol41DjKhqOX13PozjaQQMObaz1aPcC4gAIz2BFMXvIIT4uXHTowDEnYIFW7M2xIFCHI
BOeZusU2YwN48ZVIcDuF3agUaBKPNKPQpBI4b0eps1v1SdGE+WT0yedBVrD6J3eYnkcraO5KDksV
K2vRXA6d4baXtAUDFpgOBA3Lg1lTUc3ClbuBI2rBZeuhxiq1DjNtIdF+yaFW9rwzGNssk4qB4lhM
qoucwa/vwAHbd/qga07oK9+6zcoUGYpRjJuRzado5HTeB+QtLUP+AjfMZbwVVOtLvQYcz/zaZ0kf
HO70ME8CRWIBHP5vWOwzrhyUyX0ypuWX1snHd2kOc7OHXsDWxPXQnMPc5wBzMKpyVYVTwhuYlA4x
kwBDcUXYBNw88GFLEAp7gGWRcGiFaGEuZr3f3uk74Mgxi7KCeFXDESI7wyim77ZsCiuqOF+UEei9
4j3XJlqNdUMJHMJCWkE1pHbpRh7smS40p6X6ZClbPA1DZX2CJOVpUa3LjXyDQu3FNGrt09jN6nlM
9VwLvY7lBBReoW4QZDv2Bi3Oij15M4Ueo6Cu+CCXVDR7V8nklfIA0DLFPiTDRAO3ERZgoVDUdjwP
8FQ8/9LzSu9WcxrtfvCq9gWqw8rObuXp3VBvpxmwjQMgvS5xb2eKqAyNPHlhF3VTBdYhGAN+DsUB
XYuFQ8lXs7ezJ0Aw8j7xTOBoqsoTdUxL0ydVp18NuZ2fenILfHdVJw6plJedCU6Tsomq4yDBit7h
7y/rqKgd54jFwm7PRmDngql3qs6RRA9A75CDM5Qgicdc9Hw6sqKuUJoYHWpRakrrZnLL1tjlqsJm
ujROe1OWE+zDyraID2gdnBxhuq7pGnuDLYpwaVMKUA0o3ecG7kMQcWgjqiZRrMM7zRc5gH9tdNLD
4PTyCkyY+RwoZU6RKTWKR9ZlcLv+MNBekvRQPg31IrQDpI0BmLmdGWQn2A1wDCI47O5IYlHuvwAq
dkywFohbwnkS9uPYCSFDN5h8kHqGnhnhZDnF1Tz4TrujibVWuzZQcxa3dR2cSBgP3LgjS2GIPeQd
Dwo2tgxtNRovA/UpWlvk6lk4SO7NswZsWnocIU30oTlq5X6YufEi4H+BG5llDQasJgaCvwEDlEO8
BfZklqkTOWiIrZPTEaK0aywte2nXkpdpyrEOzrs+ENoRcCvoOhG43Fj2SLxxOC0SZFfWZK5ztJKV
j5bIuaYOrS5Q+Z4TYX+R60ZWn6YARFDYDzV7nCqUDEIF5liL+rad1n2X44bY2SmRvHEdWPizuHzj
vrBbrYrdnntlh4TBl086zapiXzcZK/OsbZDJmZQmN9q0jGAtYPgcjKJ33dBtN0Z6JxPTj014Ovc8
wauzt3p6JpmAUnfsOEK5+6ZOuiDsHKkDiINr8l4awnrisLEsLBVqfbOV65yhI52JIe9T98mxF++x
K8zuDYpLQK6InQWQ6ufJead7XFGO2Cmx8HRivGXvTebwdfJmMFgU6u1zQLbXla8kjjAcTf49u5bw
Qny0Tn0Yx1F8ZsahexfAkOS9ghJPrJ7eBteV15RP9DUScGFapiikUVMPcU9OWEumxrbva/iDifAj
ukqD0ZpDGPE5XbytiaQlA0gGxLME7Bwls1ic2ITYKfejn9qvVqEnt/3PFLzaS3TnYiUdvNoX2GK+
eNZClJGhiOJhXRit6ViCXs2v+5xeIajUrBOxRVSoecxVq3FHs8zigrRk48Rr0hTMt3h+r83V5ImA
iC+/QUYYxiN6bqoItlQyoUZB+HdU6OtY32tlIe6XllkO1H0FGKdTdhYNkBaaWDkcQo+jpzywSpPj
ePE8F/KTmKHGAvMfg43dxoSBvp+EpOg6SHPos5nep8GuCFcwUSyROqyBA+Osn+efO5fOeWgPKWhF
ZSTlS1Yl5rAHS+Ysey130MzP0vUf9TqY00gzYfSD2kpHXlhAGQTZW7tXy+r79rGy6XxwE2XpY6DR
3IFqImBD0dOj5dYDPf/KrKEz4orVYCOzSAIZG1EVzzkQIwrMvgD2axAiXITChLlyZGken/y6wbqn
L05D/a3TesIE4iTkU2K3Jp4saeWjaIV4R+hp3BaNr5KdS9YXF3MDwQ1m396zYo6YjjwSvRQHTTMs
WKAJiunLV3OxBIUACLT0sNQce3Y22MSnhBipIhrABvcROJXhAv6qDvyjDFp3N5Vb60QTTs7PY2hJ
wJ9uJ8nJoQVMt6sWWnrMoWxkBOsQpmZZTXsd4N3uIloCCQEbxIIBXpmL62AuTJu2XWMeU1Dawd42
xvpSA2fX7wvNSIIQZJ5/7xXTwlMMks2PerpXPWVbZfp74SZ9tqN1v1LRQO3395yqkk+Zzrw/ctJU
9WdFLcUTeWsCpmhiZt/0IDWrfWNqGTyToJJ3NjNXLhpxO18SRUJ0tPIhiL2k9QfLbaqQ81nExF63
a+G/TYE1bsTUtH7U0RQlsRyN8j4fRVfvDLNhXtSju/MilWve/TiXLbs+68O8ryyjfGPYTBOpwMel
RV1XOesnURI2wh1jNl+aZYGG5uS61b6O0l6TnWo9Gs2slEF6LQD0VSeBk/Tdcgb11YBfXobsNN1w
BoqWs0KvTVqwJwzTuMJXNAJcNaZe3wFJLee4bQOHgw5diwtE1TDiXXxwR88mOuiTzf6MhsfUpmhD
N56saYB948gOkoGV+i1YnYS+reb6zWOh50QOJBD+rgpXOjeQnsw3nVYY/aTZ016zXnBSIgc89w9Y
OBUtDsOT33oysLSYUUB6CRmZg5fTW+aRoXYlz8zW9c/TZWghrEu5wc1p3b4HoNlYnwYQ6xokLqJ6
+8qBeK/W8jUlo2TmeRIN3f1BMNBBZekg3odM7uFXslhmF0pEqORKVX7Iuc2nBARqp45Yjbwzza3a
r4WjZznrKLMDVs0pt3e1z1XaQ410mqihZd5S8iZGfr7QPzPjcfXyZ8NvuVk4sU2CbIOep9hLenVF
DtzyZXbtgKOeFfD4UooCmqKL37cHjWGtRsNn6e4yadrvZrPmsJ1kP+Nys4wR8JRFAKyJOpOIh1Iz
bqxsoLpI7BVYrAYIipZHym0RWSwcKLoZZy7kRLhrcWLK5lxNlhp7jqpQyKH+0lnE/OPTIbBo2ZCW
WdfSCeFHWT6/SjalkT6swd1U12kSmQmN+9ClZnTPpdvl4FoDEJMn1fvOJSJj/drY7m1KLDbcuEVx
SUsWniUvxFB4YjQknU/TDGUxFI2zalcQukzYmJZL1PpULjzRVSdMfWdoZBpSDhCnccgyxpT7YEgS
lieEutNO9hWt8UDQkwmFLzryBQp6Gp/Q2dIsVCbb40VJX1SLBd23Na7dsXmuUfVpkQxKIyfiweo+
U49oAvqtTfXlwaG9x0ToZLticaBz8St5+c7gSRGHfl296noywffu/BrlUeTRDNYJN5M0QJKK1s4e
0Udv08CSqRsVaVckkc8FTgkuMDWYZxriI4LuVqKUhomWV8R3Bd+CYMEmrDwNd2cnOu+UWNtJfeRs
emGAbDTjBI0RqxfisT6qzdGqDjDq2AbGYCNqltIdTioztSt6JzUdNTCeadQR7kFAY5tn7/ba1f3G
sSYxwe84V+85ebqkRIDoMCJDFKBzVdctdzy3tbYzbMWmPKysCnvp6clVXln2pS4s8ToyDFgxlegk
INhFKTnZJTPstmqlFCLyo3BF7PDMJWHVMpPaB4lEQ2mYS3LjVEnQHQJY3tsqXggrJLKRo6s+BvqR
anj29pQynKJ1chy0M8pgzzg0Y65ndzoNbfWW65Rje2ktgN61OiEXgt2aPK0rIRu3O1Ds06QXdD3r
8wm1PUkcpu0TWmlWwg7lwrFsL6e+O/dVNj6yZyqTgQBwQCJyXJ2ciaKtiqMlquEKT+4wXHJMSNob
HQsTxRzrlhumqTc+IQmgi7wyBhs4G1e+AW2dNDDSddil7T1YO8/frWKw9pT75Em4elUTetRo6gbV
Uv6FzLSctmxFuzZs235iNc+pVvHe17e1AjuL5GVJL+zUBs1COZtp+56pQLavjcYtI61tgiFc5paz
OzhYQPczRzjSQIoAF2ztmyS+bNEr89HK6sTdE9NaP2vw2PRYDOSi0N4f3edOjkPF5CDXFbpFERCA
VNSqO/HK1XNA2tL52PbMZ8mgKb4Fiyif5hxdHVzsangLnEF2XznFIMbak1fk2M+C1are4H00kFtQ
6DWwvQo39UZPtrU0dqvZkFFQiG45ozeGC75zBwaIideA2wGyD1TPmyUrBAhCbpDOyv3xG2pY9Mtt
39F4tcomTe4YRWSKM9XUvUw2WuZQyzySRc0ice0DLE2dVuAY+FrUBsnqEGhQ2MdUAxVGJznI/Z3e
IV7aFeyUt41fUP/SdRpOOJgbiGV6UT2s2dA3MZo00UMOzDxyrFejzaOWDWK9XXLDmg82SdcMIxJI
crG9avpCz96V2Zkg0i+NFUVQRu/Wzaq401qdMHZCi7WTnJzg2qfYq4lr7w0XTmlWJM6RvszYwupP
KbFeggB764OEzIwJwM3kWiIsoHFKnW5Kju+JX1/lbTHAqvZ4NrY2dUUsTNAldFzHdQMbdH1jASIH
9knmgOWyrTiN0Na9kU9Am2hpuNPZNA0zKou6DPaJZDNjTmQrYM2ly6FhBvGbRZVGCpbJjHAdTvxf
wzzZhwLeNaFDU4QPbjEQXW8pHNsyjcnljI9LFpAlU+x+CCMYpzDF8Xn0pNt/VWxTtxpxS5wJNWsZ
IyObJdS+xXZOAGWUt9NUO9BfbJK5jsHXS9LJcDQ6DLQNHGxlSSMfsODMDNVpOtKENGdkfZsCcj8O
xpAXwZnBkPtihWdIiIQHobBpwepHblm3wcEsagTxdjsQxJVnsCc4Rxa03wfgEAdYNC4/3CZY+l6m
ZV4cM+FaWTwYbdDRdOa+nE9EirlvxEAEb0arpjWc0CxMAZ03TbgXnB3AyuMRpvEUSN2r7x16/ARQ
lnMlv4FL7g5lPxX1JYF4NTRM+qUVbUFmAjtle9kVLaZe7eijkPFpaPTrUpKBSGR8WDi+4hSZ1947
KZSW801iztOWVDSC3Gc3h6Wbd8gH4PcDq4zU4DDZtXN07Z/Qe1PKr/S39ANZe0Z2NXe5Hewy22vl
k8mm2FxbWtBqkQN4so5oXdAFtHK3/UUX9quC+Dt17L+lyf9fFMzIsP7jXzrh3ymYb97zRvxw3+Rf
xfcqZr7rFxWz8RNC5E2+hiR5Ewxv+tdfVMya/xOln4m+mYU12JT0iKV/lTG7+k/MWFE/bw4FxFmb
rfdfMuaAL4EdgUvgYhr0nL+jYv7ZA/Q/zgQSl9gvPEy8pmltpnf9g8AYx5+w/byuo31xW1/I8DI6
nn8+j78F8fGvzAmcw7/TTG8vhvcBETO/OR8Fb+57hdtaqmw1BoPWoektLaQLaiF/T/+pJ/lQgow5
LGVFNwnSgwDvnBkPBiHUBESBF6r0xMsv1yn1vyWlML7NfSPONAIwT0u1ePu59vI7BERyN9Of6G7X
dZ1RubTyGr+qe+4upv3UkEB2YCtkRurQFE0i4SyoH2aVf3GNwqODLjX3EWNPQyyZ3VBimvOM2KCt
SIkm1tcfrYM7afYtqUZDcFUGDTG5ai0UaSgePtw4Bew6ngKA38a+hlH+ZA7EpaEjMsduh0ZiJZco
qYN3CUCbkWLqgHBIEo3DdbDoxnzo2Izpn/ZEPEed0U8EpSLzIWWhBQp2Igpt9G/MICOug3H/PLOu
1p4X5WNfl2e0i8krLIe0jaeaPawhczy4J3YnJzOcZLojXcKFlwjm+jmDnng1tVvXeOFgMB4bn7SB
1fS3k6u/qdLAFI8XNYOxIprWtCqjqmZvONTIwnYJyPaMLK3U+1TgMBMRMC6PjJJkdM29w6mxjAIw
91/Vuo1JKukuzkGOwuuuM1RD6rQUOhofu/ECKlltqW7FFLhXpinnfDc3orwwF42ZsJNRUqCcCDRG
TLndMIQgTvmsC9hno2VdjX3PnOfVUMB3P1cBTcu9Yr8tIocIDXjwOLf2RaVPDUjWTF6RktMMd6ug
pxYxOmzaHVKWoD9RWumvhBWAm04yjpnOwhEjajpAs+dd0fnP5BsTU4JaeQL4DgHiyAyOCbzRMaQD
Sao+j5NkpDXAGbsLlNehaTG15g0G+fR1zNz2SaB+uLCRQx0JV/HOB41UAQQgo0cmZjD6dZjp7oqQ
UWp3kNnqm2Ae2yGeltyLrTprz+lBQUnOoUXfyqru9klrLpsoXjBh76e0fBCMvK87YVUuAoqpP/rF
SJedqBWmcM06Ji8OOS1vomXbiQK/Xw+DEDpAfq+rOXDOgUtXufDajFRpg/OMtjSMVYry6Baa9YD1
PHDiyk/Ee5c4nH0IfXbJ6sHRSNjj5L2kmYPSxjIS8TmnUXoABMCo0EBKedXSwCHptIRIHo7U7SIc
qPTTXVNXnDcHKylefM0wwawiE9p3sPsucPdZ1wiZmmk/OdnMIM3Imwu/J3QvrBZUMiHpIxLFJqD3
C20uF33f8Ni+uotRpuQ1jFShv1nQ/8Ab8UHNjUqWVRajx8+eKpiVH/THsLKVTpeXxloXC4Dzbpce
/w+vsKl+bdPBtBxsv8FvbAV9X7Yd7U86yBR3q/ffpJ3XjtxIm6ZvaAhE0PM0yfRZLsuopBOi5OiD
ZNDz6ufJnsVuS/2jBeycdKMBtTKTZAS/eO2BYqv/5Sf8tvEGzTBZVcMnVG2Y8Ru8vvv/+QTGNY9l
RXbK75p3AhE7HhcEXYMXGY59aHP9h08wb6+i//eqIlSAZBbc3A4RVAhRSPz69TJR5JHiSwBdIBvJ
nu/SoRHPa1f5n7LENuRZ6LZR/DJUHWbhqztlZ/HWbLzyTjoJ+fW+1eXurp2H6tPcStvD+I5J813L
UVQHYoW03NPbLuaLMDgqRbIsmj+ZhH+1IvALeHokLkp8HViOCWL79Re0QG6t23qSUhZ5EfQpBMXp
Nl7TCPSHh/ZXLfn/fJKJM88S5KveTNW/fpJhg/1zzMbTvzQvsa/z8+itTyqt1ujfn93//EFEcbqA
WQTM/PZBVOe4uAJSE6TcjSpk29ZUv1Gj/P7vH/PPK0fuJt5Jsuu49/9YhLTc1P4iF3MjkDkBaNVh
qfzPs3IPxlT84bNu9oxfnjOyLYBb/vJ14ey3flvwmVf0tsiUtRn8+ajyXQt4MjcrOPw59f5gg/kr
cOG3D7slTvxlv+LffwWE/W3to5tBwMkxAaIKsth9o0OEd0Rg1IhDPrzxqpOTT51k96ccD+S0v25s
t2fkFt6CidM2sVU4vz+Nk93opFHa2rSmM7x42DldvK9BiWzfH5IHNQWzFeIh8b6bMCSnpFfr1ZpG
Kr27ubUjW0Ohw20s2UNeowQJIXAUZF+NNAl+ZTDem6kq9yPcWRWavBLPOfKR1yUweVqcIe9fYk7b
n+O1u8nLkfduOr/iEGo6bZxFksMRtFU1IF/OyAJbIjtpEMvkGEQuNHr2x9q/HVlbdxq/ls2kXFIT
zenVbfzZC3Ur3W3pdP7VGaqpuya9h8I1aW18I2glhXVG7ym+9k2TPZZEcK8bw4pb2FbXWE8CpaRN
fUGQXa0h+cH7IVk2AGIDJXRz0EAYLxxJI0h5+Tx1bmaegQNN9wQP1D6366Tr49w4erc0Rvc9W5L+
0VFpfQQAVYfKS8otYloJtEVhMx2WzWjq/TiQ9GLZE1ngLcMJJVKeX4uNP9aGHfU3KyyZurL5mmcG
luh1WBsGz6Wo5odmbbsIGrOt7jBMjB+xP9RnSGxynNpWPAVW5z9KbdZRjYfoQqomVN3IOEWj8ZCD
BRPb92DS+lDtxpG4xmcqSlBO5eBW5sYt0M3edUaXTOfE7UYDND/uZoDPricbvTPTwdlUhectkZXX
03OjPGQBXeYXn4M1OOXsdweHDs1d6mvricEweCaWprX2kuSKsko9IGfE7jmnnTfDlfHF0EHbh7Rf
J5cmK9R04maaO8JqKXj04/EEv7YAjGjaaFEi5uplYtVsDVCNGeqG7eMyBAC56G9Tz7n0yVTuV9Dg
t8ZcCS8LhgHRlJsTRlwvrk4fGR68sO1yaqKQAQJt9GhC7oZ+XLedYdCT2Fs6O5oNUQ7XoV8Exg0U
isO54lI+BKnfHqc44OVB3OO0vBQ8OzdlUU7JIPhnVTCrYOfxg5fezqiwNZP1rHvl3hR6E/EWXc2z
vMnM2t+REoX8gQlx2nW98MpTO41pvie0YCJoHIBYmA8T7tL82ygsV9IRFvfGYXGCcnrGpp1/dDVg
ztmiluaIQUIBGQZ16aIsC5wXt1A6o0JKEdIYZHB5Uevq/Eu79jllI/bQBfQQ8lbf25zJ5hD2vbQq
Krk846i0cKn7Zr78pApqfneZ2U3wB1a/wwgWPNPpVewwuSGVdIXZf5ilne5sY5gOxjLpx5mgNcZn
u/lpysk+5KIydxlWjUOu9fDht6SKOEnWsbhmxKCRtMtA48pph2mTDTFFN4tvvCJIopZNTRUyK4rJ
0u81PStXgjYyA+xKrZ+0ZU3wLRSgfARpjgDaiYWCWh+dU2dSZ87Sle5upEfoHcjH/6B8VyqwSFwQ
htv3j5R08j0MjIfwOm11ylwtjQ86iizQafTWW6RoQRGRijwDqJpzYmxdG3l4iKhhGPcFQfQXe10+
IbNP6ZCu1IWep/UbbDqcBnRKUG85CrcLLFoqpv1skH5O2VycvS6ZTqxN1Rl671SxoaNbBUO2Fciu
fk5AyVHRWEjPRjADdy/o0XHOAmLEfKAQt5NbaTXZgtRHUzZD+4kAbTYS2pQqh4rdg5FpMEz4Fso8
DXtq7/TNU/NGA98U0yMjSrvNoj4jjVwoGjE3A1v0Ls4BwtDlmfML31tFNkbUD0FXafMZ3e4tAt9m
60CESQhvP+bknFm5R19VajCMbXSVj3vVymlvxpNs996tS8nFpUcbGYqIU9VqyESsCevWK4PM3oyk
tV5TwDR47EBlr2tcOa9qmJ3tkqvmFDQyJRpuAHNt/X558xuL7mW0seLOWNZ5eGk1poowQ87w2Bs5
beFEl35F/e0jJwia1Ny5xdpQhFenvvVa+n1GNTGNI6VOtHe41XnKY0vYk94WmKYQl5Ei00zPnP3y
9VSKLKt3qP5N+9Hr7a567+N2aneE7QzZkyvcaiuqQZwGzoDySzmkUkV+5rT248T8eGmB6J84ga32
QbaTGR/QLaZRMprJvbSVe1XNYNrh6jYLRcsyHpEIZr3By46MGDf5cDX39R4iln5PgIPZ3+XDinCH
/q/FfOuLuuGg5U7zGRlYcqg7LEl38PPwrRzD9XExjfq5akbkeWrqs/KcOIDQ6L5r1CLJZAbb2cRd
dwIULJPQ9gLMFLJPYMepN0U9gkYsyGklWlykHqitKcQR/loAya44JHLwi+sYsFoO+KFN98C7QR8c
gJfqXoOr7zOROJ+qxEQNlAM6TDtqwHoSSmT1CS3n+r6yAXi7xM7UrjN8tP7stuOxLV3JKnEd5N+F
mcp9IvTwiA1g9C5Vk8K02Nh25K7oMBJgRQusq92viis7E0bSsfqSPtPg9iS5PtMXLjgSxNbWzc14
u6IxhBxlqth71c0VIfOZcQSK3eXInzrsYB7Ky326rqjqSnrJsA6NUmIPuQUPbWQdq6td216zxXol
nqvUMSgHDbjvaHB04N07aJmvBocUtZsoQX5d0/TKNi1zRGrj0B7aeB7y96JIgum+MkpKVGhWu28b
Aycg3WQCmAjofkDAyilqh30YkKBXKO858MKp5C2RGMAyuRHGSz6fRkF1Y70yWiGPL6svxlyWrDuU
+GA63VSUiLSyptzIAs+g1WL++2oYKOGqCUAZoKoRB5vkyeICXZs7h8y3jCKib0UCRrdJgFoH3HgB
spFOR2Fv/MFJvgX7p67wberpvIpmXQb+vSvXnM6fGSFu6GM0xE+G+hGxoOCv0JQeva+BAIfwk77e
j8QcFOy1hEEeEkwZzjGB31KnjgbTyG+nHoq4oivvKqlxwpcKGIQNihKKqKIqeUf288oE1Swvfkfb
37NwnJCKpPyEPhTFDNhMNCXWgUDE9D6112IfT0G6g61ow1iilUlY/TDxg7C5w/N8QJ1iUePo6JXs
Ade/0IQpup8tul6kcR04GvKBfVfireBdS4L8jdSvxqexmtpiG49mERyQ3Pb3aaDE56qdm4KNZGhu
kdfLmW7dGTFjH1DfC5o7L7vJ7ezynZoeKnPaujJpAr6Fipo9WvuNmdnjRWBVNO+CwjbRcg9B+TXn
5cpgYATJUdGXh/6nmNzzPE7uYx6v1eO8eLWPbWhMkI0L1URmtwY5rzTX+xwTfbVLKa3dIkuYGCYM
8dmYyXoNQaK7p9kyFSqSqnOR0ksf0MHP620QTBXcGv0c5s6PDYvIzHSdj83IuEjoczOrE4RY/LUi
JZ06LFMZnzlLDSuEBIFcz55Kfbq814z2c6798tHncbF8Nz0Vt1+lriUePq+i9VmUma6e0dqyhfRt
gyQKsT6zFjAu3Se+rCKwvmBrWvUCBzXCeMxmZ70MS8U5AanbcloACY+GzOpq49ux4V94Y4whbuAE
b43dtj+VjSTYB9nczHlxXIriPMCqqUVZ9lYFbtpFRDQZRyoYCxTqaUJ/Ux4/zARbvjTdrmeU70CG
MNkgSEfAZ/XVw+r0INX09OEBZo5c18gimJfjRrF6T1CjLW2Ua4eYv83VllOGcz+IhTOUTTd2mTnl
K0vO33t0g567oDF3ht8ZPyV+Xp5y4rOPkwji6eTEaSvOVExbTI2LSr65uG727bo2SHOtwqKLvPZj
M6xzqeRtRhU7SS7/HKF9dMa3hhBWTmEBytZi7sutdowOHnbtdKRRBF26kiCOLZwAHc99W5v7WM/x
eszWdUmOpZHaWSi7SuyrSbVIZcpxyo+GO3nmUedtoi5+ScsrSh3dvGcadhfTJ7w8jp+hVhfsPNO5
Tk1rObItpkcOVXGJCNoSiCxQa33jbZCrsFgrTI1zKsxT0t7OXajl+FTV0whMCcYhT+harUWDHr7J
k3S6YprBXoAmL39c8rL92nrdeEegiYO2tgiQZAeozM22IHl5MLLpXYwkzW88NU+DGamB/LMwTvrZ
205rmbeXGhTdO/UxJXsvvfKBJ3vup7fFvFK8o0/URcgsMl7nsbSejDnuvvidFPMW+m89J6noz6NT
2h9zZSY6TOxKqLt1mkTBMu51enVjYbq8Ju0MzeVgLGdjTJZp29pivqd5Uh06e9TT7WxSzJukJVs8
a0b9DZXT8GAY2ImPoI7FVxQC+EXG+CZupBB8XZAhIrhL18+OZD5HpqlxHVgZwpN16XJc+9Ic0bqm
VRmOYPR0blPGzDGG90+/iTsziAxX68jFD88roPOai5VPk3vMA+b4vnOYGQJUA0tZ8J9BMO6yYux3
C6Fq10bOVK2J1tsOeN0R8Sjho/pOky+UuDovzdKQK6difyYevMyeat2JNy05sqpVFA+I1IxtObsd
yqysjj+buvEA6GR79s1M36eoKcoImfHN7pNO46fAbbKfZV3CwppzMO8DO13u3XHhXN67GoIeHxEW
bDfrH5baNvcFYSPda207ywlqO4tWGrHWHUvOScKSQK6wmtxv2ImMuwJsHR1WItQTI2n9eRilTfkn
P35TreiPQ9uKk4FtIqGQdOwdTpqQQqjfHNvZu/R0X4qsKC880TJCq53v+Ortk2XW8mWyy+dYMSY4
oBu0bmaCogy7lF00i3b9yUZD/EAw4XuO3XQ6Qq/f+r8ob/3U6aFJ9/xt9n2RWgWqEI0aiJOs9Y0m
h2I76bY+TqsnpxAv7yTRiHIWoVMo+HzT8xzquQGjMuYO/t/qDF4ZJWrreetRk9ow2NX4P9kP3gwD
PYDJSfLdTXEaHM3OQFuBGlGdMrPxIwQmqJ0ppS+ejMyfPxs6qa5uS/OhYyTzuYSsuUw6RidvSU/e
175bHcbFKq46ht8XEEoh9ez1Q99lwcEtAvQLBGJi7+O8V0Vu705fhgHjDeqjzj3kM/cr4iFwhh3a
r8LbNgIvpsULxdhMM18gzFoVv7bu7O9X9FWRi+4O9m9h/m7N/Jxm3XpIIAmOekY2hvLc6iM1jd2p
IvTsJYDKeaLHD4ZlcmZSJ7KsQnRQOcYajeDwz0M5uXvchjNicXek65JQxuJQmzGIBW6DsI2Hzt3U
g5x2kgx0XsRLHWc4kYaxiKqUZglbC+zx0xLkHNMJKck2qpTzE27zlGNyqy+4qfrIb6AP8YBne2di
X3PkQoUzlAP/UxdU1BctlI7sC/aPZSOdMtlZzRJEExfCDz0sVhclA3RhY6+dH5Sn1lve9OoLDgT0
pH5+jTtpjXfNOjjRbXh+vSUWPxPqXQ2Mrd5QfFv9oPm0aMMed8bqCyRuzszymZsRnbKcaRrqB7/k
n2tlPMjVdSH9btggc8Dsiz3eKA/Hft6L5aIS6XzUmS3ZjMFFI43q1NmRpKFRZumSsImlEEEUyNbL
6SyPC0z1N2Usnu1vY+wORI+7jza5SW3YNZyk0EJM42UYWTqegX5jZE09dsrxf7gLyNRSmXhoejNd
3wMV2+9xt0xXQDDOkgG+6rPP6pLAld3gbxQaSZxlgwkZh18dOTJtNc9UGec7xEbeNpAqznYNvHS+
mUsegi2+cDSn1Ly0DgYI6V0ctB5l6Fs6eXL1UqJsgYln+uXJwzyymcfnGNdI82ZcIPLyai9kI45d
Dcm/KwoOat1FlE22DSrjO62MMQpezuM/4sE15NaIKxkqOaU7B/3ledIe+upe+oLWVLIkPjzS+vbC
q+2oHepsOSy95KOnjkbLjSFG/WQajXyYyR+JguLWSxBUUyQqDNmYiXoanBDGofZvbVOEgrAu567J
upe6GT48X4/I9s3lauP7uKwk+LDLol/WJ2efPhU8focl7kvsaTbz+N7TzvC+ZookH9FXM7stOvI7
MHliiYOaQxPG4vRIbA62eO207htnQxRHvsLDWVBNfEjInPveMFQiFw78KhobHo2NnMQQ+aBTaP8R
IAKfFHhVmIO/lrXLfdAuR8dt0VvIqlK/Rk6P12GVd4pWVkqSdY6oLm1mlJWMne1dOvnsvoxsthXm
66Jeg0qmhDwB9T/M6RjUGz1YbByEkeB4zIN29O4tq6x3/th7N8scZwtEB8701RymLNuXnTcczbTs
gn3MrP+BMdzdp81YfBiW7TcRXg15itd8FjsOD8u0z9rggWX5RKyAiw4LVZ5D8ER8DPRgI2PtslJt
FHNysENobN01BX7cTYJkGo1vot+bbLRD3XWQ4GVQxZ80R54AG4I/4erilr25gLDkJK95Z12tGrI4
HnP76FZ8/52Y0EdGdLcyNlkjFa9RlsYT5uvSBhi0iAi7i5PF/w6g+YMOlac4LTJauGfffFgc3Oa7
FSq+3CZeXD7jOSNOG5UUwn/KIpkTYgZP3yDrQ3k1jDPmz6C6LDlJBiwF2toR7OG2iCiBWj6SBqVs
yLFnfrPR+rUb2lTzs7QU6RwY2SRRVNi0h/1NhjeGPvLMamtX7nATqQ99sS0T8iTQ9JOQgcW8gp/s
BQbGl7m89dN6GfaLHQRzvCD2FPGdnwResemwXRPkr/DJGVlvWpugSpbgkFbg+/cpqf8LlbrO3MIo
LHTcA47TsWlU2SW38ZlGOEkX72AtS27s0amQu4C2Gfcak5MbBUk57JtarcUT+WT+C/Ufgh5anuzL
QHkZUFaTiOIYTAUqY01w3ohDNMV5/UgWoUGq2FgPQP9csg2H1Hb6qNJuMrFFt+3HCEy3fu85aJWP
I3PvUbEHzgeFYAArT2OaTxJfNkk2hZIvxm3aPSS2JbtDUFtx2PeKnnvU8g948LrnQRYOuHkr5I81
s9LdrORs4JJUFRj8bGHwF+gPLyXXHY2odkGgpdgxm2R39tjH676ktvsJ5/1wmJAScIzSpCn3scge
Geume3KLcTV6ciaVBjMif8qd4+9qGYQOjdwprBCuNsEioXLyEERdTfbZwj4YpW4XvynLF1EVI+S7
IJtBYIutyVyvA1LUPsx4iN+ok2VkTNbUYDSQSfWmh6VYiLUeynS74m3nAUrATzeDkeRveKY6zhqg
+Zj3yjhaXbu7JD15XItHNA/vXR8GqJ4/+LAi3iL6aVEjGvq1ROYOs8Yb64dd5fkjRl4/UuwV/Z7U
OR8Rq4vnrPI7ilWotG/oFFjtKSzrwjIvmTPQR9xzckWNP8g1SuOum/ZEbixIn7FvYuxdG3/cJH1Q
HmZVoH2pZy89EjROHIUm52qPkbX9XDmLcxcPRnMUaFufhSVu1WnlWG7iH0HTGE+V0eldHnzPaPoO
HMxAEJ0gBzMDaBm6SpCz7xZS/OjkFLThOCNv3igV59a5IKfmUx5jMN5mQ8nRTFB6nsApB6+ggg9j
Wr7E0imwYlFbjII36RruYo2CpJ8HDhpNfq7SpT90teshU+mW4bwogJCLoH4t2dnB0uoTaTN9cxxy
paAMuNX3dt+SIq+Q+GLejovR3GhzNZIzHcUwhJVaMZDEMQAfdxzXL2x6UT4IhS6lURBDEZqWNOZL
pgkA/QJrhaJENwcBZ3htby/dpPd58tygKXTos7q/QPTRN9cpkyJrnlR7m2k5M2BSl/BCEbt6wI7N
JFiAO3KpOL3tZrDRYo9SlPeCwqeErzfTS36ScvTeZWFmZ2OquuUBZ/ZA5sBstWj3U3ki3GDKomqq
8fgX8BFfC1qAs53WaLo/NQ2cxYaMrzTb68biZaszr96ORjxB1YHaPDXTuJ7TIJ+LJwU9xy/zSSt7
lL3jP2X0FqhTSV+fEVXKM17XrhEPIknWdiMqYCOnaKm6I6ZfcKgzXZNBJ3Dnu6pZvU+WuEHhCQWx
5tZSpXvhWYp3zFFiFyxoR09zL+2vTJxcIXpsG32A63rFUkfUgKQ43tt0Veete7Py/T7KkyQ3X1pG
MQJsLCmJ/ESgxucNxhxCHCXkzgnXX+ijoq0OtepovN0SeIhn4ZWKlaVcvnLj5B2RRXnxpeBnkwiY
mcYzpGgJuTIWtPVUhmc9T71PlGRixV1U4Cwvb4XAU37jnsZjXwUJQeRJ0+h90jnrS45Ju0RrP8+v
/ULRE9ln1mUBrn6CRc+/qL7VBzw+lT56uFWLQ6oVKrDZMbdoB8Eoq3jx9NYuu/xZyQXj+NQg+8Vf
OwXP5G/Z/V3ZG1N57evYS0LMPStn4xGV/w4JA/6JEjMrQKJKSsE04rk/DUQv5bGfGgzzVcX+GFpB
2R2xGHX11wYSZ3k1XCXTa0fhI66ZAONiSGACkD5pGdPrOGLtiuI5U6/dNAfMyBiEbjlDlmFsFIEI
9W4dAyN96uNbblqWFd1nK0mqI4b89GDjEiR3JS/Xt6yzbHSPc/GcOg24ErLq2ODeuSiTwTlEu8nb
bKY8tJkaceknROb3BYlW4pqmC084pUmVd3Z4ZR+rapHZKYdl5kyacvWJyjOHDxSc/b0sphZBF277
pwyLMGFfbV89kuzYPVsc++2NiwslO8W92zwliZyHy2SaivipOvnsMgh1m3GOwRoxhVkccLrloy18
qrWHpMvGMNG8XELMMv18NtYkG0JpJ3OHg2fIHq2ktNYj7pK2/oSxbrovcW5wGk+K8pMSKBA2Qnb9
S++4JMK4ngUN7DYGYH9Wn/y11Wm0EvVVbQJrKJzNsnKGCKuWbtWQQbi6AOiVT3x3Q0bEkPf2t2IZ
9HlUjn6ULoOJabdo89slvatJhI4sKPcIt/V4coFNBLcT5sC9yeMXTJFYSNWG0lkfxTzGEm++ojeH
+fSENp9yNZjfbdEEaZRmtJMVJaLOzxkzINjngi4Cy1rvHTrWy1E7+XCBc/O+yGbwzxSSOcDqWrQR
qRhxsZ8IWKg4CGa45e1cPFHaOu7NzG1LFuFiv5IayQ47DmxIXt8O6WHgTAxrWXXyYA42h6xMBX27
RTsbbEkgWn/yyiKoe220H5FuVn50g9Z3SAvTx3ouUBXyWClMdeB/daQMlJAbhWB2uLZmaz52eNh2
WUXTC7305rvUvbxgf6aBkPj2jxb2PsZw0zkVYedQiKU5EfHW1QtPiY31mwIZd9xao5H7J6if+RNI
kdoxORP3Uy0Nxn4rTe48p/HexHDLs9HmcN9MQ3DIEO4vUQkHzXlFJgD4EGOKmRTi/ztrKd6OTRc8
5noAqSpvlYiJa+2SSooHKxuQUJK05kcV28mnQTDcCx7NLZpGf8ZbmJrVzzhh9rtkE1rHU+KbXRrF
JfvxgSEdBWw6EUBUTnH1nMtu+mKpLFEbgNGOqT4JtPWYZnHTHdDxKer6bPcwUyI4EBM21zzRwqiu
C/oG6My8zX8IM14/m50DMyJg2vQBuHJ5bVfRi7sUBpBrYVdNfJysAcUt2VvWD4tluI8x1OrI6nNy
/5RRlNck8UEdELLI6wSGySQF6rbpCnNUu9SA9qQBqzTDJLP812qNqW11x8Frt7TgInIbq2qIKowv
6hgHiZFG1eA1xo6JgiSYEo7woMpkLV+WbCWCxKimi8lch/u2YJfb1bzSzuj+Brkv10o9Oj5DzhJL
C2+lkuRscWtj5pbbjdvFHUP1Azinn3wZb0kABufMG7kFixAl1ZjcDVmHWNpaVD++uTVjFjGLHXEV
reHMx8FcbVBnHyCNJd5yiDRWGXlsk4QEdK65SaF017Ift+7S7Nkvisd49oqMUO6eFLtBQctzK844
w9dX2Pakuyd5IM7BD63kAP+ZvDRGxrqahvw+kS4gNUK9BEUJc3q+85TBEZZDPeti5YINocH0HM2r
gcFtmVP9TY8ESxDR2I9fHDykpFe2afWI7zWYowJ+qwwBvuutDyuhrhjAIS8X6p1jtrF7jjDuw9DP
+klmC4Z8U9DPtoyYnYMYu2vs98UYrkMT3Gb6kjKNurO9bWo61WEgOMglp0GIK8QZwG/L30Wsp2PH
x4WXzXjqXZdSoXZE30jKG5Fv2rkFVZLDg5Ymi92CXBh7qB+t3DbvZmWk1hltXT0fLTcD4vKJ0340
elVA7owsFZj+jLNGqx8SbTusjUntc+abs4zT9SPWxfSscUjBwJNCeSFsktK5Bk8pCY8eA9auCRB5
bmRTjkeQa/ONCrj0E5Jzwh5ix4J2sImVHeqYnFmWXVw/zs1cbG2HHghGtMU+TVSRBp/IndUXrKW4
nVNui7XTdtXSddYbpEJ5Qw7rJcriIcevH+8YEyRhVpPqXDhTn6wqWIh0eUZJUOp3xh7M80bVpgdC
foufnRC+sceYN6aPHOV9onGZZyKrK90qFCMtMBtt1361vdG4ZEm7/gxKjwznyjZQoFwSNe8Pgm/3
eu3NV09ixYoBtrZccfEZaR/OxRGP/GxGnGQY+HlzTxxiVwc4As60ZFuuxjyGH+rgdIMauobwJ8MF
WmcAKAD6Lnlm2hfcAm2OqylpXi38XW+2Jbyo8Mz0O4GvgT5oe24w1w61n3NalCBTfOM5PVOaNn8K
1iLDWRS4WmzZcSliGnkZklDga/97sqxmcVRTDYyEOlGrLQP8XIROU8u7BTMacgF/Wt57Zedfs1lZ
Hy1pbuTvFcr/kqJsIvGqxakKm5/431Poi4AtHv4FCHXy2tBAU83WRSzosUvz6iHviarZSnQZNI97
S7MecE8ET0CYyEDMxM+ex0qL5r6IyZ5lGRL4QgLA1IwPFd7gUyrH+ZvgvfqDyMiU+K/CZN+pb31d
kH/+/G7SdvO8tIYk1FVnWXy4jWcebCHQ0g48211wNiqZX9CiEYMQV74k280M+nfNafKcz2mBXa+7
pYYPbNSk54yQyRgtzNtOnYygB1WfBIS+2G1ShJiqnWK7rjHYd0GQ1Zs1zPZXvKzjglmbQLYw5dXa
n4jEqd0j3Pn81BfGUO//q59XNSg9soVnhVWT2WqPP/2hs7D6gUBfi0H5e0nO54UqoenDzPsWDFaI
z/8ut/2nqpdqNw/dh3SZosStxeHvivR6kmOXDgtJlt11ycy7ioUbeOsfMqj/g9AWLlL4EKE+tZD2
b4Ju0eSxsfQ5bLyZhsK4ZgHmzvoeLrexH//9B/0HrWtAOEqAxt4hBdH/7Qehz2rKrgLRpVo0FCJ+
Ker46d8/4j9cs8ATJOZ7Fr9H/G5ucqzGmIeCj7Cap8Z7UesWEP/fP+KfKmhf3MK60Zc5+L/+MnP9
XSyM4XoErbYhpaeoJWg0K/YCmSy52H+IsPf/oYH2BcUavM0Dz5eUXf/6AKjWs8gmwla9kFWYA+tN
GT54/+DO3yr/lAV/lCP/Q9zvcslMWr/oJTdxzP12g2qMsBqdrb3pyjUcAQ+FPCm9z3BLZ3dJsh2h
e/9U/P7PO3aTPaNhMx0y3sXv2nUzgdQM0MZt6vGKY/kwqn5Hjfi/37O/5OK/KrwDAQLucrskVj/7
txx54i9qhCTM0E00hRSw7sdojowN0Q+bbFuHDJlREII7hm00hv12DqdIhlz0DVBJSJLlJt56EQEM
f3AI/HNF8LUkMADqb8+lWPzXO0xHHiHrLl9LBg/z8Nb7f6gnsG5x9f/43VxZ06T3lfj53+6oUSag
1D62nXZ7+91jNEY0zIZgQRvSHP7v78a/FsKQhuhjov/51WgtwySKQ7DUsPnDCpK3q/3Lt7qJ7fH0
eH+VCvzlq/z7zianpsRiLYmMW44ZpEQSwXgSW+k+dzt5Hx+M6uxuBu7Aa7p5/v6ni/5Xeca/ffxt
3f1tBY8iH2vyBRmj0g0eN/OJvDR1/PJQhwRDgqgSuXOMd83hG1KWDWHum/tl83Pa5GH+h9svby6G
X7+JL9moMKQgYHfZ6X/9Jh2wuzdrorDsbghbKUha+pST8KmXlNQDcpWMhqzx8cPs3jrwFCDpY5b/
n+YjGoz+c4nOP7YZzCk4eXjHmNR9EcL165eQdYUbICAyeLGchzq99R301yV3u3Ay5KPZkjTdV/f/
viD/slT89stZ8wJXonAoIPm9JMstAyS7qYRbyYP7/ybtvJbjVpJ1/USIgDe3QDs6kRQpktINYomU
4L3H0+8PnLNH3WicRmjtGc0yIQ0TWZWVlZXm/8viNe8IIiu1e6yE7HZI5W3T6V+o406QTSXtsWr9
0JuKUynRbVqMh8rz7kDo+rryVQv7wVcpcLiLLAZjJ6dLUVYTdj7TX2DN/cxy9UYkdNdCFVqU7M7U
G4BRwa5Mm2+WHN+D0kdpSfkpq9LK7MvihsCbBOMF1/IZ65UB8tfg9bRaFwmdupqwsUAv6wpvQ4Ls
EJG5o2ns/bLmZ1HAZANHImdHAohe+j5gWgVoZAdVJyhCvt1Ro23K7pD5K/M2Z15vJmzujDWPxvgO
YS1NVcR51L8NXqGXNTq7VxDCyTI04EcUmc083Ur6aIewSRXQPQcN1Lphn0f0ZvOEuCzmLBowmP42
GADHf0PZpM9OsGcIdS3Uistjz3wYUvE3/PGk1JLqGzg22ctlYWcLBwsatCSkUgyD/kBx8vZHjkvW
yrbSwsiy0+y7osLhvaLM0s8ncsL8WTY8wsz8c4vWUi+jZ20Ys581KY2xM1ZUOFsvVDgWMX3CkQpC
KLT0syBCpKWKp6gddoZjNJuaRonLi3VuABakqZDzsCuqTsh5KilPlEKoNQOU50DcSzxIPKV94civ
BLXnhxUxEJmJ8oRSJBmTwkcKZbUnt/VoubYhvdTAHtKPktKFwwRA82bkmnNZqfNzSrAuMajGbBzL
OA8YOqH1a6uAljhFqq0GDfhF7Tbqk8fIGrdtOq7IO9suA3myyvmRRP5uzu6GAESxJJJk11ZBJdKl
L3Fff02H2FZT7+ayZmeSmIXjAKGUxSJa+swDgVbCuEGogw1YGY/8yezgtYDvFCB/b/xaXLH0swiE
iEgGk5AgHmwHxkBPd00s+xL8vCmJ0DiV+iRpvztmrVKRCruxTdq3tO22l/U7M8dJompgIhZIEtrc
HzVAfUWeiMQsVEGSA4pA++X+JT07SwiSBO8S7B2/xzzoTC9SuYMMgCWNHP2XPv+ulS55rxVitIWd
QobJXoEtzlto5iUoFucm4/g8fIRbk0SZWl4b8evQvFxesBmZ76cuKEIVlnAdBFpt9jJta2UwIWDg
LVcJ0i3z/vWmMIr+Ku6VENw37TfQbICce+Rz8zY9wI5C/ZMK6Racon7FOs/OnclzVaceMXldgvWZ
2+qqIrZ6Q9LsUIZ01aDVfm8mqvKsqG18RYKJZJ/apCvRO+cLMzyJkhALJolsaHSnY6ezpS7ohmwV
8HXszWZzs9ncbW7u+Kfd9Gu3s3dXV7bN3+52ux3/ZF/Z+9q+2u/tr3v+8r//0Rk/+Wl/tff89hV/
/8qf489up9/nL870y+E/m+kvjmNvnMfHzYFfNwdkbaa/8D+HX9Mfmf7o9C+bj5uXx5ebj5t8k/Nv
Nzf8+riZ/i98583KaT23OMhGAVvRDDBJTOBYTk+r2pA6pqxKh09t2VH5Lovjzo1uXf35ssmd77Ki
Kjpnh6lc2pbnA9veoBVjWdM1DPWL3YLOXgcaSLwBhCVObv2+LGxJKQ6pKuqqoSJ3plSiAN0pWWQe
ozh/YFD8ivlqmoy721YWDpdFnZuRouJSZWi9dZ0IYubFI3DR29FLDTuJow1w61VRbEgQAnJXbdP6
nQ6Ey/LOfR0su+yWrunUrDk4p/sFwrKSK6EPEUCrljeim8QbWhSy6x6+qRW3eu7IEWWBgww8s64R
wp6KmqCeVdhyGEtszehKotgA3/uQbPpBz2BLEgMdWtChvaEN58WgC2clyPhcutMTSi/fFGbg1CE2
/OR3O7r+W81PxT4GKRcGEvvHf17Vyj1NUzY8w3awb3fMoW4S51e3Y74A8vYnptr23Q2MRPZLvhHt
3x+m4+2MzXAtrJyaySfNP03hoU3KYzoz8rRLR58Gcwuvyyoz7UapqFOACqCsxVjnIuCkNj8hIQxZ
PTswfTsAze02wHu2EHgIjAUXK8SD0llOiufYsYiZLeWS2cAm0mK7gZQeslYYNtqQNVclDbZOMdDn
okjpRwT1lAMX073SiIVz2ZoXDurkeHitAs3E+3j2BUnsur7a8gVgZPsO4Ca3mZ4R5Q1vMWRffy+L
ji1goMjH8hSfPSeYyBgom/A0imvQhoVr0bpLEqKt6v8oZ/aSgNOKmXAJOXQYbDrpDhBewJInavqV
YGHJQixJhrec1+WUZz41wsKNI6+R6HopMumxyL330Fiz8wVvw2Az4Y5ECmUy9VMRnR/RUxyTSoBn
LLcrpXU0uYewVStWDrs0rf7piWJjjiTNLKEHQsD0M1atUZlwDB5GDM//VQsqHeNQCpXkhJt/Kvr8
dWFN9IILRzTslAaFAP5hpiRUHENNCyNuRXoOvHtaLVTxUFQPnbwXaWRQg9usvRZ7+OB3dfnVL29p
rGqsHey7Y/bPZRv9zDufL8Ofb5ktgxrWAdBXLAPfMmR7r/6SiT9cMGEU7ZaBb13bBz2cHzdu2NKQ
stWj3TCshEYLZkVkqMt09OoY1zwikFpdyfSS5chLUaK6lnNf0692WdGFg69LKhcmIHCk6OaJsYaG
fLAnqJcxa/hbzrQdsxK/GFLeFnDh/LWoCUpOwc3IvH1U+dSGC68r1DxSYDszytc2GB7zSruht/Yd
CqU1p31+XnghADlHsYdbwZjXleArKgowlLBiRdgXhfmuRDKoDtb3v1UJMTyIZZGajyR9hvdH188A
ln8+QONsG3V76wM3yQjQNsiGLbmHlWzi0i08vfQpX0wk8f9BWTmSZalgOeetT3KOdIL5mFNhvfJk
ReheQT8uwt0EHVtuqUSar6pS9yHNFSO3lRBE3eBQ8YCjUOj0lxgQDOPOLfPuF0h31njLmBezRwaN
EMkmSzQeO/VI8XZH50L8e4AVjV6PMdBeZIbSH8Qytq4xmR6yuLZrn3O/ZGSwV/SU/G6exntVCXua
AP2g/Gboo/cMRH/4ncJxfRWmffPLNcL6ivmwPvxrZz+VPf4EArPzWo9t1zFIaDL/C1VDEgGVH2Zi
dxiBj9hWmdg/X975BQdBlVuWCMzIUxlUyU6tOQN7OWrM1AI8HpYHJb/OowhuTYhLwAVhDuOGvqpn
QDa+qmCFmz6zSVl6kzGabzD1Isnh4+XvOQ/rdQqOAAnAY0/WRJtdqlY5hnEw4a9KqfpVVT2mlEvw
CKpDOPpv5iitRL/nvgm9GfKhqMW7DZM81d6Lcl2QG2DFCz1wb8PKgDm0HldM/uwQUziaHioTKbJB
5DvTqejrtAkVMPF4Em2k5noEWNYwh7+1nJmUmVsagMga2xAp7cCs0cTzADbJQNXMEFcc4FwfvBER
gsUr31RgX/4sZB2dYDcHVNyNi8oBpcOARH40t9AQ97bfaisRydkt/ikKFDDCK1554jzLmTBGFhjK
hPFd63eB9wF+wDXsS3vRj7Zh9NuAhU5gkMSQm6tMbP/SOD6Fczj0qaYv8aw/NQ5TChV6yBAOuyI4
LNrXiD7ly+a+uJRHImanTwZUQczGqnIabl7DlQ7iRKPr59vLYs4i87kq09PsaMuUlF2KG+SEcCb5
37qJtEF/rORNBF2hHzoxhLBevWIn8zv5P0LJhpCD4d33iW56JDQtLPAiq5paIfxnEzN2GjIsBcg3
GPYrVOBrombG32j6MHgqoqB+2vY9/SZDR2cQA0eG8ZdJ5P9oZdCUxyOdm3na0iOtori3Wk9jKZl8
S8KXOt2lLfgfxrcy+amZ3r9awz/SZvdB6UVgIIQo5kp3OuwLeXjF3L8daStvt7nfnWs1s3ViHWCU
BrQaILntfbqq89+WWF33/msLRPplc1zerT9KzawezsQCCHqUEuptEFt3kfGzdrv7as3sJ6s+Dn7n
Ss2sXk5h9JCDhknQIbA2hQd9gZvUj7XRvXly96UZugDIFnW8ifUQSoLLSi4Kn8IqlRqQrmsz4S05
bVo1Ea4FzUbIodd5F6orOMAYfH0CAtsLd5cFnl3ln+r+kTh3lqMG50vadJUT/aNu9Wt5q5pb7Wu+
HXbp1yK3ubv9vXijrdw7Z+Xhudjpjj06EB6wuZqZT2Jfsm3sb4SDu1Xvuhf1V7IHCITW/sYpf4fA
ya+cxEXniWvBvcBTTdh0KpgQndF4pvgcU76zJIYSYD82yjX1JtdxZkRHUmauRZDrgIkypISgTlX3
mgdFOSPMY7URy01OFx71yiK0gKdzrPb58pYuHpQj2bO8Y5oYbZALyPZq9WaIESIWt7Td7stAP1wW
tegAjkTNdjGJof7NPUSlQrcXEoZegDgqEtPJdMDCVO3bZXFrezfzon3u5k2cIk6yvufSY0Z1BZ7K
yzLWVm/6/SPD1JhuKf1hWj3me4L8MYFPz2DsYUXMoioGmVrKH7pJNvpUTFUrtQ+bIq4zZeJ/U+bv
vroSQS7f3+AAU92jIKXO0WKLGhoTUyYU0epXsmzXXZeXm278PgrVHY//bTvmb4xARmn2dHkNJ1d8
Zv1HgmeuOqhSfuZ02zFMUTFIl404EugiOxdOsDDfhrq2ki5YNMQjiTO/CYZ2MNDjzOUg0t3LlMcu
BLjUbR8lYPkTVVxZ2smuLyioz5LSpIR9v50u2BDIk7zx/mkZ6lqxkDUZM0eVwlFlJSEqgSC6IZx1
aXQQ15ooFq39z7rpMz81xLWmNhVCGrjkAtqrHchhtmBgEDNkazf4WTfUp9M3sXZKpZj+PAoqqgJw
WdJcDGUesnEfZOArfXcB9vOe6bkGUuxV1hh/fMh9Gpa/X7bJ5VfBkfDZwe66OgP5BeFqvI20G9rw
Pf0VCkK4OuP4yS+YXAAKdOW2WbzPLVmi/4+8IvWZ02M+FjkJenBPcJAAIoO2ZobBhkGuba7RhAnu
RQ6Cg5gIu3+j7JHcmbJ95Zs9UxLAzU9QBEEEy5TH0Piw7bMXY0IBGl5SvwHT4UWL1krvyyt9JHzm
25oqVoxxCuEZqLAF9S5Lvxja+wAQamBcN8a+AMMfWk7j8bLSi7Z8JHbmdQRv9Cy/RawgM3hjPhYN
U2RusZPWWlwWffeRoJmzoWu4K2sfQT4zyCDP2tAPQLpkrTiAFX0+3fvRTRTWWgjC7SSmp/uk6PpX
H/ZOgeliqVlrmVzbs8/fPxLmR6SpogJhofxbgt5BAcnpyvW4zQULrtmd2OxIubeckcubthwI0jEB
3xPdonRDn54QeL6BDfaIeOuSceTWdchebVQwA0zwUZUyO8gAW9IpcqWKIXP5KeAqxlNML2FsvQzK
rzxZq23+f5bizxfNfGJeJsI40IjltLCUgmXV3rexkxb+NdMmtsHIbcVwZr211gDqlenWOLtVjpZi
FrhVcJFpKWMIzlh8B7N0zwQyoK36vT6ApZsA3DOx2oSPdTJcMyME1ZR4pcHqqohPjDtcW5r7XOg/
O/N7Wslg/sqYiX/dGuDZdbK/rzPpVxWXW8+LplKNaLdVOo3OEpUWxtfLm7p4Gx8pMgsLZd2KmMRH
kbh9aOsrL3wvZMlWxY3XD1eXRS072D+bNXOwpZtD3jY9mAr5ppafKheQhPxRghWQN4XA1I/xfFng
8uH/I3DmWT1qULoK+pGTqzRNAU5YiZCT9f32sphVK5w70VTNlLadzkVyb4KZRhEZED5PdLryKopo
PmsgqrI7YGBXBE9WdmqFmijSs8t0BalUii+nBzK3qriWRQLgPLit3GDvqtc6Fs/zpQl/AkhtQE3a
prfk+0uq7W73siL/fIGRT9uwrouSRWvQTHFBb5VKmV6GXlHbMLqGwy4SbwCE3biA9QLx4BjZQwkr
RgxbaPVVE5RN7N+LQ7q7/CHnRnz6HbPrBLCQsvELvsNnhndHRoAGcbD0oFQp7xlmAoRKhlz4ssxF
3ZnQI8FEK4c0bwfqmAfzIk0hHLO+xFCuFUzQHC6LmD77bHvhRaCozwtbnDf8tWMlmfROkBvSc2do
vb2oZdvGpE9X8uWN5d5WPhOLl2UuqUV9iHa8zzaveacmo/0YlIpaPfhyDHInw87rf12WcR4uc4Mc
yZidy55RWdnzVB5UPuQqmE0Y/x+1mBlmMBSx20+bQ5NAS2J5+FLEb5eVmD5yvjnHSsxsriEzYAkC
Ioz0XoDPFipC3butq79OfJ6u1SyAocoMbQHHzOmLO6X/yLpXN3k0lZU8/PKOWLSNUMWdWj5PHUky
6J0HvBfGLDNN6O2iemXLl1frvwKM2SvMDQZzECME5MNTWe4T48V3n+TWXdn38yuG1aI/FrA9U6Jp
bHYte0agq9a0Wm7rARIBcgCOd8xd7QM0y/TV04ToY1Tz+nkE2Bv8J6gOVl4R8uJSWhJTaZSOqbfN
TG8M6SEcRjhXyl32pdi7V94PaHYrzUmutvELeICO/uVm/FCeIDt6o7ubUZbyFpyiy9YpLX8G7fZk
Jrkf5vN9SqGMupfDO63GG/m638Do9b1hjsa1k9sIdKCt9Qwe8WWhazLlUyuCN0v1C8uvp+tIb5/h
7Lr88xd9Ew3C/6vTbHcZZQ4lcH1ASlNugcbRrW9QQP7fREwqHsXWCXOE4E8jQje/CKAxm3ClVys1
ocWzYNFISlP/lPCZHbbWDECcDpEB/Lvjpf/wvIQhHWiu3WVdluTQJEWvJuDr06E41UWMmh4rj2qn
aUH5Bq28pRHEBKe/MRv5Zw/La7ZiAEv38NQST6KMEjcvhFOJvOgjpS6FyrHijJD2t6eLQPNi9UZr
a2r/elm/JXNjWIrZHKYWqbrO1tGylGJCgyBL0Gd7SI559axNYS4qRCqEMhCdDLRZnypkjGKoJDo3
sCT3oKtuQb22S0ijlHe1frqszee2zy8UWjRJPEzjsufbVYEWElc11n1lHeo3+U7Z9PDsvHVfIsf1
bfndvOp24xfd/pbe6ffDw3D/vXSGg3WgccyunWx7+XuWVvf4c2aHuQAWneZyPmfaxN4F72t4uSxB
ngzwksaz8wxStSK7NSKUnfbFvcv24gPNmgfjS3LdfBc27XV+p9sQ5qBlcptua3clvlo6IMcqzsy1
liuwIUTkqxlv1JgG+i8uMFQZD63Lmi4JkphvkDWOBW1rMzNKQ7UTMxVLBSfSaYqrBDI6UPsS9eqy
nEUHOTUsArlAHnnesdgbRTJUo0EW2f9htq1turE96Cu5m6UzQbH8v0JmhqH7hlDUkxAVp0LfXfcU
ty+8REA3rFb8yZINHouaGUjmuVI8gsDmmO6tboHgDxzx5RWbVn5ugscSZiYAsyxwSS0SOvUtCQ59
cE+sKOXfQONVw7esW3H9SxE9DplxOEavDNmaKVT3VZmFmsVrO3tOlcgWQLko/Q8/f1eNH0G6Yg6L
y3ckba6cCx0OOSHq88OhiH8K+Uomf3HxTGJGk6E7psUnSzm6LCMl8jqvxd1r7WvtMRXyJaL3T7e+
G+pbODhF9355sxbN+yi0mn7/SF7aikNiTqFV2KpbwGhAiAy3ibL2mlwTM53mIzElvC5JlyMmhqjZ
8mzcNThx/8K0jy/n2SkaC8UTmL2roQ19bXN6i79dXqsll3P882eWNkZSnrSgYTiAZebt7w50eWvY
t6uTfUveQOb5jyz6M0H/PV2sQZJChv2xAbHfgOVra/KhFa+ANeVBtOKul/blWNTMnAU/jVW3YF9y
hfTmGG0U/xV6+c3lhVuTMv3+0e7DBVZ7wPfUjileJ1LrWNGrDvncvxHCSKwu0S9L89OpkLGh8bS2
JlXkD7dw6F5zoGpdEbJoAvSl/a+Q2Qu19Ois8nyEBNCTjwAH6vDYRpFk+83zZXUWJRngotApTyuc
NVNHzsl2h9CCogiDkO592B9ckQlI57KYhSopTzredQrvO9rLP4tWR3sDuWkgB9QrnNZQnUIzXkLV
sFUFCGpLr2yoFyH40vaULnd6JbxdFj5Z1/ymOJY9sz5zqJWsc6kCywx2NgDkjZa08gpf8qdMGgAO
MWGyGPNo0/NHP8Veph4dD5fTpO1GBY52A7cybXCZBh86AOIb2YR9TO2alULpkuHzssJg4LhjrG52
kltDdo0x4LYwQiIHD6L53LwFaWvlgbxkKwoZBiZ0GL9UjGkRjvawiQVwaXpCah0y0jimXpBtao+R
rmJ3ecMW9fkjyJylHIoBLNV8it0VEYxY+Nvc+ilN8k4kyQEE3MphW7bNI3Gz1xYp+mxIMiIJHb6k
CHCYOBQPZs8lz2SKHQapU4N9aPT3TT6uxUlLYQWJSPhASURCYDnbOiWVXJBfTdIe5GFV62ue++C2
FLc+UGaq9FEDrHF5bZe8/vFDbybQgFxErdPJ62tdaYu17zmeFsA8BRxi2FI9LVZO39kAKn14dIfS
M8ywPRaqzNxyGNN/WHVt7eCB3gROejSkG71XYadz93FCuNbU4MQF4raIf9ETshEz6AYva724x1DT
8w1kycirzPxc7EpjodIp7oRRcw2k2xVM21BPNGD6wtkXeyCGPYQ+VLn+x2XJS7Z8LHjmyinGF6R4
ENwDsdgEh1Qo7LpfCReXTiZgA8wlkv6lrDBbYrA5ywiqg9oRjP3o7sVwb+o/tXFtJyfbmDtSugrg
aoDzF5yVmZio6VQVuEkiE+8BOjong6EPBpFDK1VXbVQfAm140vPvkVQ6zEk6EiQhcuqvtEMu6gpC
hEKLp0j/6swLCQLkfnTM1k5XTxja2xBI/KTcQnl5eeOWTqbxR84879mnYmXSYYPFpOFXJQi3hZT/
GF1xA++dnRcfQ7DWrrd0iYBUIoKLNcFGWTPN1DGJWyDKa8cNFBCFlTE5lBnvwLB3HxQlu+th0nTk
THAdWZKzlWVd8gt0cTNIS12IhuqZX4A9rwrLIeNFr/0Mu4c2+TV2Tl/t+rVxoKV1NUELoG2c1lVl
/qIOQHb3Ipmnu26+5tVVGH6vgvco/96I7+7Xy1u4UN6jEV5lbIMJGoVQbKZU2KXNgJtjRUkpgx0/
UNOCAMW/l7SdKe1MsNpy+VVee5oupnCP5c4ijj6KFHguKlyeuvvonUfhACK6+eOr8GKCbF5ty5cV
L7O4e4xXYrAg1VLQO72a9TGmGiM3hL5AjpnaLYN1ivSPGH7z+xU7WTp+zCT/V9LMn8Val5mQnRAw
MkhuyXYuwtkGfPNKQLXQxcTWHcmZHQbmxRQoHpCT1nTKSofWBkTqWnlkQIPJwIfCdbTny9ayotnn
FXIU3sAd+P/WMCAjUrtAqb9m0K5ZyZpVLm4WTy4Qy0wZTIZZvDFWRtaqWU/yaq870kF63jEHC3nL
vfTDexqdcF885Dwu7fH7ZQWXriKyk/+VK58aSR27Qp2ZHVZZ/fTaK2BqPWt3WYQ8/Yz5FXEsY3bi
WjGGs0BABjOLsi2/FNfupr8yr6qN+5Q9Sx14aIoj2trG+yd2bmiad9Y6+tZWd3b2QK8WFAbXameU
5YdoFHd5Mjo6DR2jCVFFeXVZ4bk34yKckAVlUtbAzxHonK6plseDUgQgsyfFz4BYPzQ/imDqLfkS
hleGvHIq5rp9SuOpLjIPxjtzbqKAOiiAltcM6JnjQVHcR8Bzyda3dyrjzcroOpeVm5+ISRwjIpOd
wrnOv50qJ+rw8UqVZQImMz09t5rS7YwR4uy15+HcMiVzgrIjTgQGZUIzm7kvwArdzAM33lbbf4JM
hIfG2AlKtnLAz1cPKXT7Q91J3uvsDRrl0Ij2AQFvXknvdZ7uXeg3e8GAJqzsCFcqc395/ZbUUpjd
BOOFS5Vjcbp+Y5MOTGjALmmQM8wh1wwMR9LXFu+suWvCJDSIGSYkOBUwnllYFst9mWRC7Ds3b4kd
2Z4NSsn7q7N1HldyoGf3GpIAuKOmYkAnoiDrVCGf570LAC5RyL7cgJey399Wm9gGyuTywn2uzLEb
mQuaWV6nyFPGAIJ3Uu2fYJO0VIMbqG8V/k1Byel/Cf+9eXvb3Fnbu/udfdVPiu8f3lX7VrWLjbbN
t9r23X6AaM8GmNV+3W+fnMPjx8dNZK98L3pf+tzZDkCRFnklfZHE323oBE0a7FMphyzbi74aWiet
ZG/PDXnaBpOHvq6DVaTM7mAA6mWpA6PaCZv+Gsz+nVjQPA8vdt/XO2ZUV7b93IzBSgOVQwGtCCgS
eSYub+SUnl4/cKAEua4KEaa/obvJZWElvzBd6eer+EetmRfgejJqs0At33RtxX2D62MbVQzYNv1B
ofFT12LJ1v21sPtMPWqQE7jZ1BxJpHiW0aOdRTH7IqL1i4uCbist0m1TWekGWZJisW06KUNwaJVZ
PCO7vlV2NbjTXXWrTSS5YwRR28q5mY7FyQpOOKgq72wJcAMVCLDT81lERS4qKfGY0TQHDUoOXOHh
sqkv6IEKOraAt2amYuYCmtFrlLhEj9FtX6A63FXgmYmx8fc2x/XGK4GcCN1p8wEi1dV4OU+jsiF1
fA0avEa8jdYagc4v7+kO/SNkFhDBoDgMMSgETh+wZpIHK1AVO2rH/c1Mf+z+9vvy6fLynT1J8Gyg
UTPSjBtVpxTy6RYxNNTB1NEHoGsEj34n71R60/tSfJck77GPWqh0xFcYbEDkKjaBGq1YyJnrYNaT
JnnylAxwk4+ZmWEDE3PcTry4ndiSiOiMdys1tH8KpZEcCSzOTVykw7fLOi+YDAdretXSeDzZ/qnK
fTclePQscMpQLra6lkUHxsaDrdetdnPLU2pwdgKmMAxpDECcJ5v80GTUrpICErE7SOZthki26fji
xu2hil6auIcr6BZqxBs/npbaSSCE6Pd6Eu7ySLwSmi+l+8swrrRuJU48ay6iy5IiC9OGYLFp/PNs
EcZy6KJC1QNnTEGfA8gpJIqy0oqHqSfpyV00ZIHuQM4CR1Qg6E19yDJZe/BjWdiKQdm4hyQwPf+6
5GYYKGy5ygY+D/mxgzyk3ZTtkEOdLPTCjSkGqepIEcxADmTZvceoWKG8NUYAzQUgrGGzuby95yaN
A51gYyRRBImAA3W6v6XmwvaZ0i4bwtIEl6zkO6N+JaZOO+4MOd0UTW5b5dZPVwQv2BVyVQAvRAMc
5HnNfCz81BVy6EwgsHSUSNtklbDxDGl7Wb+zZge2brobKCEQC0uEw6f66VVvaUmZMr5Pb4yX+wBe
PFrmN7XcRhBv0ldSB9vCvVa8fZu9MHrcm090zvrtP3l+o040Gdu+uaeT9/JnLfh64nIAoKdDBWbm
bNVhnCy0AD4oCAvpHrZsCbd1WcJZ0vRT8SMR0yccvYibvgCTqEJE/h6qQDU5cEC318Nb97P/voZw
tOCYNOCasB+YwMgwznyxNRZ9EWfIMmE2H+Bhqu5rWWUgd1OtIS8u2Q2AD1PjM28O4LxP1fIMxnQg
GOUK8/ID7IEbuoGvzExcWb6z1xM/npgJPBrMkzv5LJyR214Qy9DJwaO6LQpz3OSdmzvi2IoHKfDW
xkQX5YEoyYUGitvZ5R+VI3lYHRYNy4+v5fq7F8g7j9hQXXmELiwfQNtAcDI8zUUyj5eCGIY8L6jQ
ayi+cGO9126x9wTz+bL1LakzoUXyepomK+fVJvzg6BM6A4AQ/pC0j7bd6cpH7r/9GylTFzgh4ERH
dWoLQSBKfhPIoeOJV/X4MWJ8Xv8QtB+XxSytGa7KAOKWNy5BzamYMK4Jbl0rIJkcNHsh0JLrpFAD
KvtBmK1UA5f81Sf4MNE6T/fzggv4i5kRRKEj+5340ieG1dqpH0qP/SDC+TNAOSTboiCLP6u0M3Yp
nDPfYthJbxNooYwH+LjzBN/NS3kPlK0IB41YuR+VW/bPo+/F74ZRaQfDTGFFGlrT+K4yxPjP368X
ME4ioQrZaEaWTteraLinOtENnEYdNq4PN5qVHSzX2lwWs2Rjx2Jm8XIquxGpY8TAngI3/MGrRUeL
Ilh9X/6FIJUmbUpQ+Gtp5gsstZDzUSXebxIDTPC0V1WGhaPiK0kb5X3UfQKDyxIXLI5yPrkU/A+o
r/NALxcTaTDzIIZsLboSIG5SIY9262B/WcxZCD1B23D94LlRD493ulFKKbtqXfux46olDHnQ/gIY
cz1YDRTCQOrkRb1pmt//RiYz3VBr8Byd3/u1W7qDZyDTCkCHbDHbq1x6pFRiK8kDGdvL0hYuJt2c
cJ+AVdYmmLRTDcF+1PRMiWIH1JEbkSAxaY2N3vwOavDsjXZ3WdrStpFZITo3acawzl5wrgkRjwb3
lTea16IG2JKpbeVqxUUs2D0t7hIZHNCceF3NdGo0GH8tAQ5aMdP3UxIhTHK7g93XTruV22Jh+bB3
nr00+uJj5wZSWaGCQ2GaCTArSFbFVrjDifzs06qGxFFMtx2gbSv5kQX1/gPtDnYWFd/PgPUobhFc
UyhACYZPqlNuw6JzElGA8SU5uF2ykrNYEzULW8xRCUkdkPiNspccHlsoxCBOe/PVFU+1YBcnKs3O
WSCKtaakyIGNa+NV1daog0Mzqn/vNXikTF3T5Cp4H878lBiIpVpCJcfKmZtGKumqpRQRlCtWrnJm
Zq80cKoA1oYqCccxx2VQWnopw2YiGA5fO73kgf/018dowrKlu3ECtDubgQfCIvL1rIkc3e84qcku
U0IbGrK/N+4JW5s2fW5ZQNFm94eoVaYv6B75lji7BcEO8E/xukk/gNKF+3T4+805ObWTLR6ZdaBC
Q2rpnFqltJ7jMldiO9fGYVPqQ/nj8votbBCicA90+fDwmU/UB20W4D8QpRXClTkY94O0Rsu0JmKm
zaD5rZe7iCjz3vo6emVIWtHzvl5WZOF8nigyM2gfvApptJBidoI94ntUKhhfFfpfLstZcHPImcD3
gWuWmGs43ZuuNMQxhZjLCQr1aUK5ZWD2MMr+thiiO0Uw1/I4S/fukbx5d8JgKn7suRl3YA6vZFX6
mZO1nmF7cvHddc2dF3h7P4tWzu2iVF0iUmZulE51ZaZl7GmVFxSxM2bxNXWhPP4lQwAExVmiSAyn
rIhbeoASvPyRN9nQkcXLXWpUQoE8r5WdoRxsodJsBriAhnrqtPuEPLE2bK1we3kzz1qWeBmeyJ3d
j6qUe6LoI1eCWx4+erV4HJTnTt3XaAtWa1YNYD5ACF5d6WvphkVLOtJ5di50V0jgu0U2VSUsR9ds
sRcehti7kzRqwlry94npE11nJ0TtLS7+bNJVvvWkxC4qf6fD5Xp5SRfP4ZFWk2Ud7eSYh15TTpYz
WNa21+ofXdXAVQb0QR6Mm8uyzgti0/aRYaWxnRQJmPenwuI69tpKJZVba0zK+Q1l5sJ4T6dcX+A+
g4rS2OpwmwI9pIhXorb3w39cXXda763NVvzPgikRPIL8xRwSHSj0+Z1+i2hCkhu7nWZ3paV8TUdJ
nKon2k2vjSWtk1ZtN9kYO5Erc4ukib9tGrexwybs4NgMzH+z2aalTrVqIOXn2DCtLNVGk9M41QfV
r8SENruB8zc2vZWLcXG7j+TMjFgBfZJUMzsgyBJgSDJwcvDRjz+Cf1Xy4CSQjCDHQtPUzCV5BZFe
3jccF2GwbCWzYE23shXvvhB98ZaC806DAWABJ1kR+0T0uxjgTmoqXn6rxe5tU5svlw13adV40lhU
JKi202h3aitG3go+1XysIdTTZ10c4qvS9Zpbn3GUFy2JXi+LW0rc6hbJNglTmIAkZrbptwElkAAY
uFiINkBIkAbJ2u86j7nhuhFiuzDu4m5TubvLcqcfO4v+0JEjSnrMYIhydjyzLoW32RO5K4Xg1qxz
dR9Vg2iLgFk9mPW1H7/0TVbaxiri9vSDTwUzii+RpJZJKfCimwkurHEAMa7RbK+ySEmPtXEr+P2b
UCnyNiLTbieN+SpA8vBad/mwqUMgQaoo+Oopyo9O8l4Us4y+CPow7iPY76DKpo5weWnOgyK+j5UB
+JfbnTbAUwuIBbESJoIxu1Ce6/y1S98u//zzC/z058/ccJpUvpr4EnlVaR8JL4b83MePcbLXTPDy
1uBuzk/NqbCZealhqo456TDbjTei59sxhM1ABq40pC15WDAG+cULfcJznK2ZXNUtBS9yxbKq2qoB
1tIPRfkmpL1daLeR/K3obqp2J7p3crTaerGwX1OOV4Zbhzwyib3T/UqNNosLpdZsWfouRZuYbs2i
3Roq8LcODTNl1Tma1m2t7psbVTvXulutK39ybs6Mmk+gzWTiEqIpYKa+oGeQNrcYNVzDWynfREAX
FcF1rUJWAd+KcN/4kd2GHGMdJALJSbNdL2/HZiuMm059kHOn8g8FEfjg2pHcOXW4b6F87Z86yNnF
icw2YmDD33Wm6gyuC/HSk1oehvR/SLuyJbdxZPtFjOBO4hVcJFVJtbo2vzDsKhf3fefX34PqubYE
cYRoj9vt8YxjnMSSiUTi5DkxnUB6WrQ/IGLlptKhq77n+q+2eST2rU42ySxvQiBfUGDM8sfeuioK
0SVvJT1kIeTP0LndHMdWsBQZhg6hYjcCGeKEK1g400iHDKirgWxtTh6MXgSLWnGiE7PcoifTJEnZ
CLPD7PcAyQKboj+iBofNFu5RYhOkTufh8mSUX4RGx6nTOKZ2G8JcORfQi56pnF2l00S7ATjgiJrz
h2yLtEVXXPd4iPzze1x1gykVgwGZctMJq4Wq4HmPFxEN5BlcEEovsGPhwoQrNNPUOfWfYJ4h2t7D
zrxMDpj4IJz4WGS/iHGl9PeWJdGUuGgXq+aXsUldU/FV7QNlCzoaJlXzEbxnhFbaYZw2rYyeTElE
U/t15J57158P5G4gQQ5dnFLB5BuA73f2VYKOpULPYQ4+bwGa8iubFdpkqmeFd0v8vaygN5DTTi7c
YgKnV1xQmdxDOgaaLrf2ENLGulFbU1AuP+OX/ZrHoyyTCwKoQ8rz3GIew0V1JQutb09xtKsB1AIe
KSHg+rIeAD2OUEkn9QveY/vpA7rv3uXTZXXXHH0F549qHUxWGuArZCiV6MFHDdiguPF3Jb3HpkGX
PbGhVADVJ36wMlmqQpkMmtX3uepHzU7TMxrFObWI25NXq3yTMeG4GePfH8ZUejJ5GxvgR75dHu9X
bD3bHUdfwg0YAjaaprX4khZkJUm97QHHLNL62lavSICkt3EVjeXAt3L7IMt+uNxM85MugZkv2fZ4
gEySmar9VYP369b2cgPNBrFG0aADialXy4xx16w2l795Jeljs6dDytGE1hLes09dTkqz0SLjbADU
+RqoG8t6k7SINq2+mYAbCIbF6YAngKyFImrCWd0eWDKmLA4hbv6kCu3BLId4MWifjYDjd23p5tLw
oXd4M788yPNEmo3xjyVuXUI7CHStgSW8+OFiAFGZyO+MaWeCrPB/s8SdBWqORQtSWAo12Q1wVC4F
niGyO70XJM1fKLvzvfZ7TPwxoBe1bc0Rwk4MZkcb6u8qfptdVf3i5vF9LyWeitgUKs4i3SjyRtWu
wvhaJ0hDnjPyqlXPlr3gv3wf5wPK7lBsvC1I7iS1V6rPSDVncn95ZtZjEqsgMhIsCKaxRTo6t0wt
C/BSiA82peBmisAP0Vj3oWLhWj5pfqrq/iQvqORYbk7I9zR4bxoJ2FyQoS1kcMtOpHG2vvOPPoiL
G0uk1xMgtAYtzMUv58pR5I5GBFxcqkOkChWd61a+GzuTWrF7eTJWtj4gJEwoBvOBFlhum+RqLo1x
jkBRdBHqVdIhGDKvy0Rt/WtDZP2nePJjEMAziLPUphDUsBCBJ0NC42kItvhkhhZ1PnfAzAat5OP/
G2wCaMmBehlHWp7OeBwe7OxvBswAT6jBIEzzL0xBDUWsIkGUgTjLLrNGP14Kr+xEIJhzRDJyfhQz
ftvhEohMC2a07cFO0rQ/plBzS6I8a53pqlPpkNJ4DMJxZ8vpnsgDKIqje3NUbmNd940hFTyqrU/+
0bdwuUKfkgzabljknhU7jA3oNGXzUEIHm4S32ug0cn5lGfs+F3ga+3u5yGBAaBiWEfJYY+6po2V4
6lBiZjdNrkwldEgneA1YH9mRBS6eKoM+x3KBWc7JTWi9TNquzbfp+KJN93l5BfSaru7HUrCF1tL7
k3FxToO3+TDSbYzLsJ6U5SWQ0C4qX0nFXRN/Zh1QFMC2/Ptnc+wntBaqOKMs9gR7OpdGh1srBCsM
qpvwi0Df5lJHy4IILq1sws6W7MgMN6GNDPZzi5mZwtypxg00U4LC06aHUjOBfhJUFc6aqZAqnYyK
m0lk2WonVTil0vJOyX0pOQA0Hoe/soig0uDlBU5Gpyw+0DsElS5BxrEa+36PFe2pp1OaJXmmdBnC
rtZG3kjk2wG9jENmC7xAZEY5NbNkKWpcGcZYGQ9td5uYr4uon3DV0Y5GwqVOZSxHcj9h1dJFovJY
O4P08BfnxJEFLpylZSdDbBgW+ijaaBMul1N4RcrWu2yG7WJ++wGVBqwdlL4YFvl0rsIaEqJorkXe
2mheXCcgrT4odQdg47VkinBwa1kycgCGNECRBL1SbOWOEoFQtyujTbAy6Ace5k8jUrdFt63LCW1Z
CQ7gW3npnXpCTmJlUG7byFa7sadH0m9744PoN7L2UVofYCDV1TvSFW5blq4+XkvWD9tsnLRTBTnd
Wrg7+WAucykTvHxWbCslqdreqsmMCkjZvWsEInL4A5Dw1Xn8HIZJcR3NS+xIo3xrR72QmICtNrdM
iEGMJg23Y2BQuWWy+lIJ9EgxaDdVuRfZpHZVrZH3SgBR1sEICYVOw+joJHmMsjx3zHFBx0xsqDjq
AWRTLJEDrIVkNJmhwxToaoBTvmbuaCklLFpjdWDVWbI3kqGPr3gNU4hQ1E+mvasnMFBYj5Iu/fvt
erIe3DygxIb7bYn1iGqUQFSzAzdd3Q+7NMejMSAlFQ27RKTtyWLi2eQf7VouRIe5asedBKP54hUo
oY3FTJu48IAPA0evTmXtybZErHXrWw+58lc1T4U6/amvoC1UK8wJnsnYGdqrJLMRZIDodO2bzLot
5uZTN/OHxpR2lyPCWhUVe+23YZ5zIxy0LMMss0v1t358U9TPkMhuZX8rm12XoFdlua+s67qfaC8S
OFqJ3CfbnJvpSO1bFDBh2oT8Zz68jWiNGQpBZF1BRdonVviZNc16CGZYSXDEDmm7iednqFDitHU1
+0djg5m3oKiRWmWHPeUsaeQu4O4u58cq6dw09svuVSWolIKRR8iswA6ns832BSBg8ouEr7e1RVHl
1QxPL/unab7OtJ2W+QPaXqZlG87AXl7nupOKWMbWym+YE4Yj+Mcsd6ClC/pcSIGL5EhQTEy9FHEl
zmKvQ+tQ07qggXDK4MeQbJSogfIgXoMsB+hROoebTHrIVVe1nCBzEpQhO/u6FX3fSpbEdMoBHkPJ
AMcV7/dQ5qsjCbMCLnA3mUGB1A2U9HeBtWvTt3kRbBFFZI/biFIZZmXcYjqSeNqihqPEI40Uv6p2
mXQVV0+D/WgYh27cRlPPJBdmMAEm4a8EHK3KvVkJhXLZ9J/tiqPxc1vWXEzQWCVseYzXol92Tbb4
CkJeHz+pkpP2z7OuopjyrZ7xRYKY+19C/e/J5xEmTO5mAgmHgapqh5xqnwWVbwaHAA9fOa5P1QeJ
oEIsqHLwoQCEnehtBqYRxwuTKWB/fnS+lKptD5EWgWgeBNaBWTuG9tKlosYRfp15K9z5njWFLqcT
rMjJe6t4be/W0buRenMKuh8RL+1ZSOetcbvYkNCeC0F1KGZAjG62HKO7ky3IwPRu37pR6fZG5Vvd
cxyKiteiyeS2s9rXsmQA1Ol0/UZNrqfs1xSJUFyiqeS2aKfNpZLXsEFUOi6vY76DPpWNu0xjqf5i
CoCd7G87dghuKr+6v462hzE3cT+whcttT+o9qLfJxYcUJLtFBdUouZ6kzeVj8ezU4C1yt4rKhqRX
3GDxsh2omNQriERX++6aeBmND60P7l/NeZj9J3CdXo0Uj3CCSzB/5eDtcxHaIEsQAcuIzZN2XmhZ
DkQNLw+Rbb/zOTXwQmqZOnBd3JVj6CWAHtQETJ3lcx/tLHLd1c9R5lmaYCgiQ2yox4s3IXvMAxiq
Zr+OPhb5qsCbz+j2pogCgvnvpSFxUcQcgGiadFiSy/dypKblIIOkpYgyZ31toBsLmCk07XkU65yg
xSgzU6i54J0jB8TPFrHCrnvXHwucB89ypC62yfgklITOcU3HuHQCS98PpUQBxnPb0RLUer4aUM8n
749NzqNtI4pILcNmXNQvqWqVeIsoajyhZPnWaisQlRDkxijsJen8Fvd67qRtXl+bmSWNtIgl7afa
L+17P5XSvkH5Zi+PU/VdR4/AwyAl+gGvtqgy2GSItzn0i9ykMhu0CHb2Z4aOj+ce8ls/weQDZp56
0t0ZTDp4RuskNPybYYgODSvwc2ChS2pXJD1YQzgcUEkJd7FsTs9J1x3ajt2A5lKf3Jpo8ftgz9XO
TomxBfWt/gs6feiMGdO8dkzJ8BJtepQrK9+ktfGoTRLZ6ui79BopvitJLEqzV30AfS3wM4NYgKef
+oAENYsG7fSQ3VDe9BqtODG0biBwsp8s77Jbn53fX5HjyBT7lCN3M5uR2JKUIzIn6s6UcNG2txV5
k3RoQ1vXaVRRWfcy07lsdi1CA4XB2rYZlRTPFVD3YyIVOnwChFJIITMfjaHOWPa7xig2EZ695hwd
fZ38ctns2rxC9BVwb0a3ofNdBgUQt/1sZ6DRa+Hs1v1gJCk2SPszAeZCVkR8D2sn67E5LpQFkWVI
8gRzqXw/Zq3X2k9J929hBmwBj41wUcxqbLKUA4yE5S+0bcWAaGX3daPQrLxWA1MQnc8ugF/mcARA
jYa1uvIccnG2jABiV2BBTAHVCX6MgPc2xNWAChm/9fA/NGwQ3IHJDDlP5efl9VudULCCMetgFuBR
fJmkV4nNlNQs9QOoficGBKsWRLa1YArWkt82uEWrc9AIpBOEGtNIBZZhM4Kf00qQQbyp/YdQKmB9
ROheRIs/4OD8Rd7W0jI0Rnh6oWlUhsKV/nMySkE+tHYCfYnt/WOEv7Snoy7rUloiXS7b56gw/KIh
3t+szO9x8GRVZrVIRS9hHG0VowQFOfYZ1G2i/sj/kiT/PnX4kczBYjVmi1OnCD2p2ujTQvOkR/r/
WoOCS9ov5ZMFpDeUy/798NgB/p8znB9eMUeK2pdIFYpgoQrQnQFCYmrR/80Kl8VJVlYsZYqoWM+e
YfR4Zfej4NdlG+tTqMF/gB+Ej/DY3rAmelrMMNInj+GykcenxdikuJoH4SaPfan92URPuNFeNrvm
VWgg+22VO9F0SS1b0IGwyPsjrp9jBcyFw7U07LT0MTVE3NtrXnVsjTvUMisGpkGDNUl6iyHlAAKJ
RXhy8sWYf07OP0Pisy5IeoQBgZGkug/6W5XcTDLwCuXVHLltiOoQCHYBeaskwV5cO8SgSvU7OWCD
PzqxqwjcHEuHE9tqgs0yTU4eRzf9GN401vwDepJ/kfijlIuWFca0p/EBn2gdiWM8mzqD8tyljmqC
uWhJXBTrqTWI3oPXtsmxMW6baJ22qGUKY2R4DMw7BYi10fhpZ6ULbuSo+5cwd7aCmEf0qSAVQMzn
bm1BX1RWoEDWTVOrTWg1oNA0vCIVHFrsm/lM+dgK59WJnBiALOPQKslNkHa4Z2xS9S7JBGbWUqpj
M9wFrR+nBULoMBMuxTbr9E079LTRbDCWoPqDEnQx3cpKJ8gH1jzt2Cp3WpI0CMkIjI4Tqm+k/1S7
K5V8uxw6RPPH7ffYIlqLhgQErG6C2gWZI1rZ6htgSNet8nDZ1upwwFhrsFonENRc4CisLO8GfYBa
BHYCuNquRt14a9CAf9nM6pAIyDjYkY/GWs5M1ZXJDAQ/dBVwdQMRCLnrK/1TC6FyM02by7ZWwgVe
CUDFhEMefKo8xKJJYr0u0qZxDHt7qzaVMw43Wix6hFpJMU6scI5bzHqJF6i2cbJmWy0dbURp2cr2
hgGUd0GRB3ZmPnWfzTme0wAGjLR188Sii6L7Zf9taYAjDKT3CAIOrS3iF12JR2gEUMFqCOYvtAtx
C0WCyNTCpmuc2kLWJAd0MvV7C9wuSbHv9pWR3F9erJWNcWKPP1NCQ7FBv9mgCAh+b5q05TbLd4uQ
2+QMEIPQd2KIu74XkWlmbQRDSr2r9J0BeQIT/RVeSp6BwlFRvM/S7ZRsjKWnXW/jErgIfGDF1Y6/
gC8c42JkjJWKL5jnQwa4smpv02J7eTrXbrcnRrgIn4c9bkds/VJp9oIpd/SE0Hhq9y1AbamVeD2i
SaSMjyWuPIIB/hfjxFZAsqKCg4fziXSxlnlU+8bRkDSCzgp0nH4Wg9n/sYXeBF4n8BZOE5Ew3Kqj
kD9WuS0LpiN1lK2hcazeV0K3UMFH1PoyuFdKWuWpD8KPy5O8vpB/DHJ7dgy0AiK9GGbTHmr7lkx4
pBdcYFanEjwECqOtRCc4j+WddSuowmrEdpXj7mYi0eTK9Rx4gaLl7kSKimqm2lMSqZDR1Re83EGx
9S/GCWQL4HngBkWPIncO5WY3S+mIdrwQ19sgVB11uYlEzUdr0frYCLdnpAydScswN9A4Dp0pfc3U
jRy4BMLAzebysn2RiXB5Cfhs/oyH2yidTJomyDAec/JCNH1U97HxElWPU7chEx6yKy9LD1H2U5M3
S79FV9uioVsdb3lvlz9kLeYdfwe3f7oY3VhZg++QcuA6tedCnqGLhj58IhI1WNupaAHCLdgAX8yZ
OFOKZyMjqlWMWDOcGVQueB6rSv/ycJTV8RxZ4VKiiFRRpmewkhgQCmjdaf4JpZlBvo4gFmlcD1bu
B+o+Tg+K5Uz9m5F+BstPdNNe/gw2a2ere/QV3G4Fz5s8dqBmcLTYs2YsZ+n0NSAikUXNBnXL7m+8
gwkFKzqUEzRe2gSNtkEmWYzSfyGVm7UG3ncs9YfRGaJbsraWawC2DcoimIGeHnd2ZUkdpVWECQa+
xK29yQVAic7ggE1v8NC6W2jtjV581Sc0+0QLkh/vk5dflZffqjexq2xwmL1kTrSXt/+2HYYdqkcf
xmOvUUsF8GHEh9X2YwpFP23ZpSKC0LUAoUIMGnEQxIXoxjy9/S3aOGdZoTVO3jzXMmJEsu3mK2Px
FFX0sLw2z8em2EY/umjGM1GmRcNwutaT8W6RqqJnQZEFLgTldZeN6QILZT7TVqlpKnpNWj05jgfB
RRd0YeWxPsBEnOyM5jrSvTH/EcnbRPd66Spo94qI+n4tyqiqjAdqUJfYqJSeTlvfFPmcKGwX6L5s
e3W8JyITXy+YvHdDFQE3coL2dTBmntoA3As3B1DmOMCYXbV+uyHEbd/jzcvsQgOW5m7gBBQvkblF
223pSYLzeC3EHZvndoZU5gb6mdikVo0jI04jM7ag1LL8jR3k+lA/R9MX9vvpMG1zlJM2xjDn6TY2
XT35aZa3hvp4OVSuLtiRFS5gy6o0MqY8BOxERhfCFrK6TitqzDgD17LgoKEzHAAVsEPh96djGdWs
Z22gKG3Y+Y0kbxr05tnPQfjcL1QzyuuU3OWwr9s+dBCJyNPWzKtoZWZ03LhCqXytI5vNMFLKGepW
020LnMxk3VvRizG9q8U3aM1Ei9uaV+Cg7LVbVSSGtuLmrHwERCBwIiCb4zyitXD/BHN8C2i79GFX
NZiJjEGQba/ZUNFUZqBVHFxtOpfp9yl0NGaIhDl1BaCfMhu+YaWC29nKmQoYLEr1SB3w+sCjvuVR
MdNmiDqob9p0ib1l0Wljf/ax104NjUW8JitedmKOC10mtN/leIE5aQQnm2SD5mOizYCc3pi2l13g
62jiAooKejYQKYLGx0Tp43R3RtDRbqAmCbmcq5Kii9cJ3JIaEU3d/qrcoDtwoaX303ZrajwMTkQt
B43t7nvupnsm1GC9ibif1ub66IP4s1QimT4uOj4IoF81/jVbkYuQHTUZhSBF1cwCJoq1CzEmAAKu
IP0H6QX/tDSERqlbBewpCiVUQhMIyHed9/Y12pKUvo05LS1QcgiyJo15/fm8/zHLxR61GVCebGH2
OfcmmYY17TfoSKHBTr+L98uW+MM1GpYp8ch3lOhz+oPsfrTbAKKVNPTbnzfl4nb+7ATe5Q2xlsVi
Pix0COHqCrlizp/CLoaCU4APC54kv9qHbvfe19R2g33oKWBKga45cpCdiABmzY2Pzaqn+zAIM0lZ
NJgNW40qGnTqXi4P7KxVF8t7MjAuDmvyaAy1BQvT++BqW92Lb8qb5LV9ip3g0UANmIaP+muFdBJw
BPcq8lL6+T9+ArfoeZUaYRbmnTM7Le297qey193y6S4/vL9VB+gbvgQOVlpybSigzNe2YNOtoZVO
poDLHogK9UHCJlnaHqbb/BPwza1hbu3d+yskmgHzL6j0Hb3qj2Rj3c/04/Lw1y6eJ+a57GFqgCPS
YwzfuL21HXMz/FTciYIz+f5dcSqn8zSnmaiouWXllIfqGRpZsfw4jfgIR9IqhsQLE0sPvLbywauO
6jgYbkzwQTtyd5DCKzwdyoljQ/nmexx5k+ghYPUMZuw+JusbAtkEN+9zZVWmNWLelw6Xa62jKVgv
EJQdvd5o2q4kt3ZLwx4ooeJmsW8q0f137UABjQuEGdFgYcn8GSlN6lLqPeyDWMhO0F28K0iIevDz
5QUWmeF8eESTgtrKWN8AxC1LXe5VxXyXmuhB6QJBg9RZ08iXNwOZDH42NKjoMhemoiLqFIPtJXIb
OJ0bbYJ728t20zf7m7LRtsP19CAdis9H4wNZh4+jxG9dKPk57YvIq9Yj5tGncMNuktYaQwmzm85w
2wF3YFxNEz930Dgzgf7BUemwkf3lytpdnu+1Ow7LecAwooCxH8WL06A5zYoMshYI7pEOhGPWtAE5
jNM1WNopX9DxPt+iwPqj6zRQhI6CYLIWsFEahyAPXAtUb1xul0mNVoO8roPyOUC/vwZRL8ma25qQ
E2F8NzIuU9zfL88GGUN2QKrRPE/gVS+t0J+UMEMvfB7W3uWpZH8bdxxDdwH5HarGCkq+3EyCKywq
LBlvujkT95LIY93YTmxk1I6/D5WIYZwlVZescYGwCZQGFOMMe1WETpEd8sYJAsstzYcU8sppe9A1
wVZZt4jCC5Dy7OWaGx8wO3qRtgh4Vpx5bYN7ov6SQBSqz7XHsf/MgtAZUtGj2lpuxdSUkFvisRV4
L+7ITfRk6EwD4BClc1oDxBYhVdWCghlfHndqBooZyGlIeDT/YfQlbdJdrQny25V1VY93EZdKJ2Hd
zvWEXZR13a5oTL9rNW+2B7RB6XSO3i7volWfwJYF2hO0ooB8nvpjaynh2I8QSbS7GNDEdj/JmeBm
vDanKhqmmUgMqnyojJ/aCBOoasoaVCDLcqYg4qRgiIZ8gu2lQXk9FMVVMIZoPoi3VgMSgBZ9m0qG
IrLmqIaoMUddC/jAtkIfmmn+nr3NqUMeakMP/cRCsr1qgmIdQSfKnG2mYNoqmeoXReZb46NSmuDY
1TZZP+8KVaG1XdHGSPboBnQiqdz1oMnpg+9J8SPFY6XRg1M2zQ5zbIPBBXq+IPEVBK/VyIl+Q9x7
NAPE1HwdJdXVSAplfLlSv1rjXiFU7d4qe9NHd0ZFp+LaRO//5c2xhqBjRFC/bXJebwZGI8stbIaM
/hWog0KTnHCEzr3ky+XtRA4KVJNJD3Si3/9FWfjEOLdtoixQp2SG8X6UnroWneD2t1bpvCTL6QRK
KH3+KRjumusdD5d3vcI22qljw62AtUSNLyreUhSkTd01Q5OOtas1WxkMj5qOsktHM3kTS4iGv8b5
2iK/BF/DQg0Xck/GzwLkUU0T72JZKE/4GgudgGTafyGGDdAAeEuQelZwVxevMkiMivQFMsOS/Siw
zwvPsHzFQvEWnOS6jsd4LhQaEL2t0cmG+Ve/Nchy9egZ1RdV3Rkm+lp9kgJrKHqbX7tKH9vkrht6
rCjVpENZuc0eo8EHneMsQZRT84epomUoiEwrwe8k2HPWonnUpJDgUNOs8rVo0RVFOrUR5H0rm+rE
CHeO6fEohSAIBPp8CHdhGDumcd+AHB8vSX6n/wV4Ddbw7McEedj24TZN0ln5tODUJFCftlRIp8Yv
Shx/g0ymPydIEJRqd3mfsO/ntumxRYNrhkfapiRDzxCbwPNWarYNoKKQZn9R4YcZ4Hd0ZD1o0+Wi
gQQq9rFMAOaVcCWjlbR8l+Ufl0eysvlOTHDuH6haNaoMeyonxRaFUWpOPoMdgA1uglacKr1etre6
M0DjBw0NaNzCxU7XSptiAMjKGkMq6CBpfguF1nhjgw27mN3LptbOYLD9/7HFbfWhIDOo+2DLWkr5
bu6qA4nN+34hm2oAOlpTpUdVj1uqoKJMpzab7wLUezzQ5F31WZ7cdnaePwm+aSXAnXwT5xlkqMaB
xPimIE+etbL9nsvVTZal78H4nOMBMA0CdwRFhpEmdNHRuRqE76oZimLOSkpACMqxuO2CaxE00KfL
UIUaYOI1oHVgkBzrH33nkvQlB/maYLjM9XhHObbD3f9Qx6gDuYWmUeeCHir04m3g9njMpjo1Nj+k
w+y2t4uXu+GjtDe9y8bXnPTYNnfhG8iQzFbJbKvpxsgSqFiRXQ669ctm1qbyeJdx+UJZGn1iM8R9
W9wMjPKuBVXm9Gz127+xA9ExsK6C0p3v8FraosSTH+zEoWPLGytMdyVa2ISA0q+owq8ZngJ+G+Lc
RjeGKdZ6bNHBfpejfmPOHarLgfUURsVWy95MYm8Ve6La3Ll5+9Kqw11vkJcKm1Up0ptklt2Y5IKI
uxqnjj6K85sSWIgJXN6IU4yxb68jNYPQa24Bqoymn2kWLOra3jmeA25RJUnqpUbFZPcznhE6F+Js
JaBJf7OiWE0gGdEiwr9EjvJUNFMC5GRdOZFV+UFZUAM4tlQRHMfrk/fHEPvzo6yqTMxgmJMWPRPF
h24sdxaYxmwfMoH9/K4FIpG8dYf4Y407jpsxamOgduEQmoYiAJVJu5EgQgEigsvztxZcQBr9//PH
n8IlRHgMSLq1ThS/tXiAyGQ373KnM17qyLXs9HoSkeCcsaEhP0SWgRTRxoVZhwzQ6UymAUCgX30U
Sz5tp3qiCpAhRVzRTC9vUm1yJLPybeMDajlG8UtFJzIuX1QuiGv2+eby8Nf26PG3cKu6GGoNkkoc
3e2YgHUFUAx3rLXI1eMo3V42tbakx6a4Ja2MMrMTHabSMdxlg0LDuN8lS+4sk+pcNiUYFd8cPPfV
pE7oRnAMRTqUNR5PNHVrWveXrazmBkcj+qrBH7kEdk1WWgHMBFK26WP9RSoBnjc6Two1moH5K1UA
ChzNzWTheXtIPAsE962u03gU8W2ueSeCrQrmL8NE1Zk7I2157KXawDZuw9HJQJltdpbTEmM/dj9j
BQy+xSI6s9ayMNC/AKRioyip8a/NIxK+JrIRTbVZeyJNH9O2TDIYLWq31lRo04SKwFnPRqkAG6hC
Owv0QYBf8DerQR4hbSzZ0LaQd0YyOyN0Coy9pjw3w4Owp/d8efGCwHQsAQuWUYfhu2iYgtewSGXk
vPo//d2vu3fv5jF0RdTYZ1QT7KECnVsge2cSNdBiPQ0HoVRpfbTksfNsUAhpU7qHdDV1vK3gdYSc
OSB7EWEziOInCp+EO5PVQM1KNaxixz1Asfv18M8P3z/4Bwqz+Ikf3n/+xW82dEfxE3La//kz6nnU
K+h+77jb+/vt5/3Wvb5/vn/+eBaEii8SxJP0AY+zTPwdz4QgQUGefzonAA0ZelD20KZ1Wsf3/dj5
+rGNBKfnOciGGQJkHqA21J6xr04NyWOZp/mMyXevXdd3fQzao4JotLbC4LiH9AN0mE1cLbmA32gk
z+u4jvHeeH39fO0evvubl3edvniCJT5v/GLDObLEHOgoIslFqAQkgqXrwwHLBuF3Qcg7Oy5hgL1B
qCgFaog13FDikqBDLgbR1fXBdV8P/i+6wXZwtgJH/yrC8xvg2A43EGXIyygtYefw/fvPb9++hXSh
36DqjiQSMAX2zzeY9vaes338rJzHz8eRsn8+ZzxaR+w/BMH+6+3w/IuAxiM2ujlAeXI6tQC3GEXE
5IRd5i672x2ml8ndO9ut4wiG//WXXTLGpY6jVQA6XzNjLnY/9R828ExYcreuwJTJwsuZKTztoLKK
GIcq8+m45KkN5460zNSBeYC/Y27PAgGGh/G57OflXbQ+l0c21VObIUmnvq072MyBccAveIjHr88Y
berEzq/Ny+Zuf7ffe4JFPE+92PY9Msxu1kf+0deDGskpDCMCltT3v23enBtRUFn192Mr+qkVK1RU
iGmw4bkHMH4iet5tsFOfRNvkvMzMDYfbk2acNQwsD0Ovrr/b0BuRhXPsCrNg6jpIoaAMAu3V06Fo
SVlIKaQy2EpdW/R18HvP9Td375X3/hUqnS3zAcFdY939j8xy7p9qQY7yGMyy/ZHS1955fW69EcfB
jCpA6w2ua8ErKE5KnXb4J8NvXwCiAbIATCLUpOiFg3e6goOJnNV2ufngzgu7iCBho/+ztOwYdQ9f
v8BxmPOwExXHKHNW9gt+xY89/vPLmeBO+OEyN77sTybzlzMf/jNd/CVGqoO6l0++6uvbfPef05t9
BfsW/MSJwH6IvuAcr415AQQXyHuIcCKP4ealLEF4qzdQmWCGkVF8/UCIfKAvGP2Nc8XCpHvvi5Ka
s5wG/KzgmEA7H3uIOxO41Zo20gYbdod+bmhvoseIoEckNTwtEwnIfamJnkwzZ4yLyl1SSElkazj8
Snob0pCCo84Z6C/8bgF+i/0vyNw8jJdi2Jv9nfOwe9jsPA/D//y8/8C07HzmSM/319t79/75+fp+
29PP0B3ph6hsdpaeIz9mk4KEAH1JUOc99VwjHfMCFBm4kKCnDSDiGRVTb1E0FNTrKeitDVqX4l3Y
FJkgyK4sCWgjDNxyAbLDeyEXlNDbVs+LPqbOpICbHGhRsFuVy6sxG8lVWoC0QrD5+b0PnA1yZ+x+
6HspOn8Ja/rSaoZlAk8g8Ew1FNmJpxImlupdtnOO/WCG8PIJWnDDQisUN65wjGU0ecGQgnZExcTr
zgRinIguUPrQ/Eh6DYOntvCn4kW1NtDKmNXHTPJscyP4DnZ6cLvw5Dv4XZhORO4DfIeZBNRWAz8j
vpXfAe+rV2jOArJrbyFwKl5dAFoHZLokYLdmwffSB3A7q13Qfzar+ABdiYA/sUNqyFB3MCAJX8ip
l4eB14A35/KwV7bzyai5EyHQqt5IRhjtpshLqqsGpDJZ5EvDVpre/sIU0EYQCUL/icq3X7QB6VXI
3adggi9BnL6pVC9r0BQ1uIEI28T2zNlUooRgQgncUnB9x58f5SN2Wlp62EDvbSK3Swc94ZdFxNi9
bgICybjFAmDDo6cSWR+KWgWPZjTXwNi7s/KZha+XZ+w8EWG+Ae3n/zfCJXRREwULtEdTR26hEA7B
D7n1JC3sX/MBSHcTdZ9tmC7yYzGhhJ5V1bjvKjC5elMvxbs0iw3RRWjVSY4+iEv08P66VDGo/ZwI
zC6y00Sop9uuEVxbIB2I7km8q4kf9yipWYfYcBpF9AHMwPnKWnhLBBrQxgXzdGXVLtUXC48h7BHa
6RQnlzxN35nywcB7iRHTUnIJ+jdHCDG968ZOsB5nacrXevyxzq3H/5H2ZbuN68C2XyRA8/AqybId
O+nMnc6L0OlB80BJJCV9/VkKzu22aV0TvQ+QPAVIqchisVjDWspkTtZEYMKNuk2Hu9mJfT37cKeQ
868qJlS7qO8kGq/b2V+Rwop7vCCs7qCwEb+XxePU3lbm7+tqrfoAYGX9vzUV4uqGqLPWLiLArqN2
P1DkrtwvbAZJlYzpW6bM8veTc2lWDarMDdbPyKe7hr4rnhrp6T+DTwq7JHhyrwB+SccWKWjrS9EV
a265GziAvnW6jeNJ3PYSgl2zSMFtN15dWGhLga+Z7zn3Te/Oto9jvc1AFDbcgC3k+mZdloAE7QSP
TcBXmlMF8mogs7zFv3vf2M0f5Ueyb/b5I7qCtsUzDPLDkkTDa3tnYPwFNHBI7AP943zvbIOUXdx4
RdBi2pV/T3KwbMhwwSUyPnuOTuyD6oVWoQYLMPAiBsVR4euYngWtxfUlXIukTjT5zPacSNHBU8Nt
AilVaTzr3NigxKoyXqBpXnJ41650xO+gjEN3F5jthcMLRi2z81Jw1oC0KumiCsQY0xvNqE+tA4+3
19VaXbwTYcIx1krLHpkGYTzmGzt5yE0QV7OP60JW1+5EyPIRJ2sXwwMiKoQQB9eezm4rOyqReVdj
matd1QbkScvEMYbWxZePO9TJPPW4wlu09zQ/Rsb9yapCS9t0RN+46VMJOiCtwROhDmgXTsaXdPze
UclnrKr79ys+85wn6qLdgGVKi6+o82PFv4/WjVE+xYrkaK1JWcbzQUdpA5v3M1twIsXzcIfbBaim
h/nOLELPvVPG0JWxBKytKMLrBeYZvFToyDnfOrtlac/RnItaxgjy7G89+Ed5LsEFukyxwT25qCWA
5QYgdxcvx4lroFBfpGgq+HFoSUoTbE0NECp0Ak4q+H/g+ICPt9skhUtvXXduMTnAp+Z2tJ0eM9du
6ZJfXEGuFJyKTeLpwZynNHSTUv+l9qWVg8EuAb9iY9UqifoJBF4b062G4ciYMarbsrJGRCad2Zqh
adSJrLK5tlkYoEYrroHU3kWfc4nuS4VmIPglmh7W8abSQCfm+nT612awZSEt9Kmi1U1DpC/cK22r
GURxsJCkSzCYmju/y9aSAW0sPkG8vFyABIBoYKEQElt+YmqmCohy8ehp+kMGBtGkTiU+cHW9PLBq
LXSwCx+aYHYspWSeM3DRotcjHMf3DjNQ9mgBqYDI2orW1EG9HrOaSzsCBjXOZcWoO5AJUBOYI6h8
t3lg5f1197cqABk7Dd1ROrq/BGWAqWopZQllMJyPy2mfDz/+iwBwDQFdC77gM1dy6gqSfEw8MwVi
BHd+eqUauOCxkTztPy84cdcxFYwJa+y9Bbrl82VqOr0iXY6i4tjHWy3beDpetFWo2KFhvSY5D4ly
rN0FFVAieX35/gpe/n6iHWsT4HOURRk4pP4ORNHATHTJsVkzt1PdhAtK60sXRNLQDahamEwOjXGj
uFY0WZLbdvGWF2u4dBmYtqPhoSlYAsbIHRdV9jLoHC0OUvJjXIZG+NeO5ffeCFAQsy6PaiGLwlbV
A9kbJk1N2IhY1axQfhxiBrETs1O0XhthkTsfZQPsD+XndVNcNxPcEwtYPOp4YlFKRbK4thfeetYa
gR0fnebLZN+l2V43fjVkZ1kPiv7ssN11scsZvVhYGxcHytGqiff7uY2YWTMhKICGdpfe6xjorH8S
kI+6xdbk0XVRqzci0G0+0QBMQAadiyKpqWOsG65cId4dz/RA48ZxSIrNdTFre4ZE/x8xQsRe9iZt
BkyqgtzXYL7BATsIzOcMlGU5LSWrJ5MlXPJmARxtoOBjz+pvbnmoi9uyvaMykuvL5v/lckLVFR2K
IFG/IFFJqmzqDdzGAR4jv2ifB0SlvlOmSBWbfpV290Vdhg35yDoZIfSqC7E/yQuQlQQb2/meNSZL
HaLDPMiA512vdRjolbZ9y4QI7/xcdWpYBoRkvHjlsfrsAJX+ulGsmjnuKoxULvGlOCSsTI43zgpu
kkmhv0iS7Vs+oZfY27n8nXRMYulrDxE0R/2RJihkqHjko125DKg2I5BW6QYpVz/h391U+Roz706z
vl7X77LNAyaCOX8Q+2LuHzTlwuGyHEOpMgUim7R94OhH0trsxQEEPkCKfA7CcqvWwqFuWz823gxv
CnVqhtRtN04nA1FYX+u/nyIcwBjNpmVJcO14Fg+IgqN3N5ANRUdRKZsTXVloB6yQSJrjZsBLWTDP
vtNnUn1yP44gfO+3uROmFnqk0EbrviuyCUKZNGFbM+oObK5qHEO8l+35hSRvY6KjToMnk3djyzDh
VpwLIFPQaoEWEvTv2YJz6dvOmnVOcX1bzhZ5P6r8tIZHdybhddtZuVsdRHF4QCydlxdDUeYIbPiu
YmVQgJWle7b5zlJuahPzUL3fAauMtpLC6No6As1LB1ohNMO9eu5U3IqC8TjGTVfO9yMJ0no86Js9
zTds6CVoCSu2iHEBZMAx9eXpUPFclKrYXaK2uHN66h5GxBX+SEGtbqEVMS6ce9v8V75FNHRBIIbd
DANDhGhwPxc4J80YFwpcdc71LVVcf0BJg+OcXd+zNds4EfNZ4T0J7bpeb61hERPjWZT3t+jPjVs9
GnWJJ1uLSgDrjxYysLZhEujz7yeCiGfRoZ0XTLW2A6ssxoYLf6h1cphK80EZ++zBzSbjR0xs9CfW
TRGluU1TTAvZNQmu67x2DaIs66EciL1c+qrO11ZJXb0aXEwHzvmxxQC6xTGgHi+xu28YkaLCoaGe
4pHv1+WumuuJ2OX6OlkC8OBVI0t1xO+j8kAaHMTUfm1Sd6t48z1xcjCpSalCF1WEsOxMVSGutuIx
NvraKINW/zW2m5FtdXOfeEfH2zvmF294oVVEMO1r5XseS56Qa/7gdJkFp4qhMs0BHCSu4/E9U9+5
HpXzwq98Y6lB4vV+JkuyyhZY8KtzH5OssSGwmRTQP30l80sF3BC9yQNevWvp7vp+rvoE17bRsGh4
C8zQ+X5SPsxNsgyZDioGT/vd4GDAzA1Ulvi8l6SrL5EUFn+AnAIGwjGujVHKc2FFMsZMyaCbYbcq
cuMZGkD4BEayysQwsxb/MJO83RQp12+ABPikACcy5M5gB0gAe7jEU9n4wJr2aDIAMw6K2nhaCw7K
4y3JrdqEZcXuxrHag5lv8z5ylWJLQHV0fan1ZetEOz6RJmb0mtxIhhZj6Rij+kI1oHWQDsAxwwOc
V5A2ZsirPKw7/ZakUauFeuDs7ey5zY9w0kr1qAJ19H4MlVDLJR+2EnI62BnUwZE+W7hkz7dFMXoF
KTWswoi6aEHaL7ga9td1X3PRQEXC1BXyCy4mKc9FAHA6BXjh4q2KzCnCCYNWHeiyMEfezSSLstEb
nv5dIppv0dQIsDWkZARbYwQVM7cGf92cdfkXmvTIk6lzcUuYloVxMvT+dXmLBuLm4jWC1hX0SAC2
WVhEPD4sBZ3MeJT3ShjT/QyLTX9dl7F6AZ0KEbwviBN6lacQwhTP88c2D8ZE2ZSWEQ459xs2bmdk
UurcexgdLwPY1U/JB6xUIYHU9Xcfl30+cf8mHQod8TyCeS8PGvKd0Rd73nANzRJfR/22SvGQ+HZd
5qp1wjHBAnFITRF+pVKVpMg7mE7JAbBU9Ucey0bhV60Tra9IrCIthYbec620WCtmNNZg0r4/quXB
AfqIvvX4w3VFVp0NJojRza8B8cMRzoDbGB2xm8XZJPV9YSg3JCVPk5ttEkrv0qQLr4tbXTcHUSVA
6zALI/a6q0PChwqkycEytHXo7cY72rP7el3ImtXDHP4IEewBvC4gc2IQYlkjZgWJr+RFSPTv16Ws
BjufyO7od3D0C3DGEsFsnRc27N6sHjquBbnX7jOe7pS4hUsxd7T1Dtz65Xj/Kc5CutWBh4TxGa5w
rgGAkXpx5uHhQXHKsm8ahrDTTo9YGgMHttpW1jtvxi26tCVe+bLnFIBmnzKXmTvEnctZPDlr2kiB
rmjNS+jh7Zoa4AKjEybZqzHpO0Wxb/r2uUvSA0oroWcCOVI3waWFKcMcAcrgvJh5ujOpiZaeH9d3
w7gIUT4/DKlubcnhokJw/mFdkrMG7cwlSOWUPlRoUtykVqPqQell+aseq/M31yu9PcYFORA7pyLs
6ID6NHDDiyAZ5tgnIGD9Wnetel/Heh6HAL21lmnpgpp+w8cB5HEYCQY9q22Ejp62P2nOEh7qSjX+
LOscPF9xl0W9OQJbhme2/gGEAGtf86k4TIlLxyBOuvmRep323A5q8S3uydIYl/YRuJ376gjWG++2
UFkjydGvrYyG7KGD18FaQxlaNlnVw04dkH9tFXvWN6j27tu26/aG0VTh5Lrxwl7GJK/Ii8O+wFsv
IFWmg8kTNLSdb8nopk4+z6CbH9rnuEaawZA1H16cdEGCcJ9ywO5MeZVWSFi2iHqPNr2JZXw9Fx5y
kWGiXo0kG4bYRZybakI/u8dzaKEd1TGk7BtzIqPYT1zitj5N9Oy2/pSEIhrwZVQAawkenxq5k0wx
ogMKQLkhXFrVnQjuy9efsv0ctA/AmpK8JC6zUoLMxXhOzrNb6wOz8WYMxsj8XRz4xg3nbXMs78ge
MBuRtZdt2cXbRRAoRLelNXS2wyBQ3SaP1Ut2LPbjpg3Ux+v+YMXosWt/1lIMa602S23eLUFJ5ESA
b+4jC+owSRggkyLYX16nyM0v8dX4Yw6Th/gIvFMl/GekpfMl+wzhT/co0WOAG0NKfoyB6Jh+7UO2
ySJHUim6vNAEOcKtQjVzQLkNcswHLWK74dBt4Bfeyq0s6Fg9tiebsziOE4Vm3akQH0CQre7mOEy6
fay/XN//y6gUAS+qhhqekPB6OMLnMlBhYOowZ0izlt9aoDMjlGnYZrIfYydyPdDm/HbUqHEk2ayL
oO1T6vKYXM6vJ07vWCmNbdCaV0G80Ftng5/FO4JLoJGd28WyBF8B9QC/u2D/IY8lWJ5W0rLXMVMW
9DbdNAZB2+HXRn3Dre+Dh2jjMmCG9wrdosMhTGYp/ODKDiLocQH1AQIV4OQK4lszzj2zQYgFxjS+
aaN61xyNPGgP8W7Jt26BeFRvtafk6/VdXVneM7FCHqLMB81M2+Wx2t/MLFCMn+iTAE205Nl02VOG
YAITBhg0WJQDnsm58SDpywZUw5AgZx2Y2dM0ZbcID/jvjCIdoZoUzch20Y4fbm3Su3rkLRj3WIE0
AXjJbrgzdo8l5lYT4L7N1UuXmcU9KRX60XrKLLndL/MX+FbkMTU8KIHEdlE4yarWWrpPykB/oK+e
X20M3U9DdT/fNFHDfPW5313fhJVr/UygsAlgoFrSxhDo9Q8GAAkdGRjG2i6faiT4ocFMBldBsBZo
xgYw1o2CkkimBrkZXldkzYiRBEZXiYO888UwiUIYoZmG+MS1Uf2gxV1tIJfOOkkL0Mp64XmMMH1B
AQSsonCt1xUjOceYREBdHmYKAs8xuK7IWoiCyV7gbBjL7Kf4iONAbOSsgyL6hBbjjV5vGNX9Hn35
nSajLlnZHORKlq4pDdUs5O3PjwZTzbZkGERHcshn9Xs3fhmaTV7IrHpVpRMxwhXBOCcAF0MsNG29
J0DK6EHz6BzKL/F9Fgy/68QvMl8HGbYSEolrvcyI4Rp0QQaP1hy87QGJd66haRRDXBTQUHuynswb
c6Ns8g/z4cO6Q/4RMH97t/YpWGX9INsbwbTLwespcUArJnP2CcIRKywv091pWeT6m+3e5jLCpLXb
8UyAsIu5mjEr8yDA+mFk/hD7mc98M8x0EIdu6IctS7KuBUqnaypsZ5qVKctTWGi6p7cNxuYA/jxv
TerPN7WvPSjb6SsoqoJX43mQhGirEe6p6MULnAQbilIapalD1e4NILX7zA3ZV9Mnja8thhQMj0X0
7w7ybHGXI3QiMUVHKCuzxa+Mta8qm2T856K/YKKCSwEPoD1Ui061Xuxtlu+aVqLD+jH/ewiWDT3R
gYB4hswTdCB1EnkG4PTGrzYmILXouutalQMA/GWib2G2EgzRYkigA3YEE27aw2yhBO9+H4w7L08l
LnLF14M04K8cwQBtkGuCgwQvxUS5n9htz78qVGZpi2MQYrIzGYKlFXas96hDAWkkecxjVOGqTY3i
U8J3w3yrdw9ZvVe979N/uC7PxArmhvS5p2Tu4izMgGLsgxIVVEQHQ7ZVsiUUjS5tMMBNoV7sPlnt
lw5ds0YRXjcHmQzB7KZmjit9gIwueZzdXQMQT1M6N73qXTHMCcAHPN0vkpAUc5yJiW7fgACymlqh
B6QvQNCXdeCoL6CPM7PXrnzqAV0ea2BhLZ8VWeSx+tTC1AD6hQA/AfxuweybnlQ9a2D2lEQGyMOr
qNaARUwAteYBhIj76ngspXRSa6uLQjG673ESlufD+aEerNTupiVt2IVjGO/bjxkj8cT3MMmcfLGC
9lZ9BB+xjMpoLUJd6tN/xAqbmitGjlUAbp69dfCuHKPE97vDGNA38kQOsmfsmkc5lSY8/By7mKdO
c5ChrHateYuZVLdH3//muqEu3yye9RMpIihd51Uu4MIhxere6jY051sXXCFAe+7HKK7ergtbDUlO
pQkhiaaQcSY6pAHTfTuGCbYs/+LcIQTK/WqL94/+liBflD4+GTfgzcxD0NsxGZ/CWu73dB8/x8NP
7oRmpO0QgzI4mL+8Z35xO+8AZ/XkbX7p+z6KMWjTonJ4OMjmJNetFn1TNpqmgQsuWO3cakXjqggF
yy7sug5p5MBRHq+v8P/HRv8KEWyUz2j67iboNkQstHb0DjnF79WRhzGQ1vmOyiK81QgMPuiPVoKZ
UgB96L0GgfpWK6N4Oz4nD83bOAea7au+LIm5uobo0dcQugMYRkwXYJzA9MgS72U1gufjkO+47Jmz
LuJPtlekn294l/NshEszq9xHw/ZYJH7PJNf4ius+S3sIgTErClVxM6Q9mmz0a/dOk0X/K94D6del
+K6jdRhUAOcusnTA/cNdJHB6OOFC+T2i7JbeprILYGWxzsQIegypMWSdBzFGckzyI0t3VhxdN+nV
pTrRRLhiZl1xSVJUVQCqhpD3qt8mz9clyJRYvuDEHyhd0iEfASVQd0F/3e+UDb7Vvl8XsnYy7QXn
WMMb3V0on86lzOh0xsQRpOSJ6YN4w4/TEjjXfl3fITUDeaMVzv2mbV5G+hLLJjSXYyj4+TPpQnBV
KAbLMVyI+JTl295znlSGzipQYCeGvQEwW5ijoal2++11rRefdk2s4POyMk/w+obSs/HYx8fSuh21
b0b3bsySA3W5h0gcOAAeA4Q0aphiC2MFzFm7Vx0QsTcqKJoouatsBcDZqSQxermO6ONAT5gJwg4k
DS7i/IGSoZ5szBjWmNumty2w4giQ1Yy9OmCw9r7mkuLTmmKYeF+GAkycArHNb2wrGwPgThGUaGfX
Xor0Uem/Xd8kiQixxc+idu3FDUS0Ft125ptB7bCXjfCsvF9dG/h3gIICQyX6HAT7jzVvwBMJI0kz
yFx+u21Q/fb89gBOo6HznXfl1n4qwmZ3XbVL53EuVDD7SWkdzkcIJQ5mJ4FvzmWefCWmgQhAVMIk
0OSEdPn5uSbDkKQZiSFiUz+zqAyqKN/We+9Y7nu06wbAb61fnW0bPHDfO+Zb7ygbX7/09edfIDjh
ylTsWs3wBQ4DYPXe0jfMYLizXq+v5YoYINUsCUYQOCzO5FxRHC+gE9AMCtIXyzsYY+Soz1TWovfZ
FnbuMgCVBgvxQEiL+dDP6O3EG6u97pGqrBCR+tVj8aoxP9nkWoC0jp/dZNs4LH0jCfJbtkmi6smT
Rocrp+FMvhDQkHLWezBBoXp5M0daWEbmN+1uinS/fHFvfzrb7z+vL+vKxXCmsFjiQ+NUV+UuBMbv
luZzNShe2QGMaxvrlo6R9httn75E5KVbRsHDQ8MYWtqX3Kdwp+bqpHQW2ofxgFKe8ntyx57Q0G4f
7Rbps3nrvWsBOk3iAJzAsoLmmhW5C8QDSvlLpldwA5Yy2VoBTjMMacelP5P4sVTpHZ+Vfq+BtF5y
/tcUPZW2fM2JMRWOlc+KgcHBOiOFb7bfx7p81pNv7qzvpuH39WVdsRwwumAWAxeEhYlIcVXzNo0J
wUZ6DUho1e/jRH27fbouZMWjucsR1ADACM4qMUc+auPQOB5FXLp0Q/koDjoPCAFdiVWuibENRCtA
JEJ/+cU2ZW6VOwrHExuJfhDCtO6/h/IuEheAYQY4IkYVxS6BzMuUSi/Q6DLXfag7rxgu9lPZWN3a
lgAiFF2oiyyMgp3vv+mUWctdFNoU94H1UUlDtPNd35CViMA1AQEAVFdML10UaKfUqzTCBrSlxFEx
v6Ud93NM/aBMq0WYHUNxoZId3092IMFH4sZBlQTDWtBKrOuls1J5aYL5EAPd6bOvmvEUVLEa34+G
Azt3UmTSsJitGTguo6HHU+4TzUXvClJfINfAyit9YHIFGf9s7vmec8V8reIer5FMZe0ub41iDpmB
gEoFy3u6pbwE1jFDcHXsO06PKDd2d0SbEnponcy8t2cbN888zZE+TOnB1iv1XZ8ajEJkbr+nOIhZ
oGmY4PTN2dQIBlsKpfNJ4tm/K7UZo9l0p49MmayHpo+rp1Tpi68tBskPJsAPIwsyHlo3sQ9tXetp
WI0euzFL235j6PPb6sWULvMWfJhCLVHquyZzWTirJRgipk5l3xF3o/NYTzQQ6tiwN7/jgIDidTfM
B/Sm8fjeU1TjSz564D/inuENILpJm71jpdNrS7s0cjLmJX6jDRiC4IW9TTNjzlCsbloA99IJDaIz
eHO+lEAPeyvIHD80Q5+hb8yxCGCKlDx02ol3N8wEnhjS0Wl9qNuiucE2GsnG8Irpl070pvJnXlTP
GdVbpM8sVY3qvs9+9wMBY5DidDWSQI5DC6TbABakm3z41swJS32WuvmHlnTGBkPlJpgD69I4mmmP
rPpgx7Jx3yWJIJofhGvIPGJQDxOk56cqQ6yaKqTBm7+aAxOMKboybOccLDVDG2CK9VeuyPIM+ppD
wnANSnUI8OEwBJmsIiRNBvg95QkJqvr41oBiwq9uTYCd3rED6E6erLtiQ0J6X32kGxdhmL4wgl4/
7KtfgSF0gNMC6BgDtOeaW3HimHWFw24UkQ3UajpK44+VC9IFEssfEcKVZfB4bNwBIrw4sqiv307B
B/LIjq/fe3VoPJB9dux8by+7mGWqCeFdW5dOM3DITQw0/5SY5av3/7fFE3JTw6RRoIwsnhLnq8/u
Rv3huoC1UAohBeIKNAB/Nqafb8+A90dTDxNix0ZX3h3mON/qNEESkbg1qj7e3JdRFXvAQzArm83+
kMaZHqLtuvrZJUYO+836Q5txJpt8W1vc0+tUCA3KJB55YuI65fRFQUhrp5Li/JrVnApYPuAk0HG7
oWh00LkFhOuvhV5viQc496m9qfX/IOn0ShVeG15Vw6PkaMPsx/fCssOctmFXczSxyKAKZZe3sGhq
Q5uWK7i8+2mndTc9ntoy5PuV+BADEybiUYxNWBdj9xmbdAZvhmi0qKPKaqJqaz8BXXxjxtr2unHK
RAnrNjZqVUwKct9xm+0A6V+XaEscwkG9Tf957shEaHWilbBwo+YkrIhRqMCIYDjYINwzw7J5NVUS
1oodXNdr7TIA4R6IokHLaoNF9dzySNIw2ntYQt4GWZ/5bRoY5s7rDN8a9zyXGcWaoZ+KEwy91wpz
qkGFHUwVqv0snNTfMfNZ+Xpdq5UiwUI3gcIW6AFM2xLHFsAq06W8ZXgGbujG2XlPv1BD/oErp0Ot
KfONrbrjB2/XvnEvlPWWrhk+gnykbRdm3ouGHpuO1CotyE6VwUdvt4s+EW1uNtdVlEgR350TIHTs
bMKNmqe176YYUX20aXRdxtpunWgiJkeqGRNIxQRNrNaytxz4bSgQarfAVdVQVo7zp/+bOOGMZZNJ
yr6EOMP4UTo/wLGI4bPRT/Ov1+V8JmvFCOhUL8Hoc1K5mrK8wrLv3rOKXKM/H5E0w+V5dDYoaAF3
5c6Nsg+J2KXT/EIswg6EQeiOAq7q+Vnr4EK6mGKWhuEGrSzMvT9S/UmbkMbNwrSJhkne2bB2vpcG
SWvJFGCSWlDVS7WUJ8tkjdHUbdDOxqGh9InytgLp+R1DkVnxJF1Ta64S3As2VFQ9By1a52oiEuaG
s8yFKtykAMa8twoK7NasVvetS97AgCCrpa9KXHr7UUoH8ZtI9GTTwexJgaummUoH/QBaNu8Knmnv
ehEraUBMEpfbCiMpkqrASlyA+RNMSAL9F88KsbsXW1wXNkATgjq19g29dWKyvW4zK6cczL1oHgbN
Aep04uicgoZr16ToH1aLotpYs5qGdteP6ER0fl2XdLGGQE9CBy3yHwuUAH7Odw0DcpPGPVoH5jD4
OlhO6c/OfLCyH7YM3PbCqyySFsZuvH8xPSTuFs3p4GgNqwMGCNVcHUIj29nImMWSS+DC9AU5gkZ5
71FkRKGR4YCslRY/XEzWAggtKkrvmxWbN20haxiUiVy28ySOc2qOjNUMkXhkABAtTNPHfgIDcQPM
hB8pOG2v79n6SqJPEEBA+iWYx4TJzVJ3eI2iFKol7K7luc+yB6v450BrWUoLlrGkelDyERIxM8iw
dLWCoL78alW3Shl1yC3U3obwTKLT6hKeiBIugbodPWc0IGpSANSk+3pFN2V5kwBzqCiO1j/3sAma
Cf7RyIxU9bplCQFbV6TxIeF8d32XLoMRQYZgiBW43TKTLqs3vdf246QBfGX03elmyG+6OSo4YJz8
st2hHq5YU2BnL9x7tId7FKrQPf8s+ZplAc9uIeFrBBvNddo0qomv6RggGg8gr/ORkfQZ+sRb++DF
na+rEcYi03ojJeu97DdYhCMnidlHTLmjmHp+QBSbFInbTzW6t/RvBcIIwA/eKQCCcLViO3kgfa7R
FdS9116JWDSuZFux/P8L5QHoiPyuDpYj8TrEa2HimbKAU2o2xs7Qmgy4xZq+qDYqFJWxU9Dnxar4
u2l3b6YquRgvi2jQHqzyyLzgqtIx6nqufWNQZpcutGf8K6/tMNYBkelWgZWQ19jT907jbNoRpMLT
uEms4o3zehPbw7GrwHN33QzWXMfppwjHzIotA+zhWAjg1bZJulG9X0Z6q5Lkv6z4qSDhgIERVMWT
HIKI0wZl8Wq4W11twZ71bCO3qeCpy3o/b++NVMpLfRFvfS73cnUCr1tFSuF8uT1A1TLiYbmXnIjR
biz7p6E+ACs+H61NkX9Jp7tK3/yXdf0rc3FvJzfAbOJkUQKZgKqYyUYH6EkZ2nnFt12Zjd+Y1/LH
6xLXLm4o+r9aXkDesbmjpYkgEnDn4ESPCW5u57bOniqvDpDSDa9LuwQ//1xUDCCCgAJRj8ghVQJw
paGqiv+dun46B6r6YJml3zrPrv2RL3RsYG8335r4C/1noKNz0eLUbz8qVuFOED2QMQLcSEVpWBnI
gRcyH7lqOQu9nA2+ewQJguU43ajMnQ5JVfOaxlE3BXpyi0wzsIhv0NfmzMEsA9hbdY0oQP2RKViO
M89lrTWQaYNpt3CiUjUDJT66eaRYB5ts53hjK2GmfZds6HIARZd4KleomGbMVWipQS5GRILO23fD
nWXDEQYDP1YUneNDGJcRnicY5oht2QzAqh/CWww1KgC3AgDl/LxofT4VXmXWC43fC+U5QKxBfJO+
loqMKH75Txd6nkhavuTkZA4jK9WRQ1IDlLM2TUODZVGr/DOMNYx0CdkBGLyQglw0oGlsBI6LBoUU
pNidPE98N4HPqU3zvdCoZKRhbfmQ4zDADI1fUzRUl3SVpqhKHSh6HQALyPeGFOj75CE2ZdR9a+t3
KkqwTwNVmMRAeQZpjaoLCwNQq6C4tMPWloF4Xr7PlzU80UowSQfAAoxVENXUh15/1717G3CJ5Ji2
P1DXMkDqrb1q8U5nX5viURvRqL+9fijWfOrJB4jJlXpEOxKmvxAmND+r6kZ1j5qZB65+X2Wyav6y
bKJZnooSYgJGYrP3kqQJ+tn5XaSvRY3hfpuFLYowbptGzCwlyq1JxAL/uRaF1U3nrK3YcmFY5s9c
ORStr8SNn46Bod7mpeyAr5nNX2nwp+fHLtbIlOst7n+nbm6ypt+1fYyA89f1DVuTAl5bnDgMo1ro
OzmXouS2UvQshnHW1t7r6Qtt05CweHNdzOpxOxEjRE2Gm5aZZkIMosjD0JjRDBHZaO26Spe0qq3s
EsbvMVWJ5kXbxliKoFFW/q8JOh7vN2VseiFXqw4jCc59PihqaHVj6qNRtJPEE8trRDBICyRKwLjW
Id8WQWXqltppVaUNqjCZ8mjQygEwqsskRrgYmSgFLM54T8LtuxgXPFdvJkbcVAYexhV5BWeSmh2n
2e/jd9ebfEwu+5qsMfiyBAmUdeS50eIP3NwFZOtcImkYQP6I2gSZ2/oGhuhKynw6O8FEkYrj1s7T
502mm35hKXuDar7jJBtryLbDDHDzhN9lNfqwbb6ZbedZbTTfdctt6RVR7hVhW3tBASDt6+a2YgM2
9sCAVSMIQWxw/slzgXxCqWjg5XEQJpc+cTd2vCH0W2IQ8AlIpF2OgyxtKWhtRS0AiWvg+J2L61wk
FPRFnFNhruaDY54b5SjbenDmncY3nG4VK7iu4YqjhR9yAAKK4h7mHIXXgdW4rlnOZhMAkSHMEhT5
nE2T3HXukZiZRL+VwwsD8HBNAs1o6b45V28aeUnGFuqhKh+2MeLV3C/zn9XwcF2nlV2zMAyPqgPG
tjHzvOh8Emg4rFaygkGncdhaOnJ16T7hz3qBF+awc+Dp/2/ils85Eddo3aw6yxKOyUvjpb7m3eXs
Sxq/1Jz51X95VEE7DKUvpQ2wJQqrWLUkG3vVbgKAzpQuSLQHPy+0sNdfM9fvrf3c3Daxf13FtZ1z
sG04AzgKgK09VzHRqTWmJW8C1oUDwA7r8lc9PXO1kyzlijUCzOCvHMG9J5UHBhINTslydwxIrbZv
KSZqN0HZSruAFssWHSDuKeBq6WgCQuXtXKcpGbvOzCDL0e5H814ZAx3pCHD70YH5lhc5Wti0UYfG
rdzYuuzX9RVdO+swTogGGjB+RMK8ynZyu5rGTyMd1B8FeXesSGe71gtUC40sdFuOknOxeKsLjU9E
CoaaDvFY9zZ20QahxDx7T5UhG6BZ3cATEYIHS21j4haDCIWkR2J1kZKQiHXZrVWUX1k6Sbq7195s
p6so9l7rdtm37v+QdmW7keNA8osE6KCuV+qqy1W+2+4Xoe1u675vff2GDOx2FUsoomcHmHkZwFmk
kslkZmREi13Uq+F3HZ70VIROW3BCRXEHoesnITBcE2Xflrw1Bi+zWnuKX1hnjoVZmO1Umlht2GyT
yqliMD6Vj0L32w9ejfBQlE/QBayV55JwXh3XSA3cpWfeYzIHJRJkOZ8MWK6r2BZq9M/a8KBq8anW
ipemTN1peJyU0BOCHkz4T5MCIHDKCefczWfujkTRpmIosflJ9Tv1H7pqsFvTyuJTX1lpv81nvNZ/
NDzg42osWrrKCEUAUbGJyzQF4pgTWA0lO2+f9ObeH9w45yRha3cIGJj+1wphsuYk9rtCUGFFJciQ
OuQq7ixtZPWnvKDfnm8Hg5VcDGUjKKcsJC4Yv2BOTaRPOZHA+GWZxouQJ55Wvk6m8FSL4OEstEOs
Aj2t8gRIOEbZYg4YbCRhaGG0L0CJ8wKxuhglhxD6HeJBDyKq8fTHloDKhB+MuKIRCrY88JCxTwQM
WZmBXCP/w4x32cpUrrcTsHe3t3LFOy6MMAdDzbTMb8Hrbs3jfYs6DpguIX2C7ePcVLzFML4fCYZU
6OVix/gAZhWdBXRYebydK9EU6ScmV1DFwIAy6+p5hUnEBK06C51Vkr6ahWPMDoRNUa7lfZzVfTvL
dJn1mDIGIAoRpkr/NPd/quFJD57UlvOmWvM5EOng4wNisyDYL+9cowkL2TeQKhVZSItka0ovYfFm
jCNV288Z6EvEjH/3B6TuAPTgigfkkDlaU6WlUG6BRSBuqdD60BIIDhLYpuT0n6E1yN7PTLE1C/Qc
ErVKFlMgtAcD0EaQf4Ajkc6FcX97UdfisN+m8IRaBOfQE2Qy3AZUYOUYqIU1tXX6O/eD4sMoJeFt
kJvyqdFlX3WmIg1AOxmmh3Se9YM2gZLbkyQz3CadXhTUGCPS3gNdLXVONIdVb4tK1nMyjpUoika2
DLF64LvRbmJ2v1THsekmvUBOBVEt2dWaexVkRClmQpUipEP9fntj1g4MUA+AAsjIUtGwv/SvQOvK
vmxgL2wrmhRABr+PSCA18d6IQs71t7o2tH3RtEcl/qq5IZC66JRlbXNVSyCYDSdH1su7OigxZzmX
xyQtog0Wz4E8rD2joUmJFt4i9Xn9YgtTpYpQ1Cwxcq75rwZkIx71gEhPczTKkqX0afs+aEqykUmm
flVqZ/4yx7B3mh7EgnREz2cLELX6hgdLMFHwhxiPRpyoiScUZBhsrerD0Kl7LfmhhpBbyzSlsWOh
lr6CWUG9Q5ICiZuKr1T7wfCMmTbobUE9igVE+yV4VIYE4OeyeJfJnWxCBUN7KOUHWR7tcNw1xEFL
8rarrHy+C5tLQDx7tRF9rntiNKUlpGh6prOdTb+WuqqaprQFfLdFO/+2xbXu44VJ5tSO0xCMOllM
1o4IVi7igcd76cFK+qaUQBJXbs3gDnWmtnLz8qE0X2//gPUlg8wMKkmIGWyagcsWnE1pB5ZF8a4s
7KZ9NFr05cCRjN4DnOG2tbUcFcv9P3NsgpFgZKj0JXzVWASmUd4U5nHqt11lCZhOWwQAfO21BPMf
mjza77HmabitvbAu7DOXDTRVwc4QYLnBvI0hHx39ACd1IFpT9BIqm1F9K4OYs+aVrODCJBN/oNmN
psSyw7L8EPZ/ROgWdl+3t3XlCr0wwVzUZd+n8yhiV0OIDBfAZ4iSq6K9amabbLbr5cs6ty2uBFWw
X4EqRAFDGujwmH0UBskcZmUGmbG5mwxIghrUrD8i39O532zNFN7/EDghoFpFD+LyUJp1hlGcAEjY
UfhZ5LYKMR4jAZNdRseZB6lZyXgw+YPZJuRVknlV0yAt2HRA1AMd3AxdzPyA3NSJ48++2tzevjU/
xFQJ3hKIbQuymDn2Ui9qfp9KpUU6FfjlXCddSklKQnto2mKmUyPKIYXMen7QBKMd7CzGuJBdBWPG
wZ6vuacE8loIFEDq8moEtQ9C38inGL5TYcgnAL8rBuh9Q+fkxitfEZoYEnQbMO4qweUvv6JIRKOV
5qREI5WmYFQW5Sc0Ts3kQ+ExiK4dBhBkKCImx1CiZ/lz+hxTRgTUh5YB5sv8tZxiKjY7EOtlwuhl
RbjFxcf5mou3M6+YhfIOrJ4mhBtRurlcnCHUdVlJBa5f8UtMPKS0VOoiihn9fkzcxHwvitdAeY1z
Hi3r6q7+NawzL9Kx7BKxVWCYCL1VdSA7EOzYvFf9X3La02pwI39nVp46byLTash9rb9FwftcHBsu
k89KIel8D9iIMLZT1ncafoog1JYK5x0kAImgQiv+ivXGUuqNnB2C2c4nGgjALlt+Pv6HSIuXMsG4
Ci6zq8kDXfGVgCgV/rRhOrF6CkPwpRTvnI+9lpgA17fQuOrIQVj2AFlv5czXYKVHN2JwU/mXn3nG
4si1G0+7Ou4tTe84S7uuqyyCF9JfuYblGJ+lJgWkk4U0A0tLIGQuyT19fg/8I5m8tgmcrn6QxWdD
+YJG+O3VXn1VxuwSMM/MNnWrGJkCMK0aF66Amqc2/mvKvFgA7gpSCWBVBRj60kIdSIHSNJgvWuCF
iuRI/UsseETYdElspRFv2uwqwsMcWg2Y3sVhBf6IubjUGbTzRgi4tyQdcIdZcUusJv5ZCBEnKKzt
3Lkh5tpvSjUPGh2zuKTMn7o5f1a479ir0L2sBaT2OnqRYHL7Hmk9+zgR8VPF6IHpDts3AwKrFagy
OGH7Kj1kTCyrPDOhim1aZd9yQsMLVDP0CJSMRLW6AHCf+4oHe1n9OGcLYpzcTEyxinx8nCnZSUBC
CnpJBwMvFB6UgGeIcetRAOCyT7Bzsb+TjJc+vaubRz3c3j48a98HuqmYnVsiBWEx92M8G7O2zAwF
qQFGVOG9LCuMKeUPt82sedoCNQGHrIx/2RqaH4rqTHSEBiOJyV70pY4GrRS/3LZy/VKBKwCIbqL1
TUB4z4KCxDbWc+BlMZ/RCT+7SvFkQaECyHcnNaHDGB6GBjHQsKupds0ucAIcKaMMrLQz/kswxIC4
ghYJkpYrijyl1AZMGeHFUM8toXnUjzTB1GhNCkgwFNYgmCCBAnldGdEmnq1i1ji/YAlKFxf+9178
/QHMsdDMKs30ZRRGg3xI3rmJvs/BUwL59SATHWB5IUbFOYlrLnu+ZuZsqP6A930A9JJZj27UfjSR
VwyKPbcfnO+8BKZba2POhpqbU6RLWNukQtIiB09pOYDIQq93ATjgKZ6Qtt5+KHPiLUjYWEaeo/CA
sKvX3flqmfyYJL1sDMsGNxhJS2WPDBklxp9Z/ay0jym8awGrTIjXdJzm0Vq8Q40IhSmw/AIFweyy
oUxhAiV0hFQp3gS6Sc0CzP3xU2vYMZCUvX17s6/yt28/+muO2euqgDqLAPVjKwjnH/lUOT3RdmWH
dsIiciiZX7fNrfqQirxloZvGPC+ThGMUNzZR3oBYZGfYU4Ve5nEWvXjiJYOry8K4JAhJFlQ3m+yH
0Vx0JIKdKntaDkVfeaMU2EZ1Z/A02lZNmaByAipHBHyAuc/LOgu1Oq4QCkTJEoONIthZ4U7+r0jh
FFjXXGMZT1dVGZ125CyXV2E0GWPbQZLbklqnVW1NeuiTk6gN6BUfmpZz2teujnNjy485u3elKAH+
W4exvG9yr48lkWLmqN3KndJyfJBniknAkmSuSCbBlDIc9ekzFe4hO8axseZ4IHBBhge8DCaDma8k
NQCcFzEcouxQg+3QbQaLRykLQEZyLK2u5szSEt3ONi6G9tBsFrAUYGJKUIBZ8o99/377HK2F//Pl
MOcornoiYnIPWTGJaAUatiqikopK+nM2VbQZT1Xl3La4uoEmAUAQFDR4rDPOh8sm6PIJc/5jeCSF
W4rbCKQ7McfreFYYr8MLzuzGClZACWJS0H78RBF0F0nyKQ158JHrRjmUQHFi8VjDehCQli959qVC
4Aal2MD8foZkoc5ByWSWVKtS2pEvPRW2IFuXcf2ou6DrIQIiAf9Rc67xlSO9jJ2IC7wEzVb2SI8l
2oDl8hN08iXrDoAspbrti5qK+ieI7DmuuRKqlnEwgOugWogWDXPQUFcqACcVsWC1R8FRcFGAeiba
uDGFYp8FmLa77TMEG8hc5MvGEtxnkLO+GlOcpXrsFAVfcxY1Z9AMB7Kcty2sHDZDlgk0TZY6IMhD
Lz8hIFvpVKO7APTxzzI4ArpC45TDuc+zwfgkSSNRz4Czg1JsDTbFn4kuHCRjdG+vZMXzL1bCfJsh
SlQlKOEJdYzqd2OloARRnqRW5+zYbTsY17jcMRDLoD4GCnhLJD0txFMYQToZ1Wge5ds3dwv78VET
AGwQ/zF1llRRhoRzpdR4Vs81aF9pV09lQkMimbYvjeh7mUYRFk7WVabjg+ppGw7jsB0bcEIEkZJv
SNQBOzlpqE2mQ5jYs1EN3hyGsQtr3Z9cTMSI1igZ3hut6WdOUscQIozGOdBpNiX+4LQ4dfqmgwyu
CN21RnGStJQB3ZrHH/4wi+9x0AQHMyqnn2OQ6v5D0snKO0FvzC5CAWKbg6gHnpFK2m8/SuZ7PZUz
2RaMPvfKsswHqo3BEKOjX3e+V/ut3h/MOhFAmd0kUuhJQRD+qIE6+iHUlaJYeVGE7+VkSBEVAj/L
LaMFrgqqy7k7xHVsco76WmABinahcACEAaMHzGcucQ1mEga8/Rx0FKpXI30tyWasDiVx0F277bxr
R+TcmnxpLYi7CHBuWAPgiQJjjZ42ZvdQ3LhtZs13z80wt16TgGXKnGBGUn5L2UPiP/bdZ8VVT172
hvVcdKLA+IYc1US+dbma2ldDUwk1pP7VZ6nYcuYp5JSEMYi59kLs6cXJrO417eH24tZeHKCQ/Wt2
Wf3ZdTS0YZDiPQAeAOV336u0yB7TJqFa76gYxhTJqRGcNrKEbssxvPL1zKUujvAJamEAoS8NG9Xc
CiZpwfeuR5+k+Dn3IOdSH4L+pYNgkBZMjoEHQZCo27E9zgmAvxoAnWGxmxTdu/1bVm6oi5/C7EFb
GylEb/FTyCBp6MartqCCwFxpwYUPZAbItDjnZCWRwsJxQ0lAgIsYNbpcu6/5eUSyIcOgkfZUpMCy
GGViqZl/7ITiCzqjm2ZqnkrCo+L7ZkZlnOzcMKs/qGZSMoA0CAX6Yt76YopkxwCmvhVIe4ex03FA
CpTE+3gGcGCXhIK/F8F7F1lAEoRf/qSIgtUmmgSRzay/F+Up3sSgrygoEZJUplPnt+9hoo6vfQAx
bhqTsNqFQ6/uJlFM78UYF3Ie8MQc11wYWSm6LKAUBYshi16Ng7lpw36ErpnQ9yiCd3ei0aiICuQd
WP/EqevkGRWZezX1QCGiUCh2ft12oOupakxY4dkM1hoRnxM0DJcfVA9UvRnNLrO06UUtRTeUsldz
yGkfp08m2iKBIWIGq7ekpqZSON5HgPy3avTUyk+ki+986XnERKqg8PhcV/YGel1gXdRxzsBayO4N
lJUVUosVRD5ykM5VSitbkT6fUFuifhE65SzSePoYobaQNp9+pT7d3pi1Qw7mGyhtgh5UxIP/cl9I
qIMzMxIhciNkPxSAMM1Gf9Wk9N/TC5B8LFUxlGHwVmDvnSEeNbWCW0/DTDWIvi6aH6GXYZb79npW
PvRScQTRJFgpMCTAtnsaCR1gyZhA4CO/j3h5kzdABmvJzuZdL76QzvU7ChImpRppCjUQMAGm0TYM
NqJigVOL82uud3ep5KOsAXFXXLoakyOKKRhJcbBQjlNB/x4CYYNJP56S1krMwJdDcEWby0BJV1vy
7bMbQkhNJLgh9G1t9+70vPzz6FFq7ayniW5CutlwMt/r+xZaaipmMMAKiHPNsjt3Ya8rY4UbKYBA
LkTARwBN5dex5YBerp8Jl2aYoI/0UamaRa8PXCx0IMfJ5HEvXV8riwW8exYqKxHd7suNU9MpkjIV
FjBr70ziSz7bSY4xndnx/5kP7zv+4FmJDiAQWGw3SdNmH66A+JOYcXvf5hHkt9vs38FJMHMeTZg9
A7OH2mttDeHXynT7Cq3WSZhAcRMeZ/+rbiJ3AqSQznhPjLwa3tpmon+F6xKXJoI8c2UWhS8poNtE
hMWTOerv0GJdkiN/3M/JPwMll2X+tcWiF6MBaLMQ+sOWMrcgZzBAfrZXor3Be62srklVUFkDZo7I
bF0yCTXUtgE7A0NLSyWxoOCG6aZj2v7MBY8TuK7TS6zpzBZziseeNKBOhS08XpGT/xEl5OQbzS8s
on/MKHBHxC0Utx+fbxteWSOeYiY4NqAfgSUyaZ5sGlGjkyK3huwrAGusnONmJlSMd7oZO//BFsoM
C8EU4HPfl+F5pBrqLAeHYG6ZQKZLxJNlTyxVTCR0tP33hqqE2Q70ppFzABrPpq9lO1VyMFWw1Xga
aMgSEwUwCbMqnP1b6T9dGmLOXKlMtZaOMNRl+yS8m0tvVH7LhgOCxhz99j7fo+ciyq9FsTUap0s4
D4TrVBXmCXp5uPUwqMbWinLVTAMkoyBJUQdbyBqrjTRrWPqh+lMO/J6s/E54M9crN8CFTeZeUxDN
5IzA5kxS14xdKfM3urJTW15Hjbc4JqiUVavG5VijAQ88KJjxsaiJgpxJUkF2SHorEt3IeL/tpNdv
5IsNZacpcJdDXFzG4nIdNbdd29gz+Tk3BI98a4zr7b9bQ1oqghAMTywwXF3eQdMo9jXK6Hj4F5Gj
TJWV1AcBlb4ErBVVN1BAaThJydqBP7fIfDxV7TCbqoPCQZBKrxkBJE2swdDcKMzABcvLTlatyXjB
ot0igViFyfwAVInDpMb6MPhkT7lOVWh1RFNhy8FrLvAe6VffDvA46F9iUG1JMpF0Xe6mP8hD33WS
gHarBdZrCWyHoSYD1HlnxA94sd3+dlcZymIN8i6QhEB6d3U9hJGaN6kPa4L5q8kCayCcFOj7Irt4
DjIWmEvBD0lbFTH6EZo3f0abdOvOmz+KJ+zK18j66GliAUlkY3PdfxY/gWVNR0gB5hDJ0bcUxlmo
7otGj6pUF2gu4iWE6kN7bIrXGKC1BBMQGSbzh3/WrWFMMh8vzUBd3stwj2D6maLLiYmiIqZ56pbS
r97A2LXPOXtX6TljkNlduZvbPkfdlo7j0ZBdBUroUuTd9pGrUMnYYK5Xfw7mTA9hI0RI9qFLOXQU
UPWKcNay5ot4XKFSg0InvJGJI4D9N6EcwU5dPqcKSKR5okbrm/XXABM2tKSd5qxYDIxPqEhI0kM4
ctID3hrMy9PbqpMSJy1MGCH4ckEDOROej3FMsDOYhQRypWzZpgYYPBK8iibnO6xvExgDwIcA4TfC
ZAP+KGs9hmixhrhZYHh1/Shrj7d96juMsWFBw3AzqiMGSCzZ3GbQQk3QeqxCe5G9N0xNvqag9fck
L9nmXrPhooJXnfjMHrOoKlc7US5hr3elJ+mtf5Otx8TyoeVwfxgO8kG3RU+3OYuU8bVvLZLxaNLO
SQiAGXYySOygUq26tmdz33dQ1dappp/CRVUAcNaksUUeleaqnwBnDTCeijogSwksBYmW6DVWrPt3
VXYymn99Qy9h4ezvM6cp6Ps+BlkGro5Js4jSO5NBxfku5Yli8NbBHKlKUwJ1WkJcUac0kza+yEME
XM93XS6FxfrWpBPiIYAJ1Dn0wP4ZPcyHfvMJgtzwK9+nVHMzt3zhid5xzTKJReSb0TwOMGvK1vT4
kH2JVkQzZIT74f3HZGfbF9POVE7u9P2KvXJKfDoJqpJIM9gXTCd2gohekkBnk1Y79VP2Js+4q75a
+/k+Tul0CnEWArum8Yu456nmXqPzl60+s74cmbNLGTzvwET4OBKTSufQKV6hblzT0XcET/4Rcm6u
bzqo67WC3gWlHiBYWMxRkUVSMS8pQHyovqpX2UI5fK9tJW98hOrjrqbA0ewTkfJ8dnWZC6IYWur4
BxLIl8s04nmchxHLHJOCaqpdos0QH2vFUqZtqdqxf6x4/c/VxYJnFkEOFCOoxzI2m8Tvu1LAYrMM
JOCik3e08vK9+ohZwMPkYjL/YdiMXuz8M7YB3/TcMBNbtaZqq16E4cQ8tiKdpGcC3GKlbm6H07VA
cG6Giab4lugTyDAjyu+YX0P/6M9tA6u56rkFJqQJuu/LPvCeGFCzKirvSpfct5QGhyawNWrQl2aT
ew/KVr3nnYuV60lBO1Mk4IZBIYMdWpHHMlTnehJo1bxI6NVUIMHfjryJtJWbHVZwGSxQCcykMQFH
iTNTTesZcY44OZonYZ2gfc0T/V75TihaYCxcRFUSKBQmYIt+rStdDknj2Hwx9Qcx5Az2fY8tX5xq
VCDBAYzZfWglLcpCl4erlyoVk81ZaO1H27CCjXlSqOHFtu9WtHWjfeK0++yBWIEzWq01v94PnnrU
8NLIaXbfnBBr9r5DjsfZA+PaVqaB/ZJat13paqeZn7js0VmYC42oFQDoDTE9ckyGfaI5iv+vxwEm
8A3x4AaVEIbWmW3uA0wXg8g3tMr4IKaPROH8/eU4sbusoaejAZin6YChXC5B6MUgyoYitFrlS6qf
hnY3hC4oocKIY+jK95eFnBli9iowfZyLAEIMMqazBn8X6T9J6nDJbuTl9LIL+s6FFAVZ7dUZS2eU
JZWiw4Js7XWkoJ49YNjt+LO0AaywAq89RLveyrYhjY/qQ/pobjMbGYAnPBcOr2l2dUYAWRfRAUPV
HtP56EJcbq6S5eA2y4fQkuSvNrI7DLzcdsCVTb0wsGzGmQNmbSxpUwQDqn6afTfMtiUQqTzcwoqP
oOsG31PRFoCkO+ODiZ9JvtouVqq71G9oLm8WigsjRUfFvr2glRN1boqV/pZGs1CkEabG+Z4UXtfs
eoOT0a6tBtWQb8VIjHqzl3ZahGToWgUfhXySEjoWe7+B+hhaqgnH5dc+/7kl5sbMZW0GvgiWCmji
xTm62Nxx3Ku3Bzzs3ATjYWZuiGJREuyXq8s0aqjs+HbpNIE3gZkBcXP+ffsDXT/pGIuMywUmME7p
CIu14C4yC5RYlZXvg0OFVIt8qobFA0NfF64Zk4z/tcKMK4LAZLfLhbsSLVPrj2mNlvgGCQF1olJm
C/bk3V7oiieiUg1/B6oR4BK2edgOQ5+QRgXvKCp0yQvRnLjmAKK/m2lMrIINTB6Bd4CoiFqXx1cR
tLnPRy20ers6BlSnxk4/ZY/Qu7PAvvOl2VB3s1qaHPLjl+IM9AjYG0Q8MvproMHH7fVevxgwQXr+
YxhvNeqsUSHjGFqTFUPn1AxtgoF9ez4QK/xoHd/N6VhZhe1bMtUK6nPu+5VQdmGe8WTMZ/lG62Mv
UuWPQWhQqrSKHwvwt99e53UXmlkn48DxoknVzDA0OQrNaHOsXdlJn8Gg89hupM3svfQWcSHo6hC7
PZqeues2aM5wJk9Xl6uAlwGvJGTyOnPvGsZggurGDDHtaccKpA5szTjNPK6blQiEbjHwziAGAisa
O8rbRYocaXMXWWoLTMtzlL3c3szr1wg289zA8gPOLqA6QD0vamGg/WwQ5EyabqN94Bjb8GM+iifV
C6wsdBxzK205ltfO57nlq7MTVXLVw3LjFCnt38hX580nyHUC53wn/KwOTYR7nZfB8zaUOSS93OUh
yF0iq0zcJrtvy6/by7p2i2W4G63p72L2VboXhRB6bOoAqNNYbjem3x4NMjfbtgCQthpDHnzs+i2E
hsDSE0DPGBEIeKPL75emc5l0PQoioWINDtD+mIJr7eHXTA27zZyaTm5MX5NnlAwC67eILg/nOC6x
+zIE4gdgiAfxGzOshDCfkRijAB1O/IA+QrBZoh05BfcD5RYJrr/cpSFmpRWJ01SOYEh9Sg9A5c4U
SPlyH20z64f8KbuGSXmkat+YqFuLY2JakuWz2miwCfDqs7gTLfLeYT//GKfIAkCXZh884Y+17fyW
loUYE44eS/rS6zIkcpfZM7VSKYmdPLRH8x4QSDG2oaRIfR5Qd9WDcE2aICADYu2KWFecei0W5hCT
oAfFjreZMzimg5sD3REIksVfwbN+1xvWRHV7/OzAWcRxoJVLdIHr/f0BzIeNTA3z1Tp+QEYVV9hA
AVU6GF/t4e234U670Q724x7TCQ4w3AXN98kzAZ7QEnfHdrYqnwKXwflFq2f47AcxXx1voHE24wjF
hcnRGrAo1m6EVBlD+7djxfJ3WO8CHA+9SgNZrMx2Upp07vyug2B2NJ6ksAHc1x3K+05u3HL4ddvU
mluBYxbETHiKgrmZua2SSgUCk8CUUXTmQ5KL48OQNvt5SupN0TeRJU/Dh9JM4z6Jxs/btlcPrqiZ
OhiwoW3CjrkMgTIKtYHtVBGbfD13Gt7U9HLjsxsJKsDlMY9RFsAvL4NgEIPPLNdiwKtUyOoJyH30
FgTi0Y9Wn6weyB0d7OX/YVFncZcJe7HSRWHZIjJE1X0M5ub2n5HIQNid86MwWU6TtkTsFRHyh+H4
0MyfRfTWQt1hSsBvP/My9CuPX4yZCkbpMRYpYkTtcgPRlw3quAMZC17fyAx1gWC6L38rTP1NSAFH
vb13K9YWtV2w5iz5E/Akl9bESAdPWRFX1mhkP4yy7TdyZNROiKvsofcnHvDhKtEAhSL4yJZCF0CS
V8csDPrIqMykskSMo9OuSqBeI8kJHVu8SP59ZSAnX2bDF+ARy0AXpUFvhmJdYUCg9MI6d/K+346R
vmm7hpN/Xp0qrGoZO8LFC4+H519uYjcMIFlvYMqI202mj16oN/bt1axtHGaaEC7Qml969Jcm/FAQ
0dbJK1BEgBawD5rfeih0tjzrf24buq7DYzHIorFnOMS4iJbwdZaFVsh+y7IeKuiXQOlN7PYQxXDM
3t+Wou6JbX1M5GonJaUr+Twg/FVkxIQYZixw/RAwFOANx5g2lSmYCxAeiZ1yFFLDkYp3c3zU5Vd5
7jKqduB0qv59uhsLxvQPQZoowl/Yax5kzl0MRHRlyf7ktP7sFG26lbLe1ar6Dl1XUJ41NBMUO8tU
L5/CmPNpr66exT7aD4AMA3KosFXJustbpVLEyioHDfjkcdIx/Nofwf4cOiQWMsz/dZJz+yuvudOZ
TZb5rBN6nARUhcHRZUMD76cIIqQ8hZ72bTNr0UXHipY6F0CGhAmcmd6n6BDIlRVFpicO42clqRtU
7TeoKLm3TV1j6rGNQFShMY6giZcgkylEtZmSGehhq4CI8DIxSnpiB5DQkqLWTqBLb3SVnfWvCQjW
+j7w/p/mmaUaI2SGggrmm27UnSwDwzmJBiQRBKIk0L23cIOckLdMeIkHH7oaH3yj/uD8iBU2IKDB
gSrD2UE7gW1URuhUQAtCRQ0pjO81FaL1A/gZTL/6JU3yLvYVr4NCXhdi6AAxi4NbWvvYUGtUgVCQ
oBovMqc3N+rJqE29ssCJdDc042MZzI9CIL5Vs/l+e6Fr7ntm6juGncWoZU4WIigGTLVlZxdTnp3i
HlUIrSY8yYO12I5+ASa/UANX8bi6jEny1BoKRBRxY0F3QKnK94Gon7dX8105uMiZ4LomgIDLLDo6
NGxwzzBzguxPLsGuvK0IcA1IBn93ySZNFZo3b2Gr7bXgZSq3/vhUSb9js7Sq9E4o3Wze6LlHJqh4
OWXgqaU7KNvbP+76q2JqF4A9DPIgL8Y4x+X6m1ENSNFHpSVVtizNtAPkbZI/Y/PxP9j57s2AgBBs
F8wFN5q90oMqvLSK1KcquIpjYKZSZUdynp716oqwpCUJBoSWbfqGQln7Q5SW1oRJhnZ+1Mnb5J/G
jJPmXzsOpFJRSgXLK5hegSW/3DhzVMlg+OCYa4dUsyqh1SzfR9b/79uGk4AWNiZcwF3NuGfTCWpT
hyBb7Msx3YOhT7gralmzZQhkYdqr4dAjXx+8hSoX8+lLdwsUtsxXkoAkGWcfdGO17iNp6zy10y2t
4CXca3sHIADSUTRdr2HcyOaVJF1wzKO+yfzfcvp2e9eWYHx54LAMEFVhLZiBR0p9+W30JOwnLetL
DL/bSkl9zGSQcC/JKtoKW9L9uW1tfTV/rS3//yxaSZIfKWkCa9GgOrMYHLSUh5taTuHVgv4vc7qS
UFJSo9LQVSrBNrRpOjdUvUm0hDHzIg1yEYBLAX5/e1ErniArqLguU2wSqiNMXDDGMDb7UQEjLho+
5uwKs2iDA+e2keuiDw6OCRKphSFmocdm/M0fh2IC1wTY+tXM1orR0g0BE0gx3sjxjynWnvviFU9Z
O/EfQK3wOYnlHuKYtanYlcwbZ7vmiGB+jHz5HZsB5JT+koOb5oMwI+K2TgBZ7gS3EW2NH3lX7HuI
LJiz4KTD3ThOnIiysuV4EAKchnsIyshse1keUTeIC/QNssB4xrstsMAb1lhJk/KSqSVqMO5EoO4D
SaEFWoGU4nKlRSlFEWaGaqhlE4yZCi0caBbvKz34VLXulFSgmLr9pb+hxaxJ5OAqWL0wLIiK7aVJ
NOZzY9Db2soP8s+lYho5n++xDc5hJ7FCt3ZAv+F0m5eBqvTh3wcIDUxiSpgYAVwd6QubPBJDCFV5
6GqrmWhT0+CY388wa6tOcNdbyquSUrzqjtnzJqECL3Nd/IZZOtiCMMy3dNhRD2J2O0DaLygFFE/k
u/IAXMbO2CbWj+Kt2CYuT55szYlBTwQyBpwHPPHYLsao+CBDarHPwlNjzRuoYXggI93ODoAdm5hz
XXCtMaEvTPVg1kwsrXK0XbADIPqU2hGkG07vZJ/zXlIrb1ccjLPFMU6km2klST0WNz2APQWDcBSg
hdTWvZhfj17uiKuvdmZrSTPOoromxTiqHWwNu875QLHO694gXU/BjeSOJ14athYJL5bGXPQS6TAL
uiytfcPY4i9939N+hwEuQksaPLVe/fKQ8c7k9XPicjuZN00O2bFBKmDTeMg2oQ0iMHuywoNJXTQ3
Krt1iDt671AGdnPv9XY8uG6NY7QCBYilAIa3DEDPl9s7pKbQTDVsS5/m7+SX69/J6Gd0LqoD867Y
ctsLKyHvwh7jqWrUiUm5fE5yhyf3CSq16Ny2bxVQLnNA5ROUY6z0zrByzhW3cnNf2GVcth0mE2Kc
sNtZpQt2yY9H1RNFvruurw8SB4A3LxBWxn9SSS5DyewR4Xay1/3J7hQ7tAF8tEyrdvpf0fZXuOv2
E3c4dSX5wfr+2mV8yMwxxEXiAaqEb8kvVBkC6h/qj9qRrNHJU/rywBMhXTWIujqE6ky0wb4d6+xc
qq2i5vLiOIMwHzAuvm9zHv+Vshqxz2wwztLPGMjOI1wXk0XQzW6ck7SdrNPjmw9EHbokVD/K27vo
5Y9Gp3fgv2jgeuE+ssnRfH4x/j0TUzHKSQwQgqBoxhbshkiNjPh/SPuy5bh1ZdkvYgTn4ZVjswe1
1JIlWS8MW7I5gPNMfv1N+p6zzUbzNGKt7VdHKLuAAlCsIVMUcVKKl3K6pLk3sU7HxicT0n6I9gz0
5y4qJdeHcVZ0UgVEqa1UHm1wMAoiWDmCU9iznsJNoD8DqfgKxmcGdRq4IhEKkss1Ct3WtI93syl+
l03lSYUYy2A2dnXkUfuaHzuesYibTwdCTHzpSjp6J+jaaSRXXdVMaKEb3V7flY8hwg5HPXMepg3v
X22bNq6Qlv9fOSh4FzCAPgJpIVi00PplQhnyX0BAmAc5RR1dq/QZiLu0D4cU+1X13yLwiQTSrop9
nRW5bFqy8GqgPIpggo4l6hwJ636C54XcUc0vYoWCoTWxNL1vq6J4CpBRwmkWQPWKo3W9YETH1Gmg
qXj6PkcbDIcm8TQnNFVfP0apOTvtPjIfBrPYBSfNZ4msLh5HP/P47hBRzUJ2BnwW1+DGFJVjpcEj
Nb17nFR917WGGw8yY8e2jfyLI1FcXNksQMRrBM60xxB9L1ngp+IswcMdeRk8w5kVM+LQtlQ40VJy
NaDlYvcsdYg/xaVba0FIjVyCiJhUura2y+NIIAUcRz01P/RLiI+uI4hz7elTc+td9EOaTemjdsIX
fgdevs8Y0nWMhdj0KXxxLKqD6Fime3lIKGcQqsEvyGZ/GJ+0oMIwgKNDYOFfHJEVDnWFT1mlT0UE
nCCT3AicRvCwb12SYfxwYpSHtp74haXjf02iLrWFzS3RO0BNXH1ShcAdFMMuqsIShf61Vj/TusS0
IyN42wyg1qjUqeHaXJr7GqjzwoVCMDHzaxLMCrPGKCtqsg+eGZQVWlDP6KIvNs795d14hTEGZ4Bp
Y2lBxdj/tSPViPnzJA/gSFpiQfAMwr3/fAM1VJjRCYzUAEpWlKuijRb07wu9fy5E5gR9Qe07aH3i
2b5vyNY6IhMF3pHlYViIXa8tKcUQLRNd3FgZeJnc8iz7gauc+K/W6R3oVEALiIW4EXZfIVI7p4lT
ZzQgC0E3VoouHvFxeDQaE80eza5mESZs7dPaOios7EXSlcWCFVfojdSsAXm9+wu4cYFeWUMFgGLf
zG0WAqE0fAUsF1wDUUTWki3uRN1bVyDULZ2Vo9rVBvo2eE99iuzOgeZk6gz28+RpX/ft2YoUMAsC
ggnoWy1+QTnenDUpXxcJBs0/sSuYfMlMPESjWXvqaf7OANuINBHV6eijwFS2KNPFyTGGtkOopI0l
esaZd+ZD4BpWiUmzH9DY85gd/5vusIKjXK+SSmlQshyUk71kNxCPEHTWVm3kXq8sojyOBHI+Qy+n
AROYPTzJXlSYiVtrpuDpdmeYrSM9LZ8kpVkc49/KC2M9WQZS3giaxkqdc6B3VrGklh5+9i5vBY9Q
DXouvmor+nUfcOOz68payjG5sePHqsSCDsZjnDpcbooS1JADM5cYPb9bSGACQXsFug+h0LlYvgor
pXHEbc8XjTVlhxqk0AFSoF9FbLesKZrb5mZMW62RqBtR5MRq5kQgqaeEM4e96inO+fHMl2a5G83Q
S809RJ86M3A6VkF5o8p7jU056FzXmtgawC6eelMwDSs4E693fndo6dzd37otR12bSTlqRUIRbKNl
Y8kf+TE6tzvuxD01DBDWrlH+2HZZFNcF7DHwig3CMogoVRA+g0Afi5dsK7jDvi1zZuCURxszZVAL
rZhYINVi0OyCMiZErgpa9s7o17vvkVu8GyfxJbpMhwRJAvKTTIzQbiuHdfUDKGNB0NrUxoAfoAfo
ua/fq+JhGWstPpXJzkFfNXzK8ufcPKCIKym1CcFwplrD7UjTH+f9uwjUgayzuYOQ1bIIp8SfnlRP
OOjeiAlX/ivzexOtT25vjujQFzDrGrsaBt4ibzwb5qvm/+MG6OvfQg/oVFnd8dOE3zJDIr1Xn+SC
Iaf1J6tDv4vqIj6lIhUCghRqy0kdV3PM143VIy2BEMbLzO4hQgwTRsiKyjvMUe3mR95jnZ2txC8Y
9/8CU1udcxgtbkYAYy509nl86/LoEobU7XLHxyWzJXk59/cMpbaVAwM6qTPgtYJoDqhc1IEpCuBo
Npz7t8Lyh+4A0YPvOjeBsUvHnvGTpQlWExzkeL/UqlGnVmRXij7v490O7CxO8ncl6ZIrWr2SBCzg
jfUR7pvK/IUXBKd2thD02rzZQSaVEbCxLFxCktVDUhSgIg1VWNglu7y0axl1HzdTMPNgltlvjQW3
FR+u7aPCKV2BKK3SLp4CPjDeHuufYfvIWMOtiHqNQb2NylhlnSIAA3OfVvcreEkP3Ediqg/SvyiL
Xu0W9TY2rdTIrYDFazsLjKuZ8JD2DA+8JUGgPIJ6A1NVbsP/v2Iu9OMscZ/bmYeWnhYeQfzGRTf8
TnyTL/cX8U8259bzQa+GyQJQIdCtokqVklbVYJrxrO61g/RmIHvcmI89cjGgjnNL6w03p5Uitcvv
eFv4/i/STVjbvz+A2sWhSkicx9hFAVpu1RFE/ZHkjSy6uq0IEdVmtDBLaLeU/qz+yv0heKhxM3KB
oP3iIVqfmQZz0HBx6ZuVlDWkUjEvAqoFyuUjY0z5Tochqoe6mJV8RZDoe4gfOTt1Um/wQ/v+1m1H
TStAauW6RE+CyACgggDDnAbz7btoNs/TrtgNjNtj201WWPQJqJDKqwNgFQ4fOCp4FYjJW6Mp+y0q
9qZqQlj7MXj8LC+h06J4RY4SpFIYv2JjE6H4AnYA1AEgvvgn27baRELqIK1EEKupKF6bKLvavTKy
RJCWN4zaRsxr6egiQq8KnjpqG2WNzG1iyCgRVbXNqV5N3tGSO/cYUOnOEUv/fMskfVF1BCa/VIqv
r+UqldW5jtCIpqb8/Ky21bcJW8oq2G58SKN7EKUEFC/BikEzEYB4vJrxQYP3M7SD0U6bzA5Vs+Ff
xfa9TR19PEL3d2bRiG68AWtU+lHNZigsNZ2EQmPxVabKm1iLjt7k7/ePwQYKWqX+riAVk3Tg/SqK
FA2KQwy+Z1nct6qMbzF1dx9mwy3AkouM9cI6jRImFYpUSSAkeR9hCZHJdKtegxgmgZpInhfnqjb0
SyBX1UucMtk+Nh5uNM4hyEPXBlo3aK76to+CTodCNOhw/FB3OuOxRnibnCryAUkgQp7u27nx6XIF
Rz1DcgjzNRlw9YRTzjuEK52kqpFftAW46X2wDe/HcCdID1R4JjqOqFsllI2yy5by5Vz5PbgLU4hg
30fYiCCvEChztDRVyqgdYU4JveucQIjxImenohnt+0Bb67Y2hTrI0YA3gSQAUvmnZsAYVVg6c3UQ
igyUe/8izX1lFeXzpVpPY8Gj/NrNXHXOIjI6HVeFT+VsPPF5KzJs2zhiOGBLpzeofJYX9PqSmrJO
LicFcL3xlGd+HX8xCwRby4fMMq5AGbcuum6vIfqKjNkkzihkF4+xYg7dbiCQRn/uc0bAsxVngbb8
LxK1dmMAZc65BNLkBV72e3bbw88ZRRnNUS7yc/hYenKIrN9979i6Pdag1AqCTQcqmwSgerLLcD3x
j1pvy509RZeoZ3webh2qv1hIMF4vpd6BSCEqgNWOz/Gw11l18q0PftzrS4iDJlgeasvXAGGuzYFA
cK/P50K3eCc7Dd64cOzjawkP/4APGMPGBwyLJ2zLDde44jXuFEYjEsLAjcNFPuktCVKb5xgVlm2Q
/zyV9IfZUKRGmQ14KvG56ZESQXha7CWdJdS05RBgiV3aw9EcfqNMFRgQXQtl2KLxv4t0N2SXuSBm
X4PQG+/yz/vet+nzazTqFhQhytOSGGgY6lA/9GQkvmpAagWdssEMZhRJckZ452MrhIoFJtTiqEFs
2cesUONAEzi2xrRv/CjJVHuoW91pSfl1/yduVUrRLA+lckx6gPKDlhWICymfMnWCUxHR6du3Dh/f
XSTaSWK4Q/UpaiBpA18g9LQsge9PrTTJ5lAh49V9n/XHNKp9TpD3qBqdFR78HgZLx2tzDdc/kPK+
sS5A2m/gB6qn0U1ApRTuUnyhya0V7OTnzM/3EQ62h4mm+yuzdZzXuFQ8OkSaWAUJagIFeWvlU8ZK
6mx54vrvL/iroLqQE5nIMq4LEadKQs9g29tatE+Sx6A3jYxRNd06Xmu05f9XaHnZQxcXs0KY/P2Y
6iVv/qqw2L223vw1BuXtaqfPQ1VixbjUTciLhPwNscXpcn9ftipGGDYAsxfGy8CjRH85Q8orG7MU
psziK0gTrbrya6E1C2QUFU9t9jLaCSpW0mPLtjUotVuNIVV6oMALh/5bSl6UFF/LJ5X1VbJ5xeNq
h2IdNMiXqb3rbZLRyxJPUHezahsHb7bPjRdrDnbLKU+BoyPnN5jyhVW23HIOTGtrKIhhbO5mSDbW
uj4TdazoUBInrlCBa/rXOVcZNZUtj1/DUCdZz/SAJxX8I2q9ubBxps1+xqQ7+Mh5npiyxHiQtz1l
ZRd1hLlabQb+j0NOrTWCvV7GoBg+Jo6ZlNhDwWtgdInO0CYyjapnRB6sNaUcRowgWC/xWNOAf4q7
76Tz6pEhaLsVu63Xk3IWTtSKmSdwlnhML70ObSId1LVa/VJHvYNOIsb2beVOjTUedb7RINDqQQo8
6dmW96mrvUuQnHtu3NmafNQX3Way75/1ZZGonIChSWAnwxwiZknpBjYUxpS4CYCoptyvKRl+5qnM
gNjaJ7TJLxN++Ey/YamV4lRuBwPtUHL2OJCHVHvhedaNtbVRa4zlYKwuXwlBdtPnwNBEazxg3vfC
WbGj+kNizk+d3++hTOSN34UvFnPRpnE6+kbAuI9mK7pg0etpqJMM8YcyN27Qk9gsmtLMgoCR6Lhl
LkJiGSM5+NZSMOGAAdVrCydFayd1HMBH8Kx6hSN8cucAJ9oKH6IYGTJbsNGo7vG+3pnzZMrvaAPe
65/8Z/SquzFjRzeGH5YfAyFONBaAyZvOJLWxFqoQUWvRvqC4Bb42QKQCBU7NFR4wUJqYIeiTmqP0
S/DD1My9xFO/sa6624W//gmLY692HFNdUw1qezB4JHtDdER017E+bW5fJEBgkBCzcGDtBOnANUTW
yELFF4uV5VdX/zbk3oyRyep/3z+Ct757DUP5LkG9PeIrwKQQ/+h/8oMfFKdCHM2JZ/GlbNTXFix8
4SBZhqw8PeRHZjLOUQCscEy8tPuaZfXQij+Qn7fUoTQFCDKjuR0M8+RXq8a2NvUnQ4G2RI0u80R3
ufRxDMnLffs3HpHrH0XdejJUyoOer1oL3y6QHmkcDl3ekz/FtqS+z9VO5x8kliDK4h7X9x4w9YXW
AexHtxN7fG1MhSQizZTp/BPJ1Oc00Rjh7e1jfA1BmSVFhBunqm4tMZecOrEGweOJzZWhP3H7CNS9
95dx80CsLKK8temMlosawEEpzRwwvRelDbjpKwbMpreuYChvHdQSwncBFk4lwi5s3CJB6URahvcw
wOL/C5PAhIFbRsSwE925FA59lPSQV7EEFBKVClz4rYNh9fsgm+5nQPAKTNkguORpbRo1r9N2zGBR
LfyO0EWETB0C6ziwIFNlZokVqaYo7u6DbrmfgW5HTKQi4w/VkeurRZtHtdIVbFaZYeC2lh7SoWYE
E1u31xpCvIbgKhClVDHM4uLE4jDHBJUKpMal8tt9U7YcYo1DhYBxRbCqJXByjSCsPePDekbLPfRx
W47hDywo6s6vxEIgjQwoIuZ2pJtlLaKV26rbYxp/3rdKZO3QctxW70udE3XK+BbLt+tAhSia+qn1
ZcewxDNmNi3wxoJtWHBmb6+fo8u3xPoW2op9/0ds3SDrpaVuELRbDB3fLp7Z5U6WO8NcuAP6ERTh
wIU2x33dh9u6QdZw1A1SgWNjKnTAYcjphRNnpPQwTVmVyFfcB9p0zaW9A12JOAQ0eZWA7IbEdV1r
yZU7S1AQO+nhj5nlLZurt0KhbirDiNMMA6etFWfeoPc7DuROcXAYm8wp9cewc+8btdFmhrGWFR6V
Cc2rqtTAz95iCNXUf2uhmb1LNv8kvSmZGfZmGVrcK1ogduJD5baYDwuf7/+Aze2TJKTdMEiBjinK
Y3tJ4cZogr1cAs2dMLZi2VJZkhCbx2IFQrlkOKkR92dRA7Tq8eJb3LEemI1WnGU8aJlrXTijBbpR
eiZgBRkDrGPOnaviMQ+/16GnjZ+x/FX3ZzXZq+Up5DzCv/yL9VvhLqavTnwAtggSLSe+mUNbgNyq
oiEiyi73URYvoAOPtXXULnF1n/VzAJQqf5CLX/J0FJFYQ2EvLHOIhKROof5jnpPr9aS2bCzKykB2
Cn7R7I3kO1QPw+a7wnqrN8700vELKgy0ZyNipp6BHlmAuRWBUgaclWiSm6JURPRzL8SMV2AjhQOI
FRS1USFEggctx6cQlPKMZ6E35118mj3uJD/WtZn5IPw4GN8FRlPOxnWCKhgSoUiIochCzyiVDddJ
EE1vrbY86cFoqhB6gTKsLBRIqDtdwUg9bJzmKzjKyFYaUiggAK4Ujxl3EZKdwDFc8VaGFnwfa5Mo
XxzVctArHhi1coH8H1eDb+jUpXafQ6gvdoT+dyu7tX7g9ae6Pyj5YxOfoZPQ4WKLGKu79UmJ36Jj
aWXMLGh0MVhoeKjbDwT22uGDdO6ws8UP2brEx/7Y7qJL52acGewWOmTV3EffGpbExUZwcfUDqGOS
Bxwq+QQ/YAzcYHTLyI6M773xUEaadf8KYNpKPbR1xcdprABKCu0q2fEKpkzlr8j9RY6fiZu8FYId
+yGIUPNjZ8YvpQfK5/s/gWUs9TbqejFqFUReIQdpD7ItgzGszpw4/JCS1/8OiXoVU62Y2hy6XBZY
f/rgUKX7Kb0003MQsx6O5URQN+t6A+nuVBmMSHJSA6kWj7X80RJGQL3RlYShQRnNZGB70BeeiesH
opFLSIfIaWtN41kJzphxGVO3ktw5P0yjDeOkMILYJEvO5w/rGGUYhspxKCSQrqEZmvpYiMKmKcG6
3lpGK9k17rcR9OeJl7SGKQ5OqoN7iFihoe6y8hD2Jy46QCN6Ug6q9DAo7+rwhC40U5wg/Rd6JLCT
ondANj3wBzK7Q2FrM758JBNqJIkeHLpgMmN9dHpon7c5ZzWQYY9KzF39EDsvzVRLyyazJIepPmst
746RZeCDKQT/POsG3PBREYo+AtiCEArcCBciIYPWzllBHIAbEB2yhXEixDJ4p1Jq+76TbtztV1DU
ZVsM8tym4gIVH2PVbiIw2kHLFhz6oOYuGTf7JhimFVFfwb8b4vdwHro0kwCWgjJ7zGaX51SzFd65
4Vh0D0nZuveN23iZF6D/4FEXW9dMoB4TgEe4Vx5DLJL4EjaqO3fOfRyWXdStJoBrpmzUxS4lgPZi
5uriZ6F40hx5pab7+szqgNkAlBZapKX3a1GooEIOToz0QFT1zhJqhw9LP54/pvbE5dU5Fpx/PlKO
JISIiTokYJErp5//LNdACxcanSUqgTWV3yaUlyPVHXKGd2y8+1c4lCuWghTJDRgUrdw4j+SUCi9x
z7iSNy7KKwjq2ZdmyYhRbOusNpChvDtYKkvncdMIMIwiwYjrCl0A1zelOEtqmEdYLDnq3loolvdl
dMkTRsywaccKZfGPVcDeCzqnxjxQwK1nSuh8LYrdfZdm2UHd+AkXGSI6jzqryn6VFZRvketCmvS/
AqEnqWWlkEIcEHQAQFKrVfxBl3HzMqrTjLWiOXv0DH19cgFL+E45R71oY37Pvm/HVnIZI4b/2fU/
LBSr/ahrUrUKOGYwUj+fYvUITT9rKMBZN0l2GefHrEUxIBrwMc6Dx05zKgjujpFgR31uKgPvBcNz
S1h1gmWLqMfz6kdRl0SOlqHW4LC6WfdNL56r6SEMD6Cv7sOTQJy+YzQZbly2V3DLPqzWIAn4Pk/E
xSfjwetjw+Tit1T0AsKovLL2kzrDXW/oTWksZ5gkj11dHbL85f52shCoZ6OoQkMfeSAM8nuQe2Ir
MPx+K/F6tVbULaHG6YwhGKxVqvAvepJAPHsewLJsTI9jzzkG0d0xLsy2uRgh+W/BqcsjCmeMDAwB
DgT/kgW1GeGQd+dsfmzU/ZgYYGM55JzIQN10RmS98PSj5oCRtmvvaGpdDWUuggQVbqwgd2I5QauP
pY2gjvyhXvj21/093PLGP0r2yDOj/0mmVlgf5aYcDeB1Rv87q4uXEbmwTshtXmIuqLhx0NZY1IIO
LTgPKhJjBPeIJuw6RL9c+UM7Bc/fxEv9WTCa2TaaljDJDAVh5X9Mo65mPZBTCJIDrv/kH+JX7Zk8
TL8qA6oO4G2XHFvxX5Un5mDC0mFI3yYrVJqHuNRE6NinQMXXqTP8Ruu8cpJ9sHpEZsliB2NsHi3l
pwtlwecjsFDotHNQns+5RZKLziIt3Hrk1jYtG7u6siIlwaBMApxMMnw1lQ/RAAmiiZUgYsFQF3En
RLWUtQuMwlv6sE+QXWNl7TfID668QqGu30mftKlbQDgQ3+le/Z685EfBzg/Fu/ycqGbMuIY337z1
4lEnGmw2fE+WTWry1/AHFH8/WvCOcU7s9RbaRrlf5UF8QfOj8ZS+3j/brPWk7mfcm2kd10CWpM9B
fxWlxqz4b/cxmOZRF0g/EYHjF99QTxLaAT8Esz3EeyW3uwEmFe/zfnwktlKaoqezPrcZF4pCXSh4
tdVorICNujg6poSzjEK8qWLQPnS+82gr0Bgx0kb7jQpWdVFZKHD/kFNdn4RgymKjbAXM2pYxvu3P
WboniZNKNsb/7Th5nqpTHuy6zqsmm6seEuIxlnv5kr++XpYfgCZudIujME1/0UBRNjTSXMbI2lCb
pEcXZqlYE29ib8GRlWAAOFKdOXCy0mEga8tq3oOmTk6hh3qMhgHQc6oHtPy1dQYGoR0Z/JicOOOc
Fce6ei8kr9ZeDYg9ibHJFY7E/xKEHyq+URSTH8mTsfC2hLwjtU48nPQq2M09sbTyBVkSkXvPito2
ysRsQHXY1h9jxFttew5BayyXO0mMUKD0exkDgUhfNMdmJijUfOigJ+Va2RonVxB3CWhMM1+p9gWX
O9Xg55wXJL6az2aLBk/dUyev7p/JeAqksxLmkOQN7Sz/CiFMlYHGEVFFhr64+TFNzrloq6KLhsMS
NAD5Ocn8ZHL5FvFq/pqh+zvYJdpON16L8klqkRGATPT0lELLRiC2Xu+06llv3YxIZtkfFXWfhE9q
ceRAYKW9GSj4z0dSHwoJSjDE14pLRry8+REML6ib5Maz1u8K1dQmj0jnHOeH70EQFX820Ftrz8Ps
QszHiUHJnr3zzfdCiy2UREwERUQ9RbolC9/y5JkrfkhTYxsYTkfA0qohlgsEb5W8bzjbiD/FQrHk
8Ds/PWTJmStBrItCitijT1934X5WUnwLKvAVu3P7u4VSg3HkgzPSWH3zTSc/hxpCTNWxh4BBC4lh
EG4ao0V6N5Sdhm98rquObTh5inhOpcHkC93TyTu6hdwsdjKDVXfaqK6B6wxdm5he41EWoolFMiUM
aiXqlmYcS/A1v3Zb0KbEZnpsMIZr8o/SSftWO/CwZ0znTYzAbQseM6QQ9jEEtHCj4ev6aqhSpehq
EfDJMbVFa7AgNXuuwXtovj2rx9DO958oHL01Dms0YGM+ESn6FTJ1MNViUrUaj9qf9qDAEfeVOb+F
lZkhdLUumqOdIPl4nHaRr9mlnXjcaPI29G4ZF8TG/XD1M5bnaB0l9E3RhtDOtMSFigTQga16uIwH
8DB8y028cLZ2JOa78XUf+DYKujafeub6kugTr6FeNoZ2lH2UotOUpdlJLPuW30/df1f2US8dT7Kh
0hTUrzIze5At6RC5BHZWdu9B//DQ7DqLlVLaKGRd20a9cFkEZvlWx5pmr5UZ+blbySB0QP7R/tGe
HlJPsQZG2MyykoqaU6kGTfnixpqxlxQvGB8kbnd/w7Ze0dVKYrSQ8hTQS6ukBkaihj95ZTfzuV8m
jdkMP1Bxso10/NEOoglSc2JCU8KaBMg+xP0TIawvzD9Me//3pqJod/1TDCMVS2MpySMYfDIiaITl
fmKTh8D+SbzRni941SDFlpuNq5s9dDdba7D3SmI+31+TGyeGPhKE7sCVvBAZq3TT+cBFU8qLAcKo
CYKTGDascLk22onZun+zvwD6Q7uLxn1c4bSoqJHOaalCxwOJN9DxqblZco4kuvetud1hCoU6k2Iv
zenYAKWOTR2DPYjPzCLx8l3wXPiSlY9mgeIVi96XZRt1QnNMJWhhlQwWVzy1yUupuINg3bds+RNX
/kIZRh1IZCy5hu9gGJfwvJ+SKnsTOUlNnLGYipPWJelvrktGRh5zyzvAjw6qGYh9o2+D8lKSoE2m
n9MB5UCPB9kdj6mL+iBK7/eNu/1k/mPdXxzqQ2+WRehioMfbMhDX2cLoql64F79zhhUe9ef8Uh6U
E/EVq2F1Qt5+li3I4HpCr6W0sHhTWxdqszEYMQFJsY9T52u8+YbJBEfyGj9xEKWxOHWZgNRGdmHV
xXUHQPUEzW9khj3DUp60jwEE0NFef2CmI24SA5SF1MXKKVM+aBEAKwXMNYXVg83FrBGpubnFlLG9
Ldxfo/3JrK0e4y5Pi37igTbawln3+k+ooDZg2LSW77PZU88NAiOooP+AN0071ru1eRDxLQAhCsjS
83SpfhKKIhfnbEBjFVpa+92wZLEUlRVybR4LCfzPGJyDXghdRFBbXSsNLCuCrQ76rjz0XLljtS9/
Bo+aA/Gy+SF7DN2WJXi+7Tug7UDpYgn16EcDM1ZdqOrARWHpU35CY70b2OlP8QXzhFZ17n4yjuVy
7G4unRUedSwVTkzbKCpAFCuik6VtTfSfWrHX2Lw9gDAHX3+Mlb3tP1jcZ4VIBbNaF6RqxsFC/SOE
vhPy1G7ucj147aA+BUGB8wSyJc5PQLP0GxIWH+WeO7Ko9pew9cZqjImCD9PAStM9gHVaNnohLZdR
epSF3zpLxGTbyBUAdQWgs2zIwhZ3eTuq6PIuTKjAWgmvX/IO7aldaaDfBaX8OjWTSUYKOjKDEUXu
IdqFZQIRPsUU1QBKIdV5KAef6JIpDPWzrvRI9XEx6wPjNsxf9mT1c6kLpCegrObF5XVTffVjEeEt
VDd6LneXEjya+mfmzoOd7KX9aAmqPVqT/fyPO2Cuf4JBBW4SJ491qmDFQGVb8R9c96THkHh6g9Aa
wwM3N3/hGVyyHPiYo96DpFeqOGlwf82odeVz+TCOvMc4VpvXB8aOBB0aGQtFyHXsN+YaPk+XGxk8
TQqI6h66B1c5SKCT+d6a4YuyhwYBeiTd2r0PzMKlvteSoCZS3ALXiEVfLucjqtRWWExOxKLa2l7F
vxYu9/TqFeiTSZnbEEi68RbHr3Ls3LdkOSH0EUWXC1pe0DyAoJWKS7SmjMIhrOCSoeI1SHoEj1A3
HHIPGsMPGavdY8uaNRp1DWZqOUdNCrTJeOtCdxEsvm8OC4ByCFWLlVFYAFT9WRa+IB16/+9vBY9/
2Mvx9YNGHY06wYI4SZLa14PVaz8bBYrLXhO7mGYxQkaUuhl/r5B06qAWI7h/NQKkWOJ7aOdFyDiT
5JSFX2FA3FCU0FyatnbeG29DnIOuKG9f+R7TDIpePARpw/D4245dXBxgcIEizaL1ibbua0ecQrmS
+hy/h/wGFYlht2gqasCH+oAmJSREWp7xFbt1xMAIiXlCUH6jg4a6PuRYkvWoagYrDEA0oR1LKcN0
jVM09v0dvQl0FrU1YfmS0qDqBJ2da7v6LAH9TVVCeRjyOrNNqie8xvchbhNLCwY0WFUFwq88+p2u
MbS24sqeb6BW/zGeE7xSXu+6ldnv0PNsWBi9ckALPIFBPbNZbfjb2KoOdjTI94qg+77G1tV6FGK9
TS2ySzpzfM7B1RtBCr5BEtLikPswfs2qNZ9Cd5zN5sCM0jfX9y8+TaOEwkIpySPwkVt5wnB5jXlG
3Z6twhscf7aGyBasZ8Z635zSZb1XmNSexmOfdOiwgeg9eHz92CR76BQX5k9iVZ9oZoP4hQM2zbfy
xHpdb0/J8vUDoU8d30Ea5Kwpry3FokN+NkRWKX7TAouP/arfjVBB1EOz4B77jtjgtM5VHm3g3n2r
bw4MBU3FQmU7Cm0sAVrURn8UnEFQnbG/zExe6+WkXz0ZFBDlUW0sCkE+AwjCUF+1O79ne9mXTph+
UyC+EyPuYly6t+wa14i0DyVtIycpD0TwW8ofxW60k/N0Ci/9LjWzE4IlBO35E+/G3xDZavuSsbK3
FTIKn/KnPIHGYKwCP/K5s/EcvqZ+9Yoc01F/mUIHepcQqrWqF/Fh5hhXx+3pufInjXowhbQdxlaI
CIKo1FTJW5SXbssx7Fs27M6GatTVXgfxkDQDzJvBU5p3yOKJ5aUxkOFp+dcQpBDZkskaWIIgt7kK
almXx3wV24ywi2C+H9vq9Uc+2SHFZMW/JsNE4XERNxr34kF3DVt6uX9SNhd1aSYEHZrBQ0DvGrcc
GsLPMhY1SKGilHh18RoojDXdPI2Iq/BwYVrCoK9dsQp7rl8wKkPF17Ni/CKzcG65qdxBP4DxOG8a
9BeMPh+9IRGQ0gAskn4pIGRH40nI6iC47eRZdmsFQh0CLULPpIqBV0vmjoFs9+ox0Xonh1JFLe4b
TMmVnyj/3d8pxirS7h8lszEJATARZ+d2nSYnpQdzDjEKzsFob/+PY4FrEynHyPggH7UCjda89BQF
jxV6algRMGurKJ+PjCSatTDGVuk/ddmUUBfVQsZ9uX2wIJQOrjtBBGno8iNWB0tBf7o8KLBDMU6c
AHq6UyGbLV5/aRekvhK/aFxohUg6hG6lnOXURteE2LJq+4tD3Fwrq1+xbO7qV0Blq5y0Ab9irH1e
MkXIEYi1o5Ef0XgG9a05oLoUQcWdFW5tOs0KV7vGjdCAJZQNcKfkWVQtkezmMrbVmHGLbB4IwIBM
TFwkGukUWTN3iZIHwOFkiJnKsENQ610QFDZE20czmjKr4gWba6R9VDPSyYub0GsLJjuQzUHDXIKc
ybWNlZTECJwLuFE4obxTOSRlZQCXZbqBWObnIbIM9SlaX6uKQdQjiDCPVPpe1sADy6NyMkofkNb1
Q9Ybfzt4gesFEpv/AweRvWuLRgwyF5OI5v8Uihnar3IU7BC18eZSQoCuzms7KtwsH3wEjP/8jlkD
U0uJ7uJmEkMA5wm0vCTVD+Pa1cTg0odMSc/lub5ZU4wELO2BYNShw8O0a0bIGQFLb7Lw/5H2ZT2W
4li3vwgJsDHwynTGmIeMyBcUmdkJBjPP/PpvUbrVecKBDuq8D6UudajOxvb29h7XclBiAQH87OSG
8CaGyK0c/eX/rxtym2piD+XzZmsDZGR9oy++QfITq25oczHgGxQzCZ9rUxlOGcsVL5kLxJlqqXmD
Es27aLSmY8n1+i4b611rWcNWJ876ZhjgVNIIA2SSZKW0WGTgM8GHqCxxw9brOzRj/FTaIDXQgIDU
GIi1sEloNxm3LOSaiUANDRCAFib9gJb7Wdn0ybazgVXYA/7dStGf8csGP67hXtesNVuPfB+AYyzQ
xyFf8FlKooxEKcp68TOMY8eKfdwhiT79uC7la6YAN4epAPJaUExMVbYFpii5ZiVwo/QeJnYMrdfc
BF2k0ZYo4HdCfwkJCZI2C93QGn6MZfHWNOZDRUPb1TLyEraUbFinVdOIIT8MUAJ1CC1OkgnuhYKH
qQYkaopB7JCEj9xE1nuuXGVowYvMH2iX+caY+dEWi/aqr74AmlGAEWmQLx8tavw9UQREl/c1G3e8
pj/ElDpZ+zhrradF8X+sFGGh/dJj5r0v39sEr9BQ64fGSOGo6Q6z36+f0HKj5FuPc0HHGSgP4ApK
FmYym6pqJxhrPibHtH/IyLQTBnFClOaLvA/CdAuZdk2/LyVKYUPZ22KaAMnolslcOQTuWqOKd260
rqEUG/ZzTcsvZUlarintPOoDZKXwpu2BO2b5Wg4bLs3aY3QpZHkPL3yJ2gDsiWZDyAT7mCSVw6Od
Yh9DBPJbUPZr0dClKEmBCtF2cRGXwNptdXR8+rZwTP49TCNPR5wH5m8gaW/Y5HWRFH0DQHcHOsny
94vVJUPJ055hdWpYQVLi1ql+mGwUhph9G7LGMbK7VJk3+lr/GTr5opcgYwQt9+K7y2kpEXYMdSnY
J7rj36g7OQhjz8UNcYR7UvzJDQ/2efQwqOJlN6U3O+EzqGfpYTzy5/Ct+kU3znjNpzExwWnoTEfj
vCEpEkCijSnWYJSRLwJAqnXLo02fbVVZgXto6wBxgP8kGaYiz2YDzFUwyQ/0UQuKY+T3NiotemDs
oiD1ysEBye7167+mu8uhAsAf4KAAg/l8ukWJ3EHRtHAwmDmV99nUD5mXwmoaHhfl4CZRazw2TWFu
gX6uLRYc4gakAm8eGMifBddlhrcerctuNt2lJGhzsPlseYlrlsZCKtYCNDtaWuV5WbUdh5wbQ+p2
3Ycy30bxC7dfmBVc38LVlYD4AEemIScsW9DZHCeB5xQXxOJPXde/JnXsWMPsXxezmr6z8I4ujLU6
MBwlS93aYRipI0aahH1jxD5LT0OO7tFd3d2rhl9oPkGgxM5a/3xd8Or6LuRK9joetS4e4nmxocjP
psmBVI9FtsVVsfYOXa5OUsQk4nOUDdjF2KSlWxPzP4vQvc1p7uplbga87DSvyvMNcIp1uQYiJcAP
4k2WzJsx5BVpWqxu5hn6CaxTbzJvmgFuB+qxXFMCxn5f3881UwIL8q9EKgUTYZvxnuQqTEkRAeHm
1u626uurLs6lCElVEOHRikUQYaH0V3a4WX4c3UfDt5JhmHmvg14NDJPXl7X2TqAZQwMN8YIzLm9k
aJRGMycG1KQvfMt4H/ICgJyDR/r2lgMYs6XZWR2mw/+XVHkzKd73tO8h1Rrv5vIu6e71+LVW7hu6
R4dGRTe0Ze0uXCxSLsjYxO5ShUDckDwV4hQTCiTlDXuyppGXMqT7VgAOmUU6ZNAUZTWQOdPY0RUB
1gBvav35b/Jzl+KkizdlVjpVKsSZ8YfIgdE1+nW3cUpfW1qoDuQSvONQ+wVWRxJC0qitGjgSbjcJ
wdFH30fvoNNlP/mc2oFdaPnTWFjpLbCxa0CN1pFyl+UqQzkkjYZzXAlxajEtt0WwtnKceM5R/wcy
tqGiMPL5EbJym5ct4uuFJCEEWxS4mqx+i89z7TYCPYCqCKnhPmBS/LOUGkDGBemRKByGyjgrVqXf
R5lxEiOg+FHg2029Pnjw4W5QGpqcOClm9/olWVsmoAAxJoTqKEP7m/QBJirpmUAwG1pPFr0vrL22
2bS0orXsUoZkckhfzrmNnLnbAu0tTWeftoUzzKpnhrXfcuWst6YT95iA0sCoS2w3zXpHzTUHzA77
KRfeSHT00X83kRO8vvoVL+DTl0n3yTJBxd4sidM68m3yOnS4Q8doq8K1YtWh3BajmDkHhY6ccGO9
aJBGQFSp17/T+jmuX66vYu33CWAzF4hA+ACy5WEFYnhm4vfBBQq41dzFg39dwqqeAs8AE2P4fOOL
SxbNVdgaEYKLgp3sdj82vlW4wnynGJMB7vY4IOWyUUhfyw8g3/RH5qJWF9FFHRtM622Qh5AnW3Mw
zeFoDn1Ht+QtQGST1+Zse3Qj97t2GwA/AIo/gF9gN5e/X4gUDFOAtFjCNeUs2E5B0LbJr7vyGLJL
GYtOXsioNTUEkNeyrMrTVOSIvDm7CfmLCi523em2XNCv/Ziwr6h/oFtQg2P4BRsKZFWm1owITzq3
99SXkTu9gzKIa4FmjJ+tOxUVfOXUAoN4q6lldTcXsl0AAy8RouTHN80ULcQRyB9oRxofy/G7tTnj
uJhhKRZE4/ofGZKSgKmQdnmEwEjdmQ7fR77+Hp67wN7FDnsEVNpGhmh9SQwWG3mrpavk8+FlFeVx
PGNJloZX4eeQ3Uzthgh046ytCfE0mIcQOeBOfxbSgs9mSrmSuELh1YuK9+kHiP36V2pl5b4rQ/27
aHL7EPJEuTXzpD0mmZb5CZhk9mGhxocoqdt3OobqR5UU4V7VojlIFANzOQjoyK7oozAYI707qmzu
QX9o5vN7OmGMjUWjgHqMVC0dpbIAuTUl3U3LBXSkYaXLm06/aSZTuasrNCQ6qjXNu0qrog890cQN
y7ryISyb8UwT3t4Lpe6QlYpLG50MmT0GvANAV6TqP6w57RIfs4Sh7uh4Zp+7jnO8Cj2/NcwamL7c
4MnslgRdIEBlMBvLmYupeW1ZSnfYuOERT0p00IxK8zFhFs9O11l0H5fAk0NpqqrPnJDlyzB+11u2
4elVl+dAEYoTzLcVQ1Axow7UfLAxcY527D1KBcOBhRmPXHWOyUskZus4MJBuYnQwJ9zHRPdUYuJN
pWe9xPRdNNhj4pSN2oC2GpsYDBlGMY16Vt5HDf2r+74Df0eHoR07SFjPd9lss7esjdFzoKrKc4In
7vscWuFdUw7UV7SYdKCaokQ4vDUn6hER0d5HH7X2jcygRR+jkZ1E1mkfGK3V/0MLrt4PpkgwVKZx
xJShnglPyQvxLUsZxvYjuxC/8tAYjwlRstdE6/tDkWuAUxqm7Ab/eYdZPSt3W2GSm1CZNBRgSXyw
Rj250blReXUxg1q0Qlnom13p7GHIIztx7K4moCamlhiCMIsisevKWD8UQCt+wKxAFWDOxMZ0DSHT
URny4bvZx6pvKjWKSpZSRLtBoypaabgh7gFP3tyKsEowNWsvbo49Rk9RmuWPRT6zwkvKuDx0RVW9
R5TFKLJr9fBB+0SpHaFNs3HUY9G+JampBAlGS45hp5LnvCtJeKBDyvddqs8P2kByDEJOhquEivlg
mFV4wBStgdI9RQ3fr7oq1ByWo3ji0iSd+p1omvFBlP0EAkZhh+fBULI9C5VuH/JSAZD4WBU/cjTq
PBPsS+xUca08RZrR5F5u9uK5SOj4pEet9t0u7cSNhA2o7KRM8uec9NWHIZB5dPQcLeROnMbVt2IQ
9kNoA/bIyUtCdp1Cs5M1jGjQ6PoxEEUzPOvVpNdOpNTF77EfRl9Dx8Ozzji4t4WForKT6cVY+hgR
jp9IGibnjBsxaIERvz7rk64ERdiR2FELVQD9NhyHV1JHwPIWWW07+cDYaQB+2G1EWlzgQjVG3CJg
bsVZ2Z+GIVXfAUgNnsi0ovh0wwozb+oL8zarkfhyNGjZoQq5AtPB6nTacfA8HWmtpPdTMnegV6Bx
dagweBXkRou8ujGD0K1pjfGswPf6hT7c4aUENsshs4SNhjYUCzB3Gvt5NFWxV9ZF/RFZYXwLa9h5
Sp1NP8xMBzorJQpCyHyMMa5Uoj1tnqboxHuO6M6eWLhDU3X2NMJcB2rS6MvUA40OhV1WgUWs9IaW
RfKohFO8ZzExcB3SEheJxa0fkXzEQO3cB8XM0ndMjCoOneLOz6bU3A+q2QNiMTJ6r64nUOApmt5U
gQkIxoBOJmAlaTX4PMmpX/SpMexKxmrbtTJqgMGDaI3tDAWvWk9HT2mMvEWN9hWjBDOH01OS+53J
W+KakZn6TEsF0EcIUql5MyozTJhRT+7c0LkE2liT/o5ZDrbSsaja16qwQ38idflu0rDd97FIg4mK
5p1ESruvAGXt1krX+rVZl4DYwabHuTJ/o1qn/h5oajmmmRYPaBMzz1GLIVnTsuaDBkV86TIFHWnX
XcpV13tJjKl4vxFnyc6BoTbh1OAlzWy/qjByLZyp8iygul2Xs/ZiG2ByR5iFZmsYsc+P6aAniC1T
eK4kPOrKf8D0YYmNNPiWiMU/v/DoVGPC5NcIEZ31ZPfc6WpPnTaqjlsylr9fyCjSugdmCzxTq/hd
pX5a3I3l4/WdWj+RPzv1xTG1OjxGWEYJU1EZ36zie4je1XorvbsWrlyeiHTyXNPjiBmQk3dHg7wk
/f+eiGGXvy+5hGDkG+yQYquqzK9i4TbGq2a9Xt+rreOQ/MAk1UkvSqyhbY5J9622n9Lw4bqIjW36
JyS7OHE7zE2m1RCh07dYVNCq/xXNDYEB6FYNE/kN/JtcU5jULp1UwOK4mXbkI4gNuKOGW0Hcmn9+
KUQ6jJ6IwVRbCGEP2Ud1G93Oe8VlXhcMPSbryg91f33XVqPGS4HSyaQCLasL2A8mszS8bffz/r4/
ofXqnuxebE89bwU5a8460DuXyVnw1AAg9vPFVC1Fr+wWdmzK0O8x3FvKQ2fcRNYdupOvL+3rxPAS
yV3EBVK2glAx1kOKuMBw0MIa1G/t4W7wI8tlu+SeeSZYFZzhrT0yx96Vv3MXT8QL1Zz9gMSKf/1b
1roxPn2LtOyYK1NKrDBxe/I480BFO4hmvuv2t2XmDktXQEY8BbQPrstduxRoUbbR+Y7q0JdgFljz
caEtHYNKs6vGzBF1vbHLq+H5hQTJmEddqUf20i5od9P3UvsFHDDHVkOHEVS8+E8Ait7Tdou3fTW/
Av4t0H2gI8LQ5JJXkzSk0ZJ/jlYH9qZjIPGwB10OyFDu+I/re7gpTLqTVWMm3ahAWGoht8YPRh90
uPyWEfB4P/JvIf2VVL83hC7KKQfqlyuU7mVRJ0j+ZxAKSiCyr39lR6SVXfpT9TDBvMtfNsQta/gq
DsGGAbxm1PmkR4aqVRWFytJc8lCfiScOP7gb3bSOmTnc1e/DoDmgCGHdRndb1ao1BUJf1n8lS7tr
13MchYuK1iIoD+J3dFZ/1q/JJiLQP4Sf15Yo7WhupzysYwgCqi8gv16DeccdwPk71GG/shvjMf6B
cO8WI8zstn6xNu7JapYCHTxAOQPsMJr5pCxFg6BOpyUO9KZ4bO+se1oC1KqCm+ViZttNvhf30wlB
te1l3/7mbC8kS3bQsOPCjhdVat8sw7mDW6ztmEdMp/hpxc4U1A73mhP/kez6HHgsG9JXFflCumT5
uEKUHI5z4laYhHei/Z1mOuJ18DCIuuPB1hzK2vOCBgvw1MKHXfosPj8vvIkFRj1xyEV4y7kzsKAt
d0NzE26VltY8mktBkt3rp3qy+6XBV6mfu/qNRIdO3VCZNeN9KWL5hAuPJqmgrnwxrbN5GDM0Lmjk
L1walNlRTyLEBp28dCUKG1k7felTtIfTMGFIybeNjRTx4gXLt+6imCE3yGtN1qhaj5KBMlvnwRLH
lqeeVnCXJFsE0Gtnf+laSEdSIQyN83hxLdQdxehvbTmUPczprrC9DaVeyjxfVmUA4AttF2DokHnW
E5EZrM8gKnxI7kzNx/vTH8FOovvkV/h4Xdiapi04xf9PluzY6loZVjnA0N1e8yx6O9OgH/7GdzYJ
svgoICz4RJ81rR6ZLrQQzXTgQzBswHRuMWWsasEfATLWosjbglnxUtLpX/IhYPGpCHeMbDizqzuF
FmaMElIN/0gXxlR5XjXdUiowd0MUKFXqYAj7+mmsrQSALJhuRZcDgNwlA1OUs4VJWrSOxHHuZOgl
YpMjwOGX+NflrPWosEtBkjarSlLTrF0ENW15RkI4PeZISPpm2zT3Zo2ps7oHYUvPMGyoao3HZiMQ
jBO3o3zL31q7WSjGIepBByrI5qS3S7RkLmYdQYKZBqqOQaz4MVJPLSbvRm2jW23N6F2Kkh6rvNQr
OAsQtQztcPIwxFutTOsSGJrp4egwTXZ1iBCZmSxllrbZlcUt6Tcu06qGoED97+/LDk0Oyph6xO9X
+a+kS7woR6bTNn3Cyw0ztDYw9w+qBQAOVTSpyBNdUES0bACr2bV65mFwB96oEhhR5pTINwOWGb3W
pqNH3I/S4oyhpNsJefu56ZDVBkIE5ufJrDp8sPeddtuFNpLWG3uxGA7ZTi6wG/9+oKTEbV90c7fs
Rad8s9h9zI5Z7MeA4mqPFWACtxosV7f+QpxkAFAvgLPDUd1K0e/R8BYIk5OrF/sIyd3r13PN1Fwu
bPmSi7c5txNDERMWlmBigby0yq2qbliAVT21wAEFdxzlVVlPByVf6KHQT5jo5zjVUHPfbG5a368/
IiRVnVhBUcDAfgHjunLjzO1u8yDyAeftsbvuoHj5b/7cPW3CgW4tTXpv+tmMgWEIuZhg47ftva44
KLw4v9Sz7ikYFC4B8nX9vFYt2J/NlPEweC7sAt2Z6Pjjqiua58YMcvEmmrOSbU2XrVaQ2YUsyVqG
Q9imMeAzgZA0n8mJeMiv39pu6fNDAxZXwKUB4s+A+/84b9RCN/bVloxnaLN6qHSoTMzLfZHwM6Pi
L97Yy8VJ719D9GlMQmykzbpdQQZUHnJHmGJD+bfOSzIcVZ/WVAP8BvhZFPS2OGbeO1Xq0f5pSIR3
XTfW7/J/b4EMtDaVqj71DLumt9RjxUvGUodZG/v2T5f1V1P4R4pkMTB5SxsV9R43fbXP9GH07CDE
OPXw3p7CQBz7x8nZUod16/tH5LLJF0YqVDVu2g3OKgIxEeZr6uZmGm4qhsQb83JtZ5Pg+k6uC0RX
PRwj4KLLJkvrGB8N0SFieRvAHpye0/v5CACkb9fFrPtGNoh8DQDr2l9G8spkSgdKIccEx0t2DMc7
gekxXfvGhn2HNg3qUM1Fp5yD/qINQ7KqLEv7PgqvxPoyc5mPc4riJETHzTHvYldFlTdOdhsLXFX/
CymSsvSJmRrxIqXx0WP1ZDhzwI/lt7z0I+bWp+lQPSUvysJuvxWvb61P0pme5pPCllfHtnaJuauz
BiOjf2OmLlYnPTtVzmdjNiBjzCJ0y8P4dxtXetUQXkiQHphoKEuuKJCAY3RCBRhuW0NfX0GekF3G
ABLaUcCEjp7/ZSMvLlcW2vqctyM6adxhxx+FZwTAMduz16BARqe/YW88iPGoWUFzfgEQ134jEFmb
/v30AZKOjAa30N2KDxi9m9Czf/JTfQDrGDskt8RRPABGHgv/ul6u3u+LNUvKURjAHykyTAHkVvKc
wAdysmxozqAPB5cUmVCWFNMj2hQ+MI1wuC56c7mS0hCdjy2rIBuoyT2GqT37DhhnO/6QfzNuzNhV
dtR2NJ8H5oYurVobUIcjR7IwL4Ei/fNJV+nQJNZy0tyIHjILiDz289BUKFmX574xgZGpPtTjj7l9
xQyrT5UtbqTlIOWXw9Qx4aEBYQstp9KTOyjZoNcaVp4lWpoEqjmpe9orxi9blMCmsArt5fper9kA
KDZD/xs4yjB6/HnBIx+0Nu6xYMCsailw2vO7GeBy14WsmbhLIZL6QvbISwohMfnJTfRt7AV8oq5+
brrX65JW9+9iOZLWjmM1RX2HSLocQZI3oKMDzVKAgXdJ+35d0tbGSToKd4gJ9FsgtLQ/ogh4IU/m
JsX14j1+0QZAGWHmEcR1yN59PhyKRopGWa59ZXrzmQJiODsr/zGOw3N3infX17P81ldZFuqD6DqA
1yfJ0vWqAjQsJjry8MMEAJaJnrYSXU4gJbc/iBJU0Y/rAtc38L8C5RkES3SYZARYPII24rMR7Z4M
uOxorLouZv1Kkz9yJBcdLA+6NlWLnGPdu89N4um/gPDZo6czah0t8f5nJDm8Fuhm/ncnqf751MrC
0Go9X3QwDVjuU+rl4onQDVO19uxdSpEshZHrRdZVkELqtwzp/HIjmbv1+8vfL948k7N5jDIVyZnR
TdrIGZIt92pV4xa3Dp23AHeSE4V90ggQNmpwfMynup3cZHytVYqWKHRzHfiEcinf0IVVO4TBNgxw
A64X+GCf1xS1hYnuB0i0tTMHrHOeBHkEFOtOQwYhuK53q/t3IUvSAt0SimHU2L8YSDsKSvxkw9St
lvOXUfd/VyNpQG5NOa1HSKgwepUcy/qpiB5rADNWuw5tbsgiJEctCgY05mkYYMq3nJJlBV8sBmqI
OmD1deuLZx4OGdNAO4l0f6yBdjEz++mFcgVtc3ViFQDSC3OUwMfqUZgsuwPWUlq4SyfljQY0k9pB
x9nWzVs1KRhOx1y2CqoB2U8z9WiompDgi/qnBIjzw7G1/evHuiVieYAurgXJ7KnigsIVTMzbtMtB
B5Xc5nW2oamrd+NiJdI7hselt/gMMU0v2pNhgpQ5VLRjMi40l0ZytGwBDuMkOtGq2Mp3rbpfaKn7
7zZKT9tQl9oEHOHUfQSFi3Gn++E7yBryvXoiD6CI8vVHGM/9VgS7ejkvpEoP0NB23OjLZclkwdIO
6vSpiHcFqFm3RulXr+YfSf+kWi/OMEma3opqSIpB9VNTsNptQa1vaIlsaExSmGZdQIKgiKnKQEe3
NM02euu2liFZGHvUSvT+4ph67dUENcj4dF3VVw/EIqByBwgFJluWRV5sU54k+WhUKOdxpOdVw82A
0SZulPAeo0fXJa0OuiE8Q5wNe4axZmkpqdASAd5YPJnW5ITk1Pe/RQhs+lulFm4Lyi6yN7P3Kbwp
jXsMQm1IX1soCh3L3AISKEx2fXKaxjMvUIcYHuyA7orHeV+kDj20/hmIyugocs6124Foe6NxcV0u
WgQskAfB+V7+frHBIVPyRAnRxoan8KOOMTQ7fsdIwN1oPBMAkF5f5ZpFARIPECswdE2RpP8srCiQ
37CW8Qydqu44n7Lkx0gsxyjcOD/1qddskditCgRX3kL5zvDbkkClhItSIj2KVpriNDXvjYU06Hgb
W4D2DaPnOZu8CLgI11e5/Kj8JsFpsBb4cYwqyVVuE/kaM9cwH59SDPGkB70/Tf2W47IqBMCfaLPC
cCaVwebAr9ihqIRcWw3SoyYE6nKs7pqI+dfXstpIhh4SG8vBfLAht5HUg56yFGzybsbFDYib5wmJ
+7q5JYz5GMYK4iq+p6b2OCVgnhIf16WvWRdAN1mIgcGbi3LgZ31h9pyzyl5iD8BuK+O5L35dF7C6
i9aSYcB9xxipJCDVaTWqBO6DGc67pee1VNQgQsvedTFrEaF1IUZ6sFUiLMAwwEvSTYBv6Bgjy4Iu
eaJ/gTnFLuVIl1krtKEHBj38ZfiwHP13KZo6NaCzbPU6rt6riwVJrzO3QtaVM/at0FVg3nyguYiK
p5bedaaXF3zfWH/ROQIXD8+AtTChyG0d5dDZal3BPEbpcZrfVLbX6r/oSwYKMZrdAVtigNP7s7Ip
JEGmWkEO1E4S0GoCghBv81YJbE2jL4VIjwxL54TGOYRkzLpXWfdg54/XdW1LAvm8DELyrJgyWJ8K
oM0a2ObFxlGsBrPo2gAdL0UaEk21nyWk6sSjocatbKxvagEQhNOkPyndSxI/gJU3vlFukAWft2Lo
tTt0IVWO1GL42sJY8jdDOmMa+rWtTae0PJC4Xd+/RXVl630pR1KDqFaHMQchnatVLN9xfXrox2/1
bN+z+WcGoBKQD/24LnHNCF1KlHUiT0mRFrhMKdgtWZO5pHtMK/+6kK3tk9Qi0xs9qkMsq7d3cxo7
M3Mq0yHxRsS+JWbRzgt3ojCbgYwmxJSIOMU4ORn70Q77cgvGe7VJ9nLTJMtNJ02YOtoRXAM5/Wj6
mEMc2E1YPtYgxI3SElzrOjy5v2jmQLkJpDqoBgEHTG4nt5MIo0rLcyh69djm5m3fPV8/qLXrtVS0
bBv/LOZOMuKhUQwjpiYhwqxuqyUtUM4OjzsnSwjGxyukw44myb3BeBujN738CxA79JKATgIj1sDe
kfHzWN9pGdfxiKiolg/FLsF8g/rd4Bv3bEXrP4mR3kRUOCKamhDTthjda8e7lla/23yLWXzlOn8S
I+1m281VzxeQGNEkNxRAeSamXR9G076pC1B0ID1w/fhWXkYTcT/6JwAp9LWLIgHnaZU0eOoTVr1S
vfDj7nccAlVseIJKYRLshw127+syV9d4IVN6jRWqDEbV6ovJ8ur5qU4fHIeAhjRpN5qlVs8McQL8
WuC+Aw/k8+0umzqL+CJomIpdZ8VBP2fHao42YpItMdJ6yFhH5qBCzNjuKnafNIGI99e3bPlSycqb
qgVqDzSc4jLLnUxtWJV5ipFHtx8whcJ9u0bWCqPVmdNuFVdXVwPwBwA1wjlDiePzptkqmB26RdQY
D17H9mQEa/lWvmRdiGHh18CKAoDez0KajGC41bCQdQK+BLAZJ0BNGNHGy7+mZ5qK7l244tg2GXMl
ikZdiToFHe2JtgtjVDYSCuB5Onl2DxJRMSJxyouNk1pbmQZsBAuRFGySHMIlA0NgXEYA3W8t1bXr
rPJMux8CTuaN5a28XcCk/SNJskjzbDKMk2J5sU0BvUTPIME4RHns4aU5XFe/tUXp6LTCyCPqKl8C
YQBZhsJOkQQuR+YPKrDCE+ZPtb3xGq9puc4Qh0LXGaI46dGvzM4WBUcKyE5zh087il20Tsx0piS4
vqC1vbuUJL37sZLNgK7CgnIlAG6jw8wfve335Om6mBXn1rwUs+zrhXuhKboaYbkQY8x35mDviqLc
MODrKzERtuMqgWZIukkiEyZKoshoZfnvCdhX9jez8wfjbxQASL3/SpFMHE81UsVLlrgr74sO3Mz+
OO6u79XaPJoJoFJkdoDbhMOXNqsc+yxVF1ivDKN84ld55o/T8VlxxWncG0F94gfziHruHcD5b9G9
fHpYoEa2pkHWNP3yI6RLxbPM7oblI9rpdjRelY67arNxZFsypCOrx6HGiwsZFg1o9DZoQMneauhb
s30oyNsmoNyBAiunrkahp8CSxpsE5IsfZRafe5KdUpIEQgjXqCzH0kClc/0E13yJZVBiyc4BgUj2
xAwMZQ1thHXxvgQWzW2CZ6PKCqepI5eVPtA7hq3c1ZrFuBQpHVdf6iIqVViMKjNv0RHn6kP2sy81
0DJbQW9mG8Z9a4XSydEandEhw65ORVm4LR0/wlJpDqJv3opefVftqPBDbt9m6Efe2Ny10hUmBFSg
Sy4YLvifz7Yk6eOkKifsLlrIAsL5Adjartbnfm+2ezw2yEYmHoCVHvueBOgf9a3oQ1WiexFv2IKv
FgfQLwboHMDkA89KzhcOAjgOHPRpruhsQAwcePk9sd6YGVzXpnUN/qNNkslRME88ihLrnU1t3Kkl
8oWA+Oy9zFQ+xiJ8VwvtJja2KipfF4cqDaaKltY1QLnIYDnRnOlTqSxP0HBCtEbG1Jm5W4e/ry9u
LU8JOczU2DLChH7Az6dJgfoxAmkLxk5nN2rK3EkwDwRQu0pJTln63lqgfgdohxFN+8jofl4Xv3pt
lvwhEteAyCPks3TW930NiCfETMXPNs1wU3igRz08iQ8Mwm1o7uqWXgiT3lpiqDwE1DZyYUCTL9lr
OqcHu4kCQ/mbYAY/999lSZtqALYiYTWWNcVAH1Ktk5mbcMfNfTcWd0mrenXcOta8OYuytcLl7xfP
fI5PAjA85MZJuQeUsJsYIOIDDAUAqG/GaXLRn34fYXpQT9R92LVPWcnuTD60jtKKXZV2jgbahL84
4j/mQkaJA/SMqIduuT4oGIg4sCOPUQ+wa87047qk1Yt6IUla/WDWQFWMsXo6fqfEycReoPiFJpFw
mRXtN1R39fG8kCaZ4GICPBhZ1gVmNEed3kKkp7VoS2e3pEjGJx5SQzHEokkGBkB8wKQ4cII3jmj1
NblYyvL3C7UhrdHF2mLR5659I3Z7jjvm9eEr5hp9yrjP448cwzHXT2tjZUwK78DBxkJMSy45d90D
dTY4GPiuVNoNH2fN8wVpHaIgYN+D/EcSY4qmNGwQfbqRCfLqhO2BqbT7m5X8EaF/3j4M9vAxUmBX
mj46JmaMbv74NZznDTGrl/tiJZKtLEhbWO2EldApOtRNeaP1j1puocdnkwZ4+Sk5yoe3BpBQTBqi
qUzaNGq3jUJiG84n4NXH0ZmNRwHUc/Jq0rdxDrrwzgCDOwXURec3WxO7awVl9Or+kS7tZwy3vKE1
FqojkVbQBxYfY8sdyhPoakT3A6BBuAVgCOx1tAgO/vXDXDUiF8KlXW7MoerqJSFQcOBMJ+4Mwm7e
eVH2ktsO3ULxWUvHflqr9CZFUVzGGUJaN55vjd4v0fNv9LuZ13DfHonyKHRv3KIBXlWkpRd6uRDk
C26nYotBtQvILMP4kNc9iMwaP7eUXYclXt/N1fd9gWUGBhVFalZSpH4ysinUkRow4h4tiZqvdHQn
EMjM9A2+5f/sEAI5H96MrZoqED3lmutURNRQaIG4gpiNU6fiV1vZvatHjDuzbrxcX9tqwhnuJyYI
gcUAQl1JVaLCthrVgDg0PlKQtZbntqkKz2ij8QBYW7brGPnZ8qpxRqsrPDKCdLAM5yfQrm7Rm33d
Z7jCC0w/nCjUmmVjOhQ16dBRKFxqDf9H2nftSI4DW36RABlKlF4pKV15b16Eru4ueUd5ff0e9d07
k8nUJtGzGGAepgYZIhkMhj3H18cM+ASpFzWEZcZHOBL38srPTfepNOGCzr3eJwmHtHYGPrmu+xm9
r8e/TmYuQoC6j5aAJSu8fMTRo6RH6RhSJ8boaj78HEZrvLdp/1ImbSlJ9qysBsqCSr1lYFDFFOuX
JlGiEW5w5jrKZwPQsS72LRlEwPkLayxtFABCVtHaYItpRq0bhwyzZrjm1lcW7OcMVDp7TgFTkl6V
5dv4+tcHtPT9gHMFGRdkHIUHXW1VpOHCCSSjk6/YO9N+mv++S8o4FiH2YVX6YKq0gghe32ThRw2i
+GLzt6vQKbwSdBYRXLEzvh49b40RDnvmJplzIB24Lmp6k0kzFCs2GLXrZauW/qGF3vZU09ok7MHK
0aMMED/axY+qfyhBdTT1Ljovo8JvFGUp+V1e27kNhkwktzGvYAA+XmygUGw9issAMpPc1Zqn2OYg
WNqXgwyJWyZn+fvRLaJ6l4QABIX/SN22e5qKDZ3vOHn7/1vNYp6OpFTJALpDG6sxgfET2Ri4156I
it6W58tyVq4qdg02d0H8BVuIYHHrOAIFZrusJnsa+odCvatlvIorlvREhPAgR2Y1O84iYqRfId1r
3AtLNCR9z7I63rljivupgtQCc3FowBUbyFoARSrTMrwxVg8hdx5Vu5NUnVYl2AitkSnH6yS2xhla
EgVxgJJax902eSOGpIdxTbdARWeBURNJChRPTk+9i6qpGf+Uz+hLY2yMoGRpcFdgnPvyqcvkCDGQ
PhZodx2QvLZyL8wyFlIA2aKcSyTrWdsvFI9RvkXmF2DggrPStYhGKgu5Ze7c6eXvbNAl7+afzPGp
X42sABKTQDMAshD6ck53zFJopY49ornqGjNR+089ZNSr/eCz2U5+zlT2eqMfjI3pY+J0Zm85ph36
Q+ghV8CQDUGf9o/AD9EpAr6q7eU9XoE9wqfhEBfWsqXCIjy3HPORxVQgHOvMijXjs9oFLAKqFMZY
GC9vHOebWMlDa3SbNHlQ+2aH6ulzpxueqnEALJcwX7Us+F25i8jtgV4GTw1gQsTrzrssaICwiRDR
yq6CubvisbY1anMz4VpOswzTb00caGhxK1FggEYLW1CW4AsYKPSMN3P1MdEA2KH5bFPdLbOsyVgy
aQRgaV1t7golx9QqIT1l80iHQwh+Wd/p5sxmABopC7B72gvIctI3LwFyw/dm2RPTu3xmK9YQTzCo
0tGmifS6WFYEdu3cGsqQufG8m8ibmlxzWVPUqgiYD0sFGAYaJoUrHvW6xmeKV74fn1DMm9Jr+NOX
V7H2/GLk5l8ZwvWeTABtA1Md/hd/nz8JThfduuZvPf7s+ocs5MzsconM9WUZML0OJn0MUdnrqu1I
icSUa/J9GH7HIMo2flxe1nkcCaUFFej/ihAe3kBT7RyHDpjOwB+UXfrdmF5S3M6Orzf/wYE9FiUc
kjOFWUQ6iHJASh1quyH+RJXv8nJW7sbJcoRDSrtpaDQVMup4YnHGCH2d7Jw52pUhs5Ir5v5ElOCO
abTmgVZB1FD+1JRD1nxXozuE28sLOlc7G4Z4cfo0VIhgXQQxsRo1Sgc6SETe2YgltWDjAj2CHce/
0wgtuzSqPDx8hQ/3KfRqOvDvy19wpoT4APwABlWBf47nYPn7kdNUTqNeZS0+QKv7kOF/RslmGr4C
pZFR6J3p4h9JqGSiMwqRuIjCuOT4E3QJcdchwVuR9b3rAJ3cb5G4HE00y6NDlHGTThL7dKYzglhB
ZxKUpgJDg9gaLYdAfY+pR9KMRUXAwr8G0BRkCadZcI7JGgWbGTeArStwoNXuvxzXP5t4FvBwFNgS
yHFj+xZg2mwYrriso/FM9U9XIYaidqc6c9Bix0IAunAF3Ws6K9Xwrq17ic1Y9uPEE1kkoWUDToim
Ly++oHz6lGYdwWpSdIjTbkTxDs+V8zobk9vE6X3OKzY1taRTRCZVMIqqFUdmQBpoRHIYwL5QWdeY
UWGT5o4LyFG1idp8c/nYVpXwaKHL349umRoNVEVZFCj4ve5VpQbM2O4pLWpPNRVMp8j8qNUTPBIn
6HzcAc/adiAuMycQfe6t/qFuJteQPcyrcnQcHWZuML1HhGWhj6zQpgmOveWUV1FAXbPPfaUCIEoh
G7FZ3cEjUcKSgLLi9Gbfwk41wBP4YY27OB1RYylcbslyv+uyEBWj7waOshiKd7o9VHmBC2Aanc2m
8geNsgMyTJGHHNuOE+nw0uLTn92DJQz/H4F/ODmP1MOkSlf0KuwGRoz2akUOVtxcNaG6L7r3Nqrv
MEnCUFO6rnMV1yTbX1bO1SdgKRQC0xGpIdEw12NWBhnyzWBEqbykBgXt/BWYgcQOr+rKkRThAEuQ
KHRtAilqFHtK1+/VKNl0IN3NzFJywVdfVeB5oAEIwwD0LK9hA2mdhzlkKa2v9xl4NdFOmXl6CL4D
wuwQhB8GIzK8i9V9BOYdCtl4yM/ecr2z6jwbBtiVCRQw1lAxzUg8S2klOclV+/WvHLGXfoqUIciV
nrtl6riZ8Qk62qEAazEgWDCRbPKfpkP8yyqyHM6Zgh6JFILS0dYLUzEgMsOBOZGH97rP3ab+TLSC
qZbk/GTSxMyuXWHy2sZGkoHpwVOoPFrOTUSekAYLZeG2bDOFYHiwCosUKmRZfe3PiofcVDvDGXkt
eswtaV6KePfyXsokLgmAo8ueguYELX+QqKGPrwXPReKE/oAcdoibjWLkSxaPdxjQ+XVZ7PKzl45Q
eGu1Qot7u4TYEL0qeZ15EZCNL4s4xzJb3nO4kkAuJujkEBsp9ALN3DSe4J0o11H/yuv3trkyQBSl
78AgwotdTjbznLEgebBVcEhhjNC8ot3eAPFoGP9teCV8jLDPHPwt/ZRhwb31mHeTX6VXyOhJhKzu
6tGKhV3NDHTHDTVWnKYHg49+PbXe5U1dtZuYkF9KV8ApFafoKI4qa/sZtgxbqPW/GhIsEGd2Lau3
rpqvI0HLhxzrJTGCKqkhaKhaVvYg1zFeNUtiu86FgIEJIxiY6ASjhir6ljzT9AwNwDAkSGIooG4q
O7IBsvBfH8upGMGCKDQOjdTA2QMrsUdVUQV3S9zKoODOj+ZUimA7FAAbtH2Lxdiz7uXJKwe/Vx18
Debn36rAIgdJegyKwksQx1bssTKTzILvQ1prCyrkHXcoqLiGdjtYuiwTcm6eIGwZY4ayadBswdTr
djpXqERhXBlqEE1PRuLa1IsWPtTER+yBWysxG+d36FSicFh5ZFhpmKl4z6z5ljactU74cHkHV9Vu
6b74n5SaI+h2T0dMcE5YlGJkX0UxkLeU0GAbpOCQuizp3HdEQRuDNxiwwOArphFPb1FWKfOoTQRN
T2kJDq1d3xq3pNFZ/YE062VR5ygLmPoGn8HSXoqhyrOZx64p9dTOLbiNk6u9b9SnkekPpVtdoXcu
ZbU3vIdu96XJZvn+pOxPn5JTucKBaQjN7MkyuUvZs33Iruf7xp/v+s2DBpp0yjpWbDv8Zxoyhz2b
/uj2b81W8W3P9EFJukteNddique45XXptf7wZvy6vDP68gWXvlC4mXZZclCVLV94F22j5+qN+pFr
e46PL7iq/AHJ7PlgM/0RsGfR1mBSwLdzF+Z0ixadPzKmswpo6W7EB4CdkfM3zXrWkj3J7ycDL4VE
uVfc3VNhwiMUq3pYKjOE6ZmnkRvD9EPQhalo+eWboHrigT9XEpO0quZHqidcqGnokyKOoXpLrc3o
0NlAQYxesj7YUdkLuLaXhqWpqLnh/oLs9XQvMTIQ9KVCcaVKNioGw3wdm3rA54W91/ErWc/7eTMq
rtWxPEG9ixhE6AnQN9wifWnRvKDe5tUnoj/XKW+UCZ1IG7tzGxlK/JrdRS4Qcx6IHAAWLhiOsRqV
KM0CaMx4B2ZFJXZYFvoaqPlSdFGqL7asT2XNJpKlPwWZR1R/xfK8EwM5awJrgNumm4F/0vJ1DCT3
8LyJClt5JENMV9WmXuktV/Bycf40F7PXdT/6NP4k4H7lk3avVeSqMjNPtQfMioV+Or9hfENiks9b
ZISvEBQoyeIIn4GVDkPlVuZXHRQP+VhuNMwPxvrrPIQIZa4VJd7yvkMpJfvbtLUgX1CotNTM3Cmw
CxamampAos3kbdauzeSejhKwzDUtOt5wwfCVRV/VtMFSVWQ7eQUKDeoZ3S+j2cDZTpsd7f+L8TmW
KFi60jQS2syQmE7PSb0dczcsc4Yao9f2Lw0NfZAYc/XvM62niiWYvBFYJ2RepI70pQSUI5H5XLKN
FAycnWtm01QQ0BRzxEKA8ChAQW+KGKMjpW8YwWuhFGwuzMfLT9easTveTsEMKE1QVTZ1YAYMEBWN
TyQFrU5L3Sr6nST7+O+zMss+IkdC0YUHrhlBX+YW466ZCtUM8++h7ZGMYQVIZf4aI/LPDfhXjKAk
eh30Gl1uQDsnu6CZbkhLfFWvJdHFmkN+vBpBK8y4DdXGgBi1eSyG5VEyNkXlUjTcXj6l/4dJ+XdB
gnoYdTAloQJJPKrcMWt9M36zZk+nWzBZgVthCeFNd448w5R1M66+T8sYrw00WQ2owoI5s8dGK2cS
Nu6QmcPvPCXjdkGm2BcVBalVlwf9o1KR5g3MubXX8648ELMafJ7kMjamNS+AaDpmSjUCzA11UeYj
L8fIrC6mPGrcvCdelDxXAHdAlECIT2NJqeBPLUB06Y5lLRf2SFYwmn2cNlg15Z0HmEnIhLA5eakx
LsKdj9yYPCzzqjXTba1bHxR8oyp6PPtxuFb7b8XON1D/fab+dLTIxXj01hiVbRIHjzVPwE4BxnVH
Nigq2x/hdilRlaLpG9+sqL/HYj/wTaVclUjiqrJYQCZJuGAOqPOSKIck2wndkvpF9Vyq72Ed+SVw
cS4r/6ppPDp14ZaFSGAREBMjD59tWg7sEBdDxEBmrlhuxq7SvWnx62WJqx7u8eEL1w3ei0JnC9fN
pNvE3Cudj2l8JbHcgIO14sGZkF/qmETocjqXNE4wxQ5Yd7uWYk+N6oF20CbzKmveslnzG4AiFrxl
3ZIyfJhsxp0DCPkk8lcdNEDqmigOY75MnJ2ujSmgTRs3rqld48FzB6tjYCqak1tc84p/2mGDmfdH
bXSt4XlwDpaKYVcZk6y+rln/foWw9SSdumrQ8RX07s76wPDOlnvJHo3NKiNuC++NDZ66L92fFYvY
N8qF6ib1lE3mO978cXlHVt/Gow0RDkSr557D4jTuqAB0Xx8+kcQA310xeZ1a703SeGNnynokV2NJ
ciRVMHJZGDpRo0Eq9ygrNlHEfn86tzELfkUII9H8jw0AdwjDWCemuPbKbpQF3DJFEExfrOdpmYGp
xE05w+CxO0ReWclYe4zFCz1X938O2hEmKkskwJPMhBQgkeV+t9NBeGftv8BT/2Uy49fkhn71FijM
9uJ9cej9lqEh4sN4/Km58abco1PCSz35JZTon5iP6prWsPvls8JRA3o+ryxzE6SR5pYhH1+U3tYe
NYAZDC4dovbQdDEGeZM87n4TLSGgJg0m5wtoMMlV32jOjdrmdsvCwiHTwzwG7UfZp/W11jcBxtOo
2TyiRbvbTFGCgRJ9SB2vdBDZtvGogC6yqpyORVEdhD7ItOtDmJjtDqClxlUJ5nOm1or2MKqd9YTs
Q4xkLaVkF0SV/ZY3Q3BIeTiFDM21nYcrhYy3Mcy3BXWybaKMzrYpmtKvFQVjwXZXXOcY1POQXEaL
Wc7bl6ychkNgOZE76nWJDLpjFzeZTZy7EmO4P8BuZ9/k3Vx1YOu29cRTy55am8AkxcGIxnRjBlT1
CvScMpD+EKR4G+MjbtPuvoRq5x7I4SvUoefCm9s8elaS3mIYbLXv26yfADREeNcwa561XVvZJib3
2sn6qWIDr6I6LFpkCDs1dAenUg1WO9G4Q9dhsAfpDQVybQL+ns5x+Ks999MzoPfqe3sco7tGBRwY
+nW1fY3kp58Nvfod1zoan0uufvSt7uz7IsIvBjbPN9VEa5BzT1q75yhGHcKUqA9qMISGh+qU/dKr
fXsT1ZNVeXWtFr+CGdT1QWR1wTJ0Zew0O6/Q3BhmnBw6NNFZTI9ap9gglUU6xoPAzFFsSruRoRyk
T8xOdODijU34QAIdlOpllQW3jWPp9wjUI4NZtZ1/Uh4GDVAmQ+C1NJQraLyrqbNTSUHu1SBtD1Fu
KDeO1WatW6nAe+dWMH1bjUXcck6KdnvZQP5Jn1+6w0KkSWZkClMVl0W/iR/hC34m3n16CLyfAJDY
6nflPvbehiu6nzYRA4msRPpiIS5JF9ydPGpKp18spb396pBU20VPwDOZHwqmf8y+7ScPGPqk1/Qu
uKWL3ZRN+a86Jg5miMG8jCKsWH6aMlxrEqZYfVsS1k71jUVm2w+64Uee2D9T3l3TAodmltP+8tLX
ffIFEhpXDqAg4lsd1wbNqxEo8ZnWbAIDyI6l7fxIo5psuNHjZbAUOJ0K0rJqVsdM0ZBIKstCkmhY
3uKzAzj6CuGtpi0vbRV1Lxc1qdtAGbdE2c/5FgTq3uX1rhrlI0HCS9yjdVVBca1xu7pDurdLe1Yl
wbWpKh9dbLNeih+36gGiNRiM9kAfRReoEPQoWeqYIwFMZTtcGXhxJtvj9EmDbW5DhDZeP94kMvT8
tVUCmmDBy4G7ixAZ230UcpB20rtsgcZU+VdB8c6bbxY3md29mbJOmvX1IRNn6YYNtEwxEA8jEHk3
HDtqqc/hiEn7KxPD0krn2WhWo2QT116syYim1xwLoJhrGPE30CUhFit6Jw6rvi0aGKMCDa7JVdTG
foXw/LK2rIrB+CsIKf5MAgl2IeymvO4DONLlvOOpwyzlRm+/L8tYAhxR9c0jGUIAhNgXTI86ZIS0
qjcab/t9nYaBf1nK2gU7lrKs9EgjgmkyulqDlH7A8GdaswHjJoPu8TGUBFnrCmEgKYOSOUp/4uRZ
bBVVoigQZQ7cnwe42XhD7Hp266bcAzDMYgXybBG3PVIZMlO+dmKY4UOr9QIip4mDQYiOQ/RhtwCF
RSMExkBj1WJG2EuyKGv2Gjf6nyUK5mrWnLSrBwSSqXKNy+YByvUdkwsviZJ9agEueUZY1coqdOs7
S6ylYIZZRej/6SGaKaIFjLg2bsV3gcFSbdsDtFl3Z9215pHVGnisZWjsaxuK/hmQjQKyBLU6wWCS
blIwP4KlOsajCX3JJ3CeSx6hVRloWLMwSIh/ROaXMa9np6ywrswKr2p9q/fVrqp+X74Bqy8deD3/
kSJctKS1edYOkBJj5lSbIjxj6WMNUq2G2C5I2Ho35xzUa4M3cPPZ4YXyH96e4w9YtuH4DlYYPC1z
eBltOr1bI9Jvc/xTMaqdCoJT3soC4NUrf7ReQUnNXOuHPsB6i2jb9q/x+NbGr30nuQorrTNIXGKu
HtPQDspPVFDKII9yrezgu8xd+mtW7V9AXvFNmjKjCa978rOvQbwNLCbWGfGB6Dmz8zRmYLAdmGNF
CavGX5Wt3cSgsSatzK9YC7yPPs4WQsOCWm0cBtjyYWZ1fDXb2w60VWbjJirIT2S4Jet6jMlRjC1Q
G9OQpwesY+4/CJetAD8FqwrN40q5J0UhSRavWp9levT/ihEUeSTaAIYqiEn6t7a66+bEm8jGzmzA
GQGfAVljGYC6bGGC5k6tFtRRD4lqPrutHWbMRtNx2Y61xBOXCRJ0NoysimjNsoP0JTVvRzCUVIAf
vWwJVvcPzZVLOz96f0VQZ0LTKl4Iu8G9i+AnfRuS23BKvCb4gSlFPFCsQSh2WeTqXQS6v61hTBr5
ZsEhy6quswK9hO0xN3Ztg6odNF43U6dtLstZ3T90w5qA+ANvkggXlsLxmwHqi7cXXdMz2UfI+QE5
0b8sZdW9PJIinFJuLwBaMzawNqvrArNHm7BVPmhrz0zXu4cyBKrgZYnnqFmowxy/64LIsXXSwSp7
RGjKz7ZjNb2OUDyzg9pVNJSbDAaf2uKemvh69BnWI8D9qaS5c+0Mjz9BeAlHI8qyJMIn0Dr31Mjc
pORxIuM97x4uL/Zse9HDhDETvIbA5wIl7nLIx+/E3AdAT8Tc3gRYMBakqofWnIMdl9ej0v4q4u6v
PbY/AqE0S/cvZnoE7cSsDh1De0EMUTiscKN6g9Fdg2XVo/Pk8doBilYOnvFhC+YQ2djg8uMn/u8i
HEOKxMYMD5qPBeEgmsQg0QyMi7F3PD6oO0V1NlQFX45pbpTOeJnjAdgXIM3Rn/sqlJSdF1t5Jh3t
icsXAI5fHOQoMB4wg+MQo9fh1xChsaaRdSeeqQ3Wh1YFTOhRxEewAKenmfXhWBt9AJTAwCfRvtau
xsLvivfLOnPuGwpihAQKaGoVVEOxjeprpfvhi/GlfkweQMlIyKbtZWFnVkaQJbxzYxFprRlCVk/3
CCBYXN85tuzGLz8ingwCL0Q/aH1DR65wCxo+xzNvAMBamOMG0zYVQz5bc2mrTVtYg5QV5pB6WZmi
KT5px1uQOSATiqfx0OTdQ9/Ok+yLli0UvgjpAfC9opPRtM5oIeZkQATcYdJyqlMfsGuo0mos6Por
WqOeo/MddapbzAxtJzO4iWj4ENV/27y0bLwJKEjMB+Df4siqEQcDAc0HUCP0b+CFsty+DVTlvnMG
IJKOkjfr3GH+Iw1O3YLng5BDOGajbwBevWD5VBqiDTAJXjuBgX60uqw/+thKNkATuGvDmd7qhnqT
2Ar1kjmVXNA/5yzs+hJqIQDXYJ/AxHB6fwLTjsY+iABkUlkDAsk+N1RkpXLyrDiJ7iEVzNGuN6ZF
dAWmBlyyOEmRvEPb+LynNOHPo5F2M2sVSn7YPZKuqWLMeEFInh7Ueioi9O7gl1jTWs1z6cSaVwUV
0qZN0U5+OFv5i261mHBtS+1ZbYnyXRdNvXUSRX81g6DeZe2Ue0lE5usoJjmQRoMAbRdIs993yPP/
dXyLUi9K1stOAG4FKaXT3VBjqvaTFuPq6bOHcQo0dX0Gs4ws7vyCn0oRPMzAKXKzyiAlNq6i5KlD
R0I6uZeNyLldhAy8c2D/sYH+I45gVTwvg9mBjBqdGzMIZAHvA9T5CFBmlwWdP6engpYY4eg5TZ2i
DdDcjwdGB2+Y8jOsbxzDnzmrZb09Z47lknIABI5BdQ2JXHHgXgm6DEUXmCxAzZnFXR97LX3qy1tc
lbT0aC6JA86CG9zPxYsFvAtwMNAiLCxsRHuc3hcZesVB2KrT+8L82QKyNdU462xjM8poa1YtAkB+
jGXCf2kUFiSiuEKGjiJ8xlSCYz9gQKLo3gr6HPU/OuchBhAd3ptG1iJwro1YJzQFIdXSNSICCwyZ
Ppk0A2IZ6mS7UQvgoaR3FieS7Vxfne04SB0B7PksU5uAEYAPC/5VGQygsPlqJgD1X80OQ1rTJr5O
Dz1ooiuZz36uNViegzQmJvYAkyqGIzZpaWBhWMK12pe5exorlOeuW4WlyovKd5oMOOW8AwhqgwZY
FRlbAu5CEWm6K7sqBykHwK7al7z3RsNVUy+I/TZlNHk3MszZ7DTr1q62l+/hmqt1LFe4h4keFcpg
Y512025jOu6GScZOdX7VsTSMAGAzMcVzhlbI26HVswInCCb4qtnXw26q84WGCA36kiByTSmPRQn+
VlqGSAEA88K1wxbj9dbONjOm5tnm8qbJViTY+zABfSuPICbQkFIc78f03clLN5h+RdKOiTV7AmoC
5PocGBTUok7tyYJi2RRDi5cWlHPOo5M4zDEfePDUYcTBkgFY6mv6YMGSIEoFupclGhOtVpAaMhYH
D7Qwrcac6kmfcXK+Uj80wSuI2RVy04U/ptLN7Z0BCIjqNsL4iJZs7f5KJb+4UrO8esrmXWF5cZE/
/v3WH3+foK9W3RipGcLxQCd8orJ+2nD6YDRfbSxxcc6Ln7iRMKegOUf9BCZOCBEMbjdaZGInOF6o
It5mE9CeWR1hoCR9qK3JizRke9vCz0pY9uyzQt0+cLP6p2kc0vG1sEdmja5qPciT+Yt+id7X8acJ
at7pGEYYl02o86tJzbH5PgoHKFsZznOSbyzUr9JdqXhZmHvFfwBJQ+YZ4kG/gKS3GJzVNRCYUGbP
0I6oomsCFPdoAFAlF3nN/B4LWfyUY/egqZwC/Kx4XbSPtmVmu6X5xoieB3OXB3e6LIl/7vbgrI/W
JDyhdT2ZYQz0ANcyMZ9kMWLcjiD9dGRh55rhALgPUrMWvCvUYk6XhbQ9VK6EtTXSHoStez4/Rghb
iPYjk02TrdgNPJd/aIlAlnFW8AGvMNpWCETFyZMVcrDhonu7vAs1lhoY9ZW4cyvndSJNOK8h0cNM
WfAG02Q/1yUouiMAPRBm6SwnnwZIf8HYfNkSrNj6E5HCmSXgcS7MHiJ1bvhq23lDeaPKFGPlwE6E
COZmHpIk4AsqZDjkrM4O8IOxrcxGn6Cs21hfPTHcJ9SkgDuGBupT5ciLhGRkWvYwe4rH/RDftoWB
NhrPDH1SPMcJcSMMbBa/Yus6mHfU4N5AUEhTlwESQNa34YYHGNnpfBA1oosYzUX9Bh5FSlgZ3Q3O
3z+CqAz9+7nC1sA+doUe4/c52jActKtpfEvrr0Gxffrr8lGflzNAl3Msa1G/I3PAbVD+zYuXEtRf
pek1ylsMbDanZWm0Vyefx5vKuHY0Xy/vW+uQT4Vb64+O+Z7l0baSPUHnYygnX4PS2OnXNGoWDKqK
r3GwzYAuDm9MDMqnKmv6vVWELBjeOz5uTfO+yL1h/A/wh9iMf7A9xYKjgpxAg+rcshn3o/Osz2ig
Kg9jJHkAV+/Xv2LEYRtlDhSniSGmaN5jPnhhtSvqQnKJ1+zGcfZGsBsVSAjAfYzsjWHv++m31T/r
BmAdD3X4VdqbWN1KFGkxsMLLCT41BIPA+LPh2gueW+/M0ThoJmIlHrtows3iF1r6WXAYyYxJsDcD
KZUWLo5kmX/O5EwuSGCRcESVGGXiU5WhuTLxoLQwKs+a1+5H7htfhhf9KtE6x+I9T1n4C6XPt/bG
vpokslfOEYw/4KlBNwgYhf/4OUd3J+VtHVDAsi6Iarbt5e22H/3L27pyiuiZ1jDxoVIw2avC9axy
Wo11rOD5rGNUojActEVLGyDpmBl7sEWJDN525b0+Fvgn73q0JksvuFaNAdSGJCxLMAIV7+fuOjEk
efC1vTta2J/g9EhOr4L+leQO4gklRFcikkkjhnb+wwEdC9EF3ag6syhgud0I9GNO4BrO28AlZZKV
dwyEvYAcXuBgoQnC25JaypwbKfQPWIHXTdm5Ro0phSH2y4UxsU8k+7bylJ2IE96GWEEIoajQuUz/
laJBLdY1lil+bR9s7KWMh1EmTVA/bnYoyxaQplseT36AzIURvhtTz9Qf0u77sq6vPNPIXC1oSEBm
wUMtpj6pmTk1usRS9wqAl9t+kz2X2+nA941v7x1XeYldchdegw7tVvkEAK5fbZNrDwaHNX7oXf6W
c/U8/RRhm1U1sIqOKmCobWoEG4eW9Gjjkbzz53cNQoATgIQgWrvO5oPMOUclaMR6dcBFks6rMQyc
00eq7C8v5tyIQM6CsgMyOdTRRfcnmcNSrWLI0bTvlPpIY831m14krLcecjq4kSl54M5b1Je07ZFE
YfsQVydaEECicfcZu8Z74z9hJm7b+c8/HTa/x48/88aPXbRnxWgcYsSLryuWHcqncDP7ho/U3lZW
YDm/p6efJKhypg6lNuXLZgc+AE5659C0H47pFbIp6JXS1LEkNBIJVsdRq6FY1HhGhxGSvEEQb2gb
hDdAGUo2sZOb8Jx4+YtEVvgYaXa0tTonfb585ueYAydHADaL069QJy0cBgtfMbgcUQPG6h2//cpU
dj95FTAHYlybK2VHJRdndZsJeGPsZRIDWGOnYgPucCNXkX1u65sGLCCZ/mDTj9H0ai6xhKtafSRp
uV1HL0huJiovljx3OgB6EaNbAFpRwT5Rkl00vPXkgbSS0bbV+3okUTD1NgnAh2tAokG35eDPOkU5
4i6o/kMlChr0b9VDhGImY1SM01KPUKkbWxgrwvwQQB+RC+Ddd0Ae1fh5dG5BVXNZZ9bP7t9ii6C4
QagmoVUs69M8gKgzrtxbjl84vjpIcs+r5vXfBYpFcC3kIGAuIUkhPtpnh/lem94vL2b9Gh7JEB5/
TVEqDINF4FlZGLpLP0cyu50b3wlikGa89AlTpn0vY0xeWZkFNBYk8JHgQn5L0JEkQvelncbw7ZNr
qt1n5nv+9x4HsodHIgTjGqNtMRkm5KjS4r7V73n/UpeYt7jTO4kZX0lZnkoSbOZYo+sGJUIEou/p
D+LygmWsf8X8yCa8Nm5ZPbiERT8O8HnumoORsO9v9TOT5D/+tLCeOvhLshQFQLyTAGwTC+MT0Fvs
sUMRWNMAYMHI1j6oP+qMpa/lNrsqInc+jN9js9ElzuPKbTiRK9iXukOSkvaQawf3mfqU1K5tuwQG
PZl2f6+qJ6IEpQEutE0rC/tsZ9+t8m79jgaMsUys6W60+lVLbsJANq+1YstORApKlCmEFHaC1SGd
NGjvs7rlznUhq/Usv3Lp7AQF6qe0mScbC3O0X1P/w1C8wHmso8cs3gW6xKasrsgGOinwrZccqhCA
qt3QRMOATCNBoqBHVQ5tkGF2bcg6QFdv+JEccvrupEOvG2kLOeF8p5teUD33Ml9l+Qlx26DwsCBL
ntwUHbaitaNSD0BlgR46ILp+G7JM87oAWwU3s4oGKDGsNGxkB+gMSs1QMwAHoz/NUmzHVRFAGV8q
U2jsEpusMPhnDlj0YqV+ldWjBWqoy7dm7bwXGPP/FSDY96jV9HEucqBy5w8qiul6ekezx0jmzq0d
97EYQa14Uvd4qbCOqNnPxSutWRJI7v+apTkWIWhUFDYhRv+wErt8VeIPIDvbChJwU8oyGTrr6qkA
mce20Z6la2LLrp2SQWtU1NfMGJ38ldvkspZWmQRhMSmclbJcqsotngTkgSpT4oWtHsjREpa/H/l9
vK2Qw3PQBqBELzF5NqbRTQbJiazKAJPQwmiGpJ9YGgyDuajTESX4crxTFM8ur438+7L6rriv/4ez
K+uNG2e2v0iARIpaXiX15m7vduzkRcgksfaFkqjt139Hwb2TbppoITOYeRrA1aTIqmLVqXMWme1/
TSzH+2wZeRO1mVnDRD3ddY4n3MAEnqu+5dpe1DzAvOnKfVH5YuIAcYjeBfRD5DgKdIOBtjyqjvG0
5VYbkApPrinQrBP8M19lz1Qe6jNz0vo65sZQl4c5pzkNxj6xv9g0mJo92B2vb6T6W/1ZlxQ8h97h
fTLDkBi/WemOg87eXDlyyrWgibXoki2dYimMOdwtIDKDgjytX4b6NYkPZgQo3nOarmRcK4ZsKQPn
YhBFweH49WnfFy/IWvPa74HLsv520gvQHfJnRfLEXEQcAAsBePOt+E3LQfnZJBt3DXiu9NAuNBOg
vw7VGvnE6VCySKGpjCMOEl9IZWEESheQiVzJEJUe58yMdNKMLk2NOIIZoj9q2jtfm2NRvSQWsVl8
YgfIFST2l1e1Sq20DBegAJ8LTH7HRyfNApqQPebZj/pwN5YlsCSk5KDkaVcmRRUtEVQJGNDt9pID
Q3Tq0nha0sR2uhmu6M44FjuUfANd89C4BS2KB8K41BtXTP7uP8jpx7nJxZOcuSZ4CgG2IZgku/KQ
PL2UBxBYGG+uz4P6A9WDXXxnPBrfqK9h4sPTfl6/z6pTA1Y36jJooOFfabc7Wrh0LnHZRue+wkwl
S/eDBszX4boZldsADmPJH1CZxTTw5SLjrqdz6+AGVMaOhL/66X7CrPN1GwqI1TJE9q8RJt1nTI8J
KHzDiKh9QGgCDP+H9lfT3rnMB8/gXD6lIBTIVy636kKcW5VKP9FE0bRdrLblMcGcVW2+XV+X8hPZ
uAi425gqkesTDcHc8FzjQnQg+BC+iQmcHUhQCPe5nVmdz6BMUATXbariJQVy0gByHrqFcuYy0hnE
g5jP98POLCcPyoUpaL5qjft20jk7NhAQ9rd1cqt1IWp7U2Hsrv8A5YH5s2hT+pZoILeZsyyaV98L
+8Cdr0Jsr5tQe5ozG9KX4xhg4/UMG4Z1AJeJh8k8gE8e8u5hRom4DYNKAxvX5rpVVdDBIDxk8xAT
lhb55U3Ic82hIodRE6lUTjccly50c0/Lv5ByJbFSnpylQ4gKP6r8+rLJZ65FL6joXVegZdYkAYgV
QIDZcS/OCfLEVUYY5Rc7M7b8mDNjc1Xm4cghDaPXD5MZdMNr5qx8MeXeueBmXCif0bqQvIiGcfC8
zAd8MF5CEVvzbOc7HtbA4EHdLGYr/kR5B/5Yk5lfuMU7YGCwoCkBybrzdW7eI3d+LEr9qJcOcgVM
CZhrIMPPEQjhe6HKhXYUsGuMSWusUgzXIyup/HLajuY9Jpx70KuA48fvwZIgbuHLhPPhNI0HudXA
YGsvik+fcbEP2Qpnae8axJXsh1oJ2aquByyO3AzJD5M/xtFKzPkMEr2w8almP9ksZFYDG61rPmKo
yyuE6Y/6j5RBwyole5qU37po+poKzSPCONTZmvL0p/Rc+gXS1QexVGflDn7BArJ0AW1o27s67o5W
NwYM2fmUrOq/L5H0Is7DpGGBqAFbqxh44PkyKWCYla/VAP7vNAywv4t5IUrRp6F7illfP3JdY8WW
sBq8MiGzo+hkRGa2t+uqp1uRm/pN6jrD2qP7UwTDL1syLhRzFmCrPPhhjX01VtQsQVLHdtrsbOvk
r7PGxYSFISwMayjQn71VZJONkI9R2ejAieOTvl0JWZ+c3WIClAAWqkVL/itlMrqYuDujBe3XRbEn
PPK08dQkBLoMf093gLBoQCkWsDQ8fj/tV5XmGXSLwZKaQnIOAlSVe8Oqx2gtVKhWhHIOWA6QNwGN
IIUKzNyaLbAY+C6FfjT0Hzrn+3bUIXbHtJWopLySyLaRQAHfvOAsLr03waS4GdvZgoa9C4fXkc2e
Hu+NPPOL6l6rXi1xFOym6F9ja+W5p7qK55al/LcvSZPETV7hFXZr81ujPBBD8xm9s+NXY16JiJ9z
RJyShb4BzwuK4UdZjDk146iY9Ap04AAQmBV5mvoXt683UVRt67TzOjrc6np2cjTnpjXCr9eDv2qt
4BNxCTQTgU3+/RXOYiSI85jgY1n56Bt/mVjskYpu3dTx40Z/x2E9dpG5ci3UK3Zw+4gFpArEci+/
rDZONA4jrHjM2MtI9BttMoLR6NDKs6KTZQzelLk3ek19Fv4szP8wXAu3h70GWgNtSlsOKDSMDbvv
cFuq9uTUXtcenAHDvRhiRyHJcTeOu3PDbU4hFQDdC8yyrH3yJVWUHS8g4AsKHK9iIr++GzcJW6HD
MQzpwShAWMYwhqp9xPANlrbPp4MZ3o6D//dfGmosFANIgFwj27vcdYjEg2VyCTAY+EtPWdcUkHPr
6lvUNp5nkdzZaQjKZ7dbwceoXIaLyQFoJgN/+UlIwqBNmSfgefJNjiqAgHyYNd0n4+DpRrTSAfiU
jCE7WEhYAD1gUJmVyVDC2mx0u8Iobc9+uK3YYXwx6KrWc7vmYKMJfn0/Pyfrizk0pCDLB6Pod19u
KORGhciW6QSkPs8jKOwcUviVnm0Mh2Pi/aF3db8X4TYy1pRpFHt6YVn6lFplpXzQYLkNH4Yw9buy
QbYebTEisnZXyeejClMIXibYAxYh2stFahOYytwC/qGb6Y2ZpB4i/ynWooDWzSYrTEwkxNvKeZqt
+DgP1q7V18jClItdoN3LoMYyrn35C8oZVHNxicXO2reO3bYaZpK6Jwhc/P39AHLcQoUPYBxIpUkr
FU4RtriTSHMNcdM4/QauGrA744dWdnutGA94TOxWjpDyxAK6iDctxgJ1ubJk1rZdOhpsZsmBVfuE
3RjRrsn3pg4tlH08B4X9xrRT6W5J+qrh2dsNe2bfi7USlyIKgBQYpPZwyMu4r5RiC+qOsTbhd6SQ
Tst2Jn2x2a3ThH4WH92cba8vW/lF/1iTqyL9OPEk5fD/ZdX7nf7G2zgYR8z7rLk81fYSBwneb+Is
lLQuj06ISbpBiBkUKDpo/bTET13xVBr1MabZ0+g2j9fXpUpZ8BQE4QXqdZh+l/16q496AoH6CljA
CdKqtVe3W5AYeWZ9WxY+NDTD5CksvyRO4gPCcd24qbio57aXi3wWyLN+MPQG2m2YBI78OUxPRrzG
Wqh4iKF7gMFyCz0EE5DXSxN9W9exEzogYAYS3UmFz/QJWWByuL4SBfkFiAkQnBfuIsgfyt1JJkzW
g2YK7q1xq10SxSaI+AvMfDqRG/RszHcYBgOLnAXjALO1E6CqcTQhMYzYq4Zgc+irYlrxhIqztDCZ
4D/A0uHtJTcENLVZTDYeS1XWCsvHIyg8OXEGJk6X5Mjt7YZmR6aF6RqXynL3pGQBHQekaCDy0i1d
7glYSWaJCuUFKG9tSHM3WDwgswVgYu3nzveiBX3/2gdQOP0Lk9KHTkTpDv0Ik7YzBrx+dRvd18di
Y2rZA4YjMPQA+VtkNqOXE32Xu64/hGSlrfN5SgzhlS3/GovkLaDll6etmJCkpQKXqaGJ1+cohkFD
m7OfPe2Opl74YYaAZ353Ewu1o2ZnCgi1GeU+KR4ax9pnrPNCcLumVnIMHWsXE80b69UCr+rWMaid
mBRPPJRIpFPRtyKNJhe3ruwdZHM3IntPQw+drrCNXlOzPpjJu9EC+g7mZ4JpyTRtQMi8NvKtupi4
jsswLSo1TA5duAAYkZ+R+CRU6/zENMZ9w4rSp22z8jRSW8I70wHeGW9A6WQYgMPmYikZpCbZO0a8
b/t8Y+X2SmBURQgbo88L8B3cUrIHGHWqgVG3qH0nRmWwhYToz6SqtuYa25vSYwNAhOInxspBiSId
snJKWNqlvPYrHoZkEyd6sWV60yFx04ARcyb7zRCGsS8wiXlq7dY4OVZjHM2yhuogyPdWIohi3Xjq
GpgnQD8T/yxO6MyJ4y3WN+kMoq48md6THD05rbntNP3gtGsDc8r0FUNsiPeo6S0UH5e2Kq0G1ipE
Y6JtvD45hdVPoX2QbmOb74zsUM5Ec/i6Y//cWFrKd2cml+WfLS9JBdiOM5iEDFbQvKEg8vQPuBnx
tvXEEaOg3sNN/Av8Hr4dFCvuRLGzF6alnZ3iumndtK/9tPzKdaDnc+ja3A+0W3kVKMLEhZ0l0zpb
YliEetUK2NFIDgohzc/c0dfG9gDxcI9q8cqWqhK38x2VEreBYm4iGbCjefc+N6M3189D8qRrQRUC
ObQ2mIa5Bvx8KRihRoEkB8P0UDSTo+CcFqldUqRuqKzZAgyC49jsWo5G2gaewbppOsLpJnJtdzsV
XfNFrxvyoDF3ojedXQDtPdTGuLUyisEcgfpbtDXnaXokUwWoK50pzR/gZPkOCGrT3idhNn7PjLEC
BnaK6CaeI3j7yImyY8vdbghIE5sgtrD6Kt6MTGtuch0dkmS5nbQkoeYXQjd+up3e7kk7ZFOgF66W
BH2clrbfjqFzxzSeMs8wnPqBRqb+womRvzO9cHQwbTkzHo9gv9Z9MzFC4sVVlx5EMVA8hyY3Cww7
bvAbHHHX2yFlUKDSou9Gk9QBiunNM+UU0GS0AIeNSDv9G3qdcGmmnlhQUytA/rZlMSc30VCNhdfV
S4cZBOQsBq27VhxquBcInBq5GQBFp+9dTgAA7nJBZsyOj2jQpGPJ4YH1qb8ZstiFvEOUOj8rA8Mo
k7DdjyyqjUNB3QTka/oUuDlYtm+gVwJujm7qsW8VNtmL2hRscNwWAsQInRX6QjeLX7yexK0FnsrW
N7I0FNskFDHot5uUfRRu2H03km5yfGhmND+AlCyfq6SaQ49x8P12juZ+5Azb+2RXdnTXGCPGR6Mp
r6g3gDjG7Ga+6RsMtCKmIXQOmH3vy5CMflx3h6IT6c08DOUB9VNy0LvR+c7HGpwspIyLatu0OGFa
M9LyhrGJFrclq5wNgUZlFDS5KI+06sNbndRas59Kw46gKqxrIF3H2YVGNKneSTOFIBpzgd/1m2nm
EOCzmVs91mMaH61moqaPLhyfvXLkHJ39vmohjpfF0TaNh/ZOY7PxbDZjAo5F3s9gI6cVMR5q1pf1
RgyGiNCDbOhpHEi7oXhb/dO7Eyh0LKtk6MUSq1h5uSqjGGrl4M1dvPknnpKm6XB6ihpRWV+YmXYx
vyXD1yy5o2gIpXtafTRzMNGTBca66y5dZRqPZZQOHRdhFPxVl/6u6juXtxkSoC5hp7bv71j0MwPr
JcvqHYE5CNBtKzIcOWZ7WwBNOnNtikbhAkGsg2kDQD/BECS3p0pNn4sYKbIvNMMj/o6dxGDiVup+
nJTb68tVeHcKtKSFFIuA41quXBpazlqj01C5FJ5l3dWF5SftfgpfQrqmiqtaFmpmC0Ps0pyVi1n1
NMBtcrD9h62JKik3qxtDH0XuAesEBnx4ERHMkZFB20pYw7DyXRXh8iIRkcJYrgHkqllIRPjI9w5n
EALHJ8ZIbkQfrm+pYp0g7DZdVPgxmA35lMsDRMfJbZwJDFZpX25C8DAFRKuetXHYpHaxcTDbNo5r
Q46KrP3CppSH2CBsjPsUNnMxeGVDkbA/X1+VIk8GZRkycjwL0FaXEWNh7SZmO7Vo/TDw95RAq48N
5BFW+NGUe/fHivw0LONU9PMgQN0vXARV7UuSQfCktHzNzrd2ZO76SNv99cIwMA7cIi4buPvlz9XR
qU2gw4cwBj6HVhdINMJDnhh/n66BTwp8pVCoRvVGLjt26EA4dQzxjdToNg3bg3AMGdULhtWuL0f1
ysScGp5NuGJI3GTvMYGXmNZRUkMWaRje+ZjZqMFPkIvzuz6H8gJGqPAr4jSbZs8azNDyJiQh38Je
9By6j1F2KiPDPsZt7+7jyIo3YVhHxzgZtI1h5j1qla2VhUHWDdXDmFsO90jTYyjl+jJUNYKz4yYX
nqoOXMtzBrYAwPms/MEJP8h4SCD2mj/ExbPV/7puTukdzs7dkiWeJblplxCMeMFcHN464x6A5bn5
Yq4Nnypv6ZkVemklYShx0+V0NzbKaUOKKk8Wr80hq55BOGeorRBAOOCAll9xtha3T0qmiwZ6kxbK
q/EMMAqIZ+ZvMS09I/42FItYa2EaK4m7wkFcmJXcXtaWBWlSmBVs2NQFYMzTLhcrRlQ7qENgAwLe
Ogi+5Cdel9N26nW8bns09iIa32fR2ozQmgnJlRpVg1gZwURRZLgbYfxIujVJOcVewdEY6KKDrGlp
2V1+ogaqM33eAq3u6PVT2WrfozDfFmG98vhWXaJzM9KpFkneWJ0DMwtiNb+vugIZxC1YoXJ3Q/u3
wlpxpYpkAsvCkkCSulDkSEeg4Gi3FAxlvG6CTlTV3aeLgtFo3kACFex5azJlSnMO/ib4RRc4gmQu
nS1uCQMv0xDtKWPON4xbAalBukTj23pt5lgVmgDa+deadC54P45aOsFao93PQ+sR8rPNbju2jdHS
hgjUdYek+nSGBYwQIAmu/YlRyswSMsfDDGvWL9PeuPZuHD7y9MUdwoCLnyOg9dcNqjaToSWFYjhm
qlHTvzySJh3RaIwyDnaYccOqEDwJuTl6Ikv9KbYnX1jin+sWVZcAWB0XQCAgPKhMDlXEY+VWdo2m
dRV5xmjdRxHbQfkq/g8rw8Nn4ehD6mLJbMzONNkJ7loJcpJNPx8hUQu20U3c4NmzhixTbeJZZVtO
kmiI0u+cI8m0m/dK170qeZ0sTIyE+2mtwfW59ATAO9qH/w/Uk9XJmtLhZj4DqDff67EfPZWo3yEr
u3M3813iJ4foxd1BhxtiCAFi+F11WBtX+uQopR8geZc84hqJDPyAAvxvy+xFvza+q6BCuVyjFDBt
TS+0MQU8cNwaW/Ycv8Rx0AfmDcopR556c+zbN370FbgOD9TT2+vn89PH/L0+OHs8i5b2kHQjigLE
9ciqgSJNP+isefPgoSLilq9sjRN2zZK0k+C/GON2gXUKHdzHkDtzfZo89j0IUr7+lzXhyi2AgmVU
7vKWdyCpo501Ao8HCiK7u2u43zsvYKnscSuum/p0vbF9vzkqbYriGsTFL01ZUDdLaLGcT9ZvMqjA
coGRNvLlupXPz3XJjOSWk1hLK9LAjLYPb6vv6KWPTyYa+achYBB784B4uW5x+YMXBcPfBsEriHfz
b6rYy3VV6KhDtGnCwJn9PaUfI7p6PLxvrRWUiepMLAn8b7ZoAOGk0ydaMURNjC8VaScRHXRylw9H
Uj0Ka+XJ9bvD8WlBZ5ak06cXrBJxt5wJo97NjXtMO7Bl0ZKiD1iLwOghRF/xHUF5cGzbnzV7/w8b
ihXqoIgGKE7mmxGNM8+du2xoA0URzQwivukAOI4+rttRHsgzO0uAP8uLHU3LQQGkY0edY8qOZrrV
1vCRvykvP+/ln7VI96swJqQGSEV8/dF6NA5x75HH9hdGEru99dzZgfYaRt7sJwFG8DbXl/cpY1jO
5Z/lUQnNn41Wjdo5tnHs31CB8Pi4T0c07enHBLoOMt3pdH/dovImgNcd2ACIDxryEbWdiQxGiA0t
QP0BHV7L+IinICJrhSPlVQD3gAOqO3RNZdBDMSWCpGiS+xlEvNLvdfKiDZu2vmdrw93KBS2ThEtB
DJU36c7lImohfUFwE3LtYDUfjtv/cHNAGxq+crvXLEl3rsnDZAobWBrIo+ugDfhGW9sHjeXKoVBG
UPNsSVIExbgiMGyhgSVx53buK49ajd+X6Su6/09NJk6JDhmj+IXUUNuKH1BT8LRk3gzOVxO1zQmQ
qNlKfJunB7OPD//h/Jz9tiXBOLuQIke+bnL8NoMHrbupzVs9xvzV03Urn/L25V5YwE1gbgLdZHls
O+LuQIweNG7O+C0XH33vQ7Bc5zdT7Q8/r5tSMjuc25I+a1wgDmIADHNKm/Ids2b3YFWE4kkQdQHS
MYib+MC2Vf+s6X+oMjFzwbqCNA7Qd1v6yOaUGoOTLRdkvK+M+7ZbG9NQHtczA9KXyqhWTxmHAW7l
QUpPUxfknG77NZS80kWf2Vn+/9mJsEnVF5aAHZZ8S4rZY5jKy/65/pGU3uTMxrLWMxuaqaFvs9iY
ROGl2ftYR34GXfZUPDlrjD7KfQPnufkbhQZirEtbQ9RjWG6CrQYS1TCFOQQdQxgrpUXlCT+zIgW2
uGkHMCLA88e4sla66YDXqDZCR9Vsazov17dPGWbOjEkRDiq2AzUWDY1Evw1B39mCQXTrGi9xhLb7
nidfr5tb2UEZWVfiCUDY9Ds5eBfVbsSoJn2J9OC6FXXcRlq8iIIASSw/3Mx6onNMl7hdHO1t/65v
Ik9PIa/rTQ+l1z6wnfUsgu/Q5l3JJpUn/o9hueBt1FUmygqGW83ZzUYWcKu7DTt7xdUqPcSZGSmy
sQT0GGEKMzGU6pIYsrhvKzv4CQG+uNkzC5Lr45QWmSlgYSYfJhCCvNkP7hfTfCL8LQaln2bcONVa
dFPe5TOjkuMb4163zAxGWY1ohnFlZONBlsQeHj8BtX8KqHXF5ZOw8AJxv45J7GvirdLLlx66HjwF
mMocXq9vhPLAnv0kyVVqUKNmGD7KfbRjMDv3XNfg1X1q1roWqg8K1nUQNAKytMg+XXqWou6KvsJ8
ld+RIJmgfDjPKydT+bI6M/Hp6rEkcipMA/rRXbYZIcLphdvkdd6JbfYTlXIUhq7v3KpB6ZBaVQRg
wsLNmJ7ER3kIb3rManhoM80fukeArdleN6j6VOcLlI6sG2VWUyQO9rB/G/VgtB8N+539deMRF+Pc
inRGwxTHgXKsasp/jdCnijKvG7917sf1xagcCUhpFpQpgwSG7MGsoWpT0FshGcf8MB4czNzOfy+8
t6zljxHZWzmk1mOgQ5AHoPldRM8uD9z00Wm8Nj22VRrUEFe7vixVbDu3KJ0JnUQu5ENg0eJbM/IF
wR0n3lSehp9ZucYls7KHtnQgHFf0wFfDmFa9ZCIY+1e6Es5UJIYosaK3j4+EMRkZbtR1mtlMArgY
1rQvNiQK9uNEtjaf393KyLxscIbd2DZTkEQ9uXGs/H2oOKbQ042b/GCYp2LFsKXj3K3kECpPCv4M
1LksHW5c7re5RJixXqEE5fQaRm4TCDSFmMD4nlpetyZurdrmc1vSNjdRpWsFYJZ+zQcPRGn+3Pww
1wj5VJf73Ih07ZASRc4kYKSEUOwQGUGV93eFlnnzf+Ke+q2su2iXANq7rPcso0Ta58RtNCL0GQEb
My8uv1+/BMqPs0j3/p+BZa1nBvQUMHG7gIHIAPElWK+pSLyw/1KZG6NcQ5CqIgv0wmzHsYHRABDl
0phwzElPRnNhCvpWDz/4sL2+GNXXP//70mJ4LEw7CilepCjfRrQNYvulG9cQRKotO7ey/P+zLSsx
ghkWIMn3q/TQs12ob0yjB7wcL9zn/7AeKCoB7YRoDPaIS0v5UFSOs9B1A7Tv83ZLMSBF7BW/ofwo
f4z87vmeL4eFPWl1GAlBq+7YO4A9Vhyt6r7YoDelBEcZ1CzSMsoGdLJjijBF+X6GWHQJrNhT+l9o
2s6sfJbzZegYEKyDRNvC+BihtHb9a3wetUCIArYNOhZ484NYWlqHEAz+ZYIFC/wSpXlAbcESGM/b
QYXTCQ9184YbmnU7QCRAExgwvDKv/wL1Rv77AyypDgfl9LQBpm0pp8Z+43ih9Vq17+PaSIPyGv1Z
pzxkG+mJURkt1mkYmFxAbMif3bXURXmJ0DnDjCXwlJh2vDza4URb0qco0JTkC2ueWXLQy0PVbtK1
2qUqygOo8K8h2SeQaorSGOUwVBHJcDsMr5O2N7v3ptiba4QdZAkvco323JjkGszKFQ2gp0j7hDdv
7WfXS7wp9dCnezh5b2+z721Om43l7elan0d5i8+WKT3Uhyot88mG5RRY1xkDgHWyEsaVBKfni5OO
f1oMqRuNMEHvRRG0T5qv3Wk+30W39oYH/FD7G2/cRM9DUL6apyhYe88qX9JnP0A+/qXTWPGs4cw4
34zn6K76AjnGzkuff2nf2gfj8UYEmBe5XZuAXjlA8m2oyAhwmgOrpIihCA3ikpMjTrwLzOxbbv0t
wA8uxlmE1zBaiCkDeX5zjlwzF4szHrNqmxDiC5sdxNzsW8OF1tTodU29wmCldGsOBXUfVJQNIEak
dIZ2YZKEOVLTKvFDqnsgRqGYIuq0+5AfmOMl4S/kyl7K7zJysrOgW53sVD3wz3/BcrjPQpDmNL2R
9PgFUXVHRiA1QeKxrfPbOLptcL7SpxAP3uuu9DOUadlpE3pw6GuQBQdxaROMe12XCBePGlCcDyY6
zQ9J/aA1x9iC+LcFmZ0q8yAns2J2+bOyhwB5AaIH1DcAZJE8RO44ZVFaMOuCqOVnnc0tWinucBQj
UOxluxDngmt0xyFlAa32lOJBQgY8Up1Zxy8Dd1Mvhv9CCrg0AzGvB1kGAJMvt0KkkAVvSIQpseap
pW85MJ4JJiKur1wVu86NLK7z7BuTcp66IowL39Q2TnxjOfdIl0DAcd2Kyg2eW5G+aj7Ndq/pWAre
GZ7NAVZd4x9dW4d0VkPdKPTSgAWWPQ4FqoawAbXxeA2goAqQLrR1AZ5eLqacbGSOXvG6SQtfi5ov
qe0+NIZ2R63x6Fhi15Juf33jVDEfOtuo8EMhEXoSknPnKLuW7rxop+iVV3bv3PmoAYO4bkT5df4Y
kVPNES1Ec3AhMeK0wm9MTIqspZoKiaZlrg9IcMBt0fSVH5tVNIRRGWIdceLxwis+tPvkOB7rbXnE
4yY52ZsBoWLeWHfxDTtcX56y3Y1ZNKD7gQgC9E7aRAOFEoe3OBtV7PeuhwB1ym758JwdsiDdAaNw
3Z7yiPy5t3KhjmWQuoy6pED5B6o90Q8BzcPM/VnWD6v6Acrj8ceUXLAzzMkZkgQrG6M8SNL5lIxx
QMZhpXepPCB/Dr0c4bMiSdkcYkU9E7vRGB9nhL/rm6ZcCab4wOa0IOhlHSLLCFkfFTDR1j8oFJay
eDNEX6/bUAGoAL8ERBq9a+js2pKXL6y8AZQU8qKDP2/dk+lHN9GvZh+/RY/1Pyg80idQqZCfEBBc
evaAqZWH7O36b1Cs8+InSAmhsNqIca0ufL2dQhNgU11/gNByagdmCZKRzXVrqgKrYzCAmfA6IQs6
+NK96zQPaW9ixSYGh1INwYudQoC3hA2Ajl/PmeeIhZDogTbdFvNdK1dBkaRdmJeii96TNLOyBl/V
3GpoTUGUt8cMF/epfq9rK5mwKne4sCZFmRZyDFmWwBqlTx3KDTNg9+BQt+MvgiKwowB3Crv/ENou
jEqBh02uaWJgEDjb+r6OBiT5a89L1fPlwsRyps5idESdqtByrEvTHkO2bZ0NjaPA1G9Z+J4to4Ka
1/ykhYbRLkz/vmGiYuHbRVXHt0E9mhwH64cefZ34i9OvkXap99xiBF51OWMytSuURAqejPhtov5S
QO+1/87m7VA7u6J5MecAhw/M06viIopb5GCyGJ2Qpbn+iZWMJqzKYwebPt3ov8yvHKzTex4wP3sB
j9/ROPDNoINYduUyKRw7nvE6qg2A58IdSt8hTrWu1Aju7ridNuR7+I1sZmgBYZ4v+lXeWdvi3sXJ
PqSPa+FTuVwG8l4wsaHYL0dPfTJDbkBtxA9HL6VfLBBHdNvri1OuDU8b8GqjpGnL0ne5ptMR07C4
qYTu7PEHJn+nqPXHcjemu+umFKnaws/yrynpxnAwZTpWBVOxEeQa6JT3brmb7JUFKWLWhRXpY0Fy
bpnqgxUn243kvnXWeBOUH+VsGcsyz27lkLKK1AkMpMS3otek38ZrQwOqzGVhj0M7ZMH9fhJRiONG
a5IexP12om+gROE5xqbI/sEwTmKcKAQ2si2IqSCqs0Z7rbrXF5alOKXRHCrCdJEM4I8CbfECUJZ/
UByc0aeogwZNurXyltIkJggI2NQWkLj8BjPcNMxpj0YJqjR5+1JBbApMlRnY4ybhpaAY0ya8H4Lr
h1HxFZexhX+NyuvUnXTKFkbccn6orAfd+LDGH9dNKILghQkp/WzCaKZ8hInI8fXJa2zPOkSgC5ic
lWj7GzcpvWLPLcnNurbvGBh0YInWwwsT/CYNFz64FBzDEzaSBh39aPJ3y3jGa4Jbp2KMQfQF3I3j
6VnqOSw+JL2FqfcmiKxXEuqgK/2RQCIKIEqvZ+XDOLD7FApv1zdI4RAufracpCR9bLAWP7tHPYNU
28H44gIvWW6um1F+ByjSAlPogoRGrm1GZhzWmGdE2d6azS+J6xbfIhxDiB+bNMYzhMGzd6UFkjUd
k+h//8hi0BLDHTaWUSY4P8ld5LyAoFoCxFb+XOnHMl9Z3eeDjL9vIzjBBAPn6PL/z9xR0YNeNEzx
91s0ajF0iznqbOvq79f3UIEuhBkAd1EpQZ8Oti7NLIAPVjEox+TJEyhGhmyr090YBVYUgdv5ns0B
7z3bPXU+f2Gm1/k+8Vi9nddco2q5FubMkXYsKgAyErWLayOdCJbLq19VZp26SdtNgqwhpT+HRfAV
4R9M9lpojMlVxi4vDZ53HEW4yWMv+q4P9C/FTXiyb1njd559W/ws/eKY36xp0P1m3bm8y7AMHhUd
LBQYr5Ix0rOuC63W4YAHy5pjT8Pz+sMA3PCI8f+FszjvgOXvFgbjpKLtYzXmkAyaC6OhgZEk1QOI
H5BjR3mbQIbJba2Agt9oM7RND4S8JYrSA7tHhGF2nsUvoS3al2Gu8O2onjl7EqZr8Xg5GJ/WA6w3
KMVQz8RYzuXB4aLILTNt0Gk3I9Rmaltscjc3fFtzHI+T4jQ1OVL0HMo0yLPW4IyfZ2SRuGEkCG8h
NLw+j0EYYQ6ceYPLnx7It/A79eqThhq165sHMJK/9yhR7zGBXno3xb15BwaXlXTks4+7sP87+J1d
T80AVZvuwn6Vf0TWMUx2ffjGipXUSnkr/qzydz5xZgWEBX3KFkkMp33KwO3RQJPTeL3uAlRXAnO6
QNiC3GdhXL/8kKIFU35N+2UIqH4ggt3GLt1Z4YwQXXmOFq4E6M95HPDCGKAGczaIRj9xloEoQ4sM
gSVh/AlC4sQj8UqvXWkB9WZkWdYSFmTPGVaEkHhJAWxr65qYtmtWxAyUW3ZmQUoVJw6ECdi20T6o
HvsQHJPPenp0MxCzrM3sf45x2C130WFFtQuML5J7FmHfQAprwDGf7zAOoPN9GG/KwWMgw11Fmi/v
aflKnxn7ROWOzKYpl3GwhgcFuR2mXcE3DrhDo71lbkcaVO19kWC6fu+AxOP6KVQI7V6sVB6GC7Vi
mWmEcX7XPuqjp726/rQZdj/zWxbcgtstDuzdm7H3okPtGRhoAWOTV/pgONsUQOau/BzVxTvfCnJ5
KTC2DMTXsu86PzXoaLr7KF7xICoHem5Cqm7UsRuGxjL9J/5H2pvuuI1rXcNXJEDz8FeD5aFcVa45
+SOkko5mipKo8erfpcJ3Ojatz0T6Oeh0H6CBXia1ubm5h7UKvxt3KloeZ39gqCxuJNtrhQS/q8cC
jCwa8lUwJj51NJI81wm6SL2Yblr2KM8fara124cJI3jsH1vbFfp3KoHnmOReJf9ojb9OOuLQI8Fu
WOhwx4OAO5ZRbcZZp2G9JYRRoQTi9qrAW66tEN35aAAGczQmkTgEeaY0V82lRVaDNkx5BPGlwCxW
8m9YBMpY4EODuILGn8emluQ6yjEwA8WByDyU05PibKX8GLOgMv3Yyd26RaMb/hKUD9ccwRkwfzZz
q49Z3wMYw2qOFCraZ8bulem1pXvl73v4LxbJH8VsgiuiyyIp6L7b6Qed1b2UpP7tEy9aEX/EalKY
0zLMlWiaa84PBTngJRKZnzLbotFZgLZ2oM/3jzttHdr22lxe1oTeK+t7y/bZ8O32gtZuBQjPyIuO
HYbZ+RcBpUbT1Aw6Inako2WlSf9JezA8DtU8BckYzwEEZkUsi2ubuKTpUGBF1zsIEC/91CglWuos
jXhl/swYaOk9SX6tFHdyQL/1cnt9K1sIIn+wwoMcHsyOPEW53vVKJZnAYg4Sv6puvlBmzpvCSifB
MVtxjQv5CSqMeNgtRDyXq4rlCA9f6EF6KUldZUrv4+oRw0z3kkL3VLtPZG1jGwiPb6/v6vshrY7C
nI14EmM4YDe9RK20SEVTOcH5Rf9X1X2rv9hk0h3p4j3y3rvbaFdfjkNb/v1ZaIfwKDO7Gmh9vZOU
16zZG0NympsBtAuZq9mpwDmKVsftKSnnPksb4BXtuCkt7ZGaLRSLiiBl2f1YgXvw9vquAuTL9fF9
YjZTC8tKQdXWKwx5zpem/V1bv0bRbNh1So3D4ZINzI7SjBLgMEf93uZZ4jYZkQ5QGr9TyxIqy+No
grh6hHICJC8Cpva/JUZzgXsRrZZzZm1qT4qyrLaRNqrtU7TEdhjlGYXk56ufEZIIsE+kQ0GufGk2
0EwoVWfCZ0zosaw3Y36Cq3bN5j0RVeBXDfQMSb9EGiTLIfMIJEd9QyEJFIkE3VZgde9y240H0Zlf
3UEQniIdDh4QpCMu4XRpKFgKVjuP1UBKFb/EAWezejQxNf0fTPMMavkpZ0cva3IqUw1Q1FKebbDS
ZQYykYO5awyRwOWVz1ys8wyK8yltJhGiMmyiHjsn0Mqi97371O1WsKL1U3CGw3mTTEc1fkhoiwHU
QJt9Ah4xNaE+gW3UxQtmsUvIdWEiWxQqiL4a51VyKxm7qsFW1hqSQ6pTuUXToQe+8gdiiFzK9XDm
126CmUaBLMmysZcfri4rulBFtpDgGf8pqOKhYerBHuMdK9OPiJTINrbd7wykILlD7hJbRr9I62d1
5KNU/K5jbva2IS14Fw+my9/D19F7ySJ06L52HcRMcuPZeu8WiQn2lY1k+uDooe3wHzwNbl/UDpB3
wbXPWZRUFYY2kgZfWq4gWEGsQK8mf6aNjytF8M69TuFjgedgnFkVvVTZIN1uMZJy0PoDmBz19G4o
/cp6Belp4bwnKB7c3tPrjCSHyX3ksp4ZRgaBqSt7kj6UDBtJfZY95wgTO1+vjrG8zbOgBXkdO072
Vhn2CXuyUsRXhzQWdXyuneCzLeAl9iQJwjBagZ/TGvH3IW9/mWoe0jH629fR16rRiYjW7UUCm3N/
CkJtLa0Ak1loyTDJN+T7Trd3du3qQD7kXwjO7TmxZkaYvsHGZq3b6ocWl/8sPSr5WyQLUjAiKM5I
TYctWq44GA0EA5Py1Er1hlqgoid42Ap2bv0D/VkWZ6OsTaKyQD+QB0cERng/ltDMpwtkXNZBFjJz
pBuR8ucWlI+OnbYSTl3eopclS0DrHx2oRgSfaO3OBZPhvzDcWpq0qKJ6bltvJsexeTGl9qMl91XB
NiZSIgkIwwVR2urFcY7InbYZgmZyxoDYEVDdVlvnHyxOu5+ou08lbwZrVP/3hKVwKouI2hdpMyhL
L704QxzKuhF7KcfsLkO7lmQNQcHuMYLMNAE3/HXX7XKuzsC4KIYWMYmNFOtLqRaMIOxNSjRT08aL
6KaPFVfpMVbyVjknTLtCCLhT3ELESbG+x2e/gTvbMZkLZIuxYNN0nej7qD+BbLFkkC7ADQYBjqFx
bf2htb7dPu9CXO7AQ8glsVAgwClEXxAqD3J/qsAqom4oGISlonSpCcon3VcQGdyGXj0uZyvmjgsp
eykjE5ApqgJyv5/NMexFL5rl0/G3L0pFcJYInJAj5SJ/aYC6gBR3rafOsg/GBLyaWPdxeyFf8fQt
EC6wH5yGWc7IwDjtPIBRjanvjhM20l2p34Ol0avfHTVs2b1d/WSOYBNXncHZ+rhzItW5LvUOoLWC
gZJRdmfQpiQYaQCNsOlsqWSJqipr8QxEyAxIiqOoCq7Ty5NpUJLJ8QxEib5M/ZE5rpVuIjq4hVa7
HduKx7+vWtKX4/kHkb9de1st2okAsbdCpgZm9TjlMwbjKp8kC4MR5lIpamOiaZVV+9Sg3YTWTTQe
8aO2GO/JiTGi5FdJd+14yqMjiXe3LWfVOv9A8LX7uCN1tYwyeTUkkqDU4A+FiPBPsAq+jahUokEq
llUYKOc3eeXH0yFJ/rm9jvUYUIdk0SJ1BR02zgzlWClSyQZKkSff8P9DpbG3jUWDLJrBc66Fg3ki
qC8h8BVxIq+egDNoznnPTVnOaGAAtPJGx8R1it4d0m7XRd+04Xtbi3QPV+3/DG/Z8LOHYY22hWzo
lw115lCbxxDs9gGtVLd0+oe4NkN54V4oRLyromVyfroc+1GTF1jVkd6k6LMv6gQMmNOm0r4rfRkM
KhW9F1dNB4X2r7l2tOhyH7VL9NJhM3Y2VaeNqo7QkKTHFOxhtj3fZ8prqkzbEdp8rjWlFHE2mmkd
6V3OHdduo7AyRSOlq6dlIdxW0BkF1nbO8+joWe8yw268uR7DQu2exkQTHMjVmPRfCFPmpvp6igfp
nABC69zBuMfjJctDW8cotiAgXXsTI7j5/9aCt8OlFUmdYZXOaCHEgHBBiha/DtUrjKBsibBkt/4Z
/0BxtxOm6qtUXj5jz7a9ebKHd6aILoX/HwfwB4SzFWKyWZ4Y1mOVMbJ50EtAE25e7NMIxSoSYLhc
jfH8bUWjLEJg7vhjvqCjkMXE6mQGDmu0Q2igmNr2mN6BrMhkbrX6vrYEIbhoSzkfADHK3M4kgBLV
t9C4HsWh1faCsHsVBJPZ4BPHH7RoXpqIRopytJfvRtCcMaY01CczAGWPd9t3r5r8GQznWGrVnOzM
BAzS7G5HPxvMWsUVutayTRSNArBVsz8D42I+xWFW1UwAqyfiTsU97XVvin+0laiUIwJa3OmZlzZj
pcEbCUApecyGUMGiLBvy44KKm+gbcS7JoLgA8gyGIFvIf8TlcyJPm7Jun29/o3UYNFpjdBZjYTy5
WU2rpGxnuCUFw4CDNiGP/TyCbef/hsI5CpLTJkbpo/FGZmwVJ3mB3GGYEUfwTF69yTCC/r/FcK6i
S60i7mwHPhbv/jkJ9YgERrpleE7WsT+LXq+iveMcBMQgB72rAIeBxkT1qNq7WSpqBRCtiTurSNYk
jjli60p0rfmN6iQZ9C7KH2lhzwFDn2WLCahBC7Ri7l5uf7XV82tqaMtBZx74Cbj1NXVbMNOJAG0c
EB2PSuNrzNcST1b+SyoT7Af/QnGrbAsMnRAKKEXr7rR4gpja01ii/CZ38WffFDsNBcyBQnDo9hJX
P+EZLueidDkf+yyXEPvAOjqwFKH1Oh4HQSJz9RueoXC+SctBuq0tq7N1nxVPFOwoCgrpoP6mjRMI
WztWPdQZHOeh5q7vHKXEooo46JEI7mmotd91sxNsngiHc1FKMfR2LWNZas3ccYka6xTJ5/y5qzJR
xLhELVcP4X/XpPDhEyRhyyi1geUkr+mwS8BDmUNsofPmIXKL/Hl2fo/yS6WLJiavx9GXJ+IZMBdO
jZJZmHMJ4LS10bT+u42ceGOPkJ2CK6tzKSzpc99PrtPb/oBglfZg74Cql6qB07q3nkC0/jiVsqiy
c9ukUBi/vIUIs3TU3fGNWfbK+oNhn1iV7LPizTS/541IGW/5kte7j3l16BphfpQfWNeUidKmgBNq
CtmFMkhfjW6qtS5RdiP5MRVoEU7+y33+NZIDlQPM8HEeYcwjVU0bOFc80DFzFbTsW6v9U4tYktcz
LGc4nAeQuinL2ghLs8BtQHZlCiK9n0WzLfvTpISKuhvpr6Z7rYsTxmb8295nPUWGt4CMwimSHnzP
ht5JCRsGGFfDAqM5zF0Agm1Xq+5ptXeYn1luVzduDMKR28CL577+nv/ifk02nsUwJJ7rqc+x6FlR
3QId/dEoOrCrqZU/S+MnMKdeYkWhAMImaL7HKqi1NRHJYhoyh2jS1G3MaVPEf90X/3Vc/6yMOxcW
Iehy7mE2hmTh03Vvc1OEtzdv/c74A8FFGYaZdq0MEQDPqY4NJEXT6sXC9X8bZP3E/QHh7l4wDNvS
BBZmDzU+V5d27cJToGpuiw9mjk8s38/S9jakyCi4E1cMckk6FZAkQg+zVeyjiny/DbF+Y/xZFXfY
TC1CU4aNoLZGKzFpjiSqws48pmCj+i9Af+IJ7htBzGqIdA3uUbcwCV5msacSO+hH4la2/n4ba9UV
n3kQ7nbX7Vpl5mJyID4qTPSQ5W8tKtCdvelijKOJJkRX9/AMjrvdTdoqUIACXAxJwvRep15tPxBD
4JpWjeEMhbvbIQxqYmQLKH0+7wyj+6V0qiBav70QlB0vr7BCzhxKUkCkdeMniE4kzW2kx6Le3P4+
q+fVXsowiqzrDi8TAg5ulWUlpg/VsTpKunY0S/nNbKyn2zDrzvwMhzNuzJDkXaTBL2jDO0pZihZk
6UZTXGbEgdxALm4LRrwEzKYC3MWWr5z5GS5nf+oktW03L5cIWqqavt5Hs+bi8ehHZHRJ3gSJ86Ml
yU8KmRlaWy7p2jvLAqnd7d+x+jnPfgZnl1o0E21gS0RSdHuq00OLpq5yHF1VEo0wLyu6tWLOOEvH
oANeX43Xlb8MGE6T4XGHtuLhHbStAq8oWNYVK36bRwSNuDhuzSZOUg9YzuTJusAzrjqR5e4C5xhI
cmzuI+r6aGbWACOtp1Bv/0GnDsWQZCr7Bntt5FZwuldvlzM07ls5nZUza8S3kofvavNq9gfVeRui
BDMLB0I3E+sEZ1AEyH2xvI0kHSo9WB7J3Nj0iHRUMHzRVPelFhhmoInSQav+688K+YZlI0kgU6Qm
OPQ2aBGQaZgz9nLb4NdbRc4wuKdB1KLdh4xYlFzIJycdnEXOs8dwq9r7SjHe10P2ILP2Z6MNs2fp
82sbzTvJjpA/TB/SZmF3a4osqAotglg66GWGqQKjuAORXsEvVVcOzKImuTTuGYtQOedqI4nJJUSM
vEJDWb+NQ8x7YTiqols1w1Rmne+TnoU6zcGoCU+VDbuROaIk0DXxAPZqkeQzQJ6O/tqvUPws6owp
lIa75ZtMHihmMQbqWR/4BxrFrHujdVnwTf5knvwk3ZGQvYI1pjhJd1N4ey/WboPzH7EYztmPYBqY
PKiErahBhTkOyqbSPVOzBM5wDQXEU/87zs7yQc5QIowZQsgYppHJ815C3aig+n1cQ9n771dzjsPF
ORBLzWhm4SAji7vVoiqoLcwe6KIk/Lp3AsORJaM6a/K8QRi1q9DWhuVY5mtvzm5b+h3DYOYUgL1F
NkWz8OtXKYa2oZADPlR0tV9uXzxYY5TrsJQi9wprcqvurkQNGDITY3IcCOQVM1dioDAyBCdl1W2c
AXPWEaeOVFRo2PAmqw6huBoOItmt1fvkDIE/iklpIJTCVo42QuB5Q01IYVrbCrLTt01j9ZIEVyCm
bSCnhwTe5R6CVswZqwGmQZInow5SNFzIiEr1APPRAqhVaz+D4nYtGtVeJmSBqk+6MrhmK4PcORPc
ISIUbuegDg71miVXJ6V3DhoDUnR7CslrVy8qNDeDw9jS0PzPgUDMWqq1Fp9HAZlynN5NkNuQQeXT
PjhFkOWFW2uCm/+a0Xlxi8tEDzKslgEdpcsPRYs+L3MLkIy4+dF4mh7Nl/ZefYw2sr8Ik2HGv9/F
vxHU3TaQtUN9hstHNmqTk0z5eiPNO9sKDDTOZo9qfOgUf8oEZa3rgdnLRfJ1Bijw5j0CYdyVoePG
gRW7Mfw/BGQfy30JMTZndt9lt3itNxAnZy6UUyXBc2PtPJwvV73cZhSRtdTUYT7zuOmywzQht/xi
N76p/Li9r6uFw3Mk7uQZpUPUIQaSmh3gkrup8zX5YBjoLNG2jbmpoZFdi+b5rjnRuB3mDqFt97Ha
S9jh1q2OM8J8TIW6YwwJHjd5Z6/R04FpLmZa/B9REIuq25rImLhzo855KvcZPDZI8jbRi/mYvbe+
FaQBqnBhjA96ynzbh7j8zniqfek7A2tF2H5QWDf12i3CJgdUotluq31rNvJJOqSid9Kaa18IDSDg
qEJQhR80xrTXnEPvHnfYeB+lI2gbRNfWmoM6j7K4796QkhXyhMuDRK4BdhWpDCPhoMJqwvIchfvO
TWGk+rxcUSUcOvTprOIIpgk9+aV16KUoJGipBLX8Osvh4GyMSQ5uW7dokcv9dhbZ6KjqonER8Ep1
GiSMGqJ9sCSiIutqBHC+Sv49xEoJeiCwJ6QfGnvTtnfz8GZKEJcvPtrsVa62Rr2r56fbi1u7nM9R
uXeRREf0e5dYnF5L+3y2DkPxG1S07+0k/bqNJNpGzuk3vVwRAtZ3z5oeDeV16p9Z9Pv/BME/gbKu
6IgVYzFqPntqqoL2dd7MBfFvw4g+FT+vOdtOYnTDsmlgZUP2AYFGZ+8a9aE3gkH5lSmHSvFls9zd
xhXsIB9ix8nYK3IC2Nj4aJDC7pWTob7fxlj3av++m/g41LDBTVBSfKV0QDNpDzquQfqw7eHQGOpn
Zj+3drq9jbjupf4gcqd7cvKm0CMgNvUxkhHilpAYEVz8qxgQksXAJgahr7qvSGu3yrB4ELVL7itn
QCrI0avu5+2VrO6doju2DnIz2+D3Tka3E4Q3FhSIKk+SO0HuqZh8VdIgUfQQI3H+f8Pjdq6M5ykH
ORE8Rv3U6A9Rvsmnu8z+VkanEaw8t8FWje9sccu/P/OClpxmuWwCbOohj67vmrwFC4Cge3zVG52B
cK42j/sB5X2AREMdgODKk1MHuQb7AU0tArMTfSzO3ZoxydRcBhQ4TTUH7TkBmz+n8VlTDxITVMNX
9+5PGoAvJlqsnWgRIVCxwAA9DXvF9tNaxDewHnCeoXDmQHS88tEyCvG8Y/LQbOct6u278kihXJW5
qKFUbuprO+JJx3Ijl25xtANV8P2uSXeWkOzsN3BWwjodJDE5jkD/8wHqR/Eb+hd/fbyoBhT9ar/3
jNDyZm96t4PO0/az4bGNLvgNXw8WPld6/hs4I0IeeCzbGPvQga/CLwfPeBoPbdhvs8/6Z3LSQNwZ
oHCvBLcPyHo4erZ2zqIKok5mWwMXIlm25CLXcmBb9Vf0q9NcVMPljerWn+jreKBonLeCUlR/XD08
Z/iLxZ+d0EjX89xJgW88Hx1QdLxHd0MW4NvLG4iwPXWH6Em9B81M/Hl74SJc7mLPzJYaJsE3B5l5
ivyIfpylQCjuK0D5eoKcrc7KMY8walhd2nxm0QFiEXnWu3MteJsuP/aG8Xxd/WcwqtFGWuYsmwhS
4CKx/tHwhoAshStrv+dExrNGRo5a1B686oz+fLovFowzVJ3MTdJPQO3oLynS/SIH7UwBgrsXEznS
tN3c/mJX/ghUzktiFORf6DB3+HH/mTpmLksga8+q1oecameFVK0F5+GrynSxlQthtLq0kqDajycI
9ziAKGWclItAIChrp0A/glh5p/nkgCI4HkYzPELij55bEQ+1QxL6P/aeHexvr/Q6Y839CM4pphZI
IvRF6HEKweoKTfRP5xD57THdVTvnCOKsX/k/d6qbP1DfFoTWV0EHB835Qgz5JE3eLEp75uSOYJjU
BsEddu1uOYjl0JzZjVY3dm8vwtqgRkKmRv/+PduY334ae/th3kIU/cTu0u/lqXph9/MnCrWx7ilB
JHj9L37t1nfm/J41IzCVNfwIkNjW2WMmbxRtW5Z3FRRCBF9TtKWci4sLmUDzCVCWW3zDTJU5uvSz
fL3r36Tf9lZHk0BgPd7GXIWEqjjEnUDrihjycotzMpLJnhbWFAVMyJ3j0UQQNq6wTn7RA/0LwX/F
NJWJNAOiKnzlAQMPZch8ybUeXtAO8xMz1b/Nl/fGlRyvCcqw9gfq2mCg3qSf5n13yCTBLl95WhiV
CdYiHaxdOnRJuCJPPmQW1agGZRllrw57ogeT/bsyRDH5yrIRioMUEH+HeNpVK5BRlN2Uyg6MN0ur
jdPF/ZagqWB2LWKYsW85iX1M5TK5j52kq/ymKuv7YSiK53TW0n1RqmUVRlAPyNy6RpJXNaPiWZXs
+k7NRqh4q/pYg0bLgC5uOwxt5GYVmDcDM00nFfyeqfEMRrsMLYOtau6ytkXDjlQokuixeHWhQAYI
0/N4FYC9CBoonBeMpjyOmgar1HJDDqaBRJ7ettJuYAtgzUCErA56aEzdEKKU/deDgQu8bYE8CaNX
MtrKLs23tIYhzSnuslRV6w2z8vjDnjSKhE0jGjO9vlUAtfDHoNYFyiuTW+noZEpGMihhFB26Ay2F
pLuEmjZyueMgMNE1KHy5RSbO0VRk+y9XlVFNqoYCfM7JRNtDZZv0pGbM/rSplo4CrOsiHqYdTYw7
g4dKBUsOTyQ5Ynh2aGmNa8ojL85DtR19Q/G7AhpIbebmdxiV2OR3cWj7RlAEcETvJBRlrlcWfPEb
OMen5B0b4gG/oc/uDOMtsb7lIKW77elEGNymTrkcd5UNjJk8RN1Dk2yy9Pk2xLUzvdhKPgHfjHPL
pBkQ+jxtFKXYIubx/x4CPEaYzMYfMNwtqzy7Eq1BJzXYvvHMAQNnalqPA8kFq7hOSH7Nv/7B4Bx2
z8C0ySRg1EGRBNlj+WrfyTs1DpS9EyauQt1Z9HHWdu58Wdw5blMrAdMbIIu5cR0w1PaCwPe67Zdb
FGdiMRLJlbQgNHfWc+KpDaoVxpPum265GfwWjzf7wdoTTxa915b/8GX8sEwT/9lNzu4k8Fk5Y9KA
WvBUPC59BJ79zTioj6ln76wAHTUb501564+RJ2r5WkXWVbBWovalgIjq0lZMo4dWUg1ks0pdnbxk
H5WVu8boo+Arj5+3DXPlIgCZAZh2FwkXBN4cGNyLU3QNgyiG8jD1C08SeuVibzShsRdOEWYdRSMG
awcaW4txbXTXQOKec8hdllQOraA7TBD6yeO+zH5gePv2qq6DBSCcYSx2e3bcGq2RQL0LDIm46e++
fZdjP0tEB+6qtXapwyN5ByYaaBSimHGJ0hrMVg19JF70Ku/ps7mYhbqpbVR3JsEzeuUzXUBxC0oG
NRobCXQ+GAGRzMwtk2cThJSJ4yomkqBePQuqdCs7iKMF1lTDBqGcwk8vFkbvoEsYNPiUPtTa4OY6
MrtoiaKinphVIHA9obdDwwg439IQq2ZtkbxH5QRz9VOquA5IpUFYELR6/XTbKla8lYzK7v+g+Md6
RPVKnhmgpoWAqSUPU0e/3YZYMW5YxKLvCn5n5+oNW+slYjoKiKGP/TLSHnPkm5Jc1Dyz5utRGYdK
qbZQ22JVl6bXoT9iiIupxNjFppuf0uIgZW+xujOgy5GiJ6M+zKM3ZPe0eATx0+01Xqf0Fg1JDd/K
AAGRhmD8EtxkhpUnkV566gllNWSU7uxdkId5iNzr5E4b5yThHQvNlM59lcJIcLbXviLyeTLqh3jD
q/zTR5Ykq09zo/QUzKGWHY5Eurm9wLWPiAH3pQUAXRugIbtcn9EZVWTiaQGykDej2s/qSRgqXhOS
LHuog7oaOQ8wWPMqcHraT2apmHibGod88B2XbHp3PKXH+cTQ3CBtfqjbent7XeraWQNJNlRObCie
XA0ZztSomFFjYaXbut3+ow1Y5mJoBIRunVu6D72vhs49Gpjuo20DqZld6eWQFnJjL96Ifsx1YnLZ
gbMfo17ucj6XDS1a/Bg0PCiOi7RZ5KHnwGWP2QbPSfnDeoJ4NR5IqXf/S7ARy3+bu9wvsDnP3WEW
QgH1A5SvPvLf095X4qB29cfu20/71xyOW/SAbIc703KzkxVWlat4Qn6rVSM7W/5i5mdXVFfrGW2W
b1EFzrP20bsoah2NEEbnjYF0PKknKsj3X/dDQA8cLgnvaJi2BkJpDhKX/RA3FZRmWQi63yloj8h7
PbRtkD+OArCV5S2vdBvymosKOS9zOcV51cwNCuJDvpVLyZ3nbQox09vfccUVQK8P7Trwggit+QvY
Nqo6pbYCE5oUD1ODYBwWIFyn7RGuL8PZuAQRskC2+3LPIqhqtaSyIKBz34bJuz640Z3aufLzY/6R
BHG2RUKidW8va+1oXIAu5/jMNlQpKYldAnTw2jDeKq6N+HfbfqPv1lHdqg/guGk2ybE8KItKgQB8
JdSAdjQoUNHPaKqI/y7BLWceaVTaEM3wo7A+Zjt7H+vu+Kk+Iiw8kbfUN3bpt/w9fc5C9u02+IqD
Aokt5J8sdMsBmhtFKGvoHCRRgtiQHKPkPq2PlvN7UAV+cMVsFkZ4E9TNJpI8X/fb2fbaeUpYTjC2
ONRviv5hFn9v+8gzaMhl22jyvUo5kLZjE0i2CWiPanfIfZU8YJr29k6tfCW8DzRYPgh6NNyFl19J
LSLdHPrlsYfhuPJlsMPKArXhTjaeIjAuSsJK65r3ANUg/Ac0MjF7yI9vpGU/gfZ3Ih5j4RCAruuH
0/vEzcC+LnoBrZ26CyzuAEjoEFKTBliYPC7vy6P9K9mYfrdRN+qDBw74o/wpi16aK1ZxgcmFVEpV
Q/tVAWYVJJAEqXBFJn4Od6wdk3vm7u1YdMxXfOQF4vIQPLNDSVYw9NxBkNDCBfxTfstjj7nTbnJb
3wmiZ8Ur9t1OpECyLIO7+i5AOcMZWrUCU+SyTOd5lg4YWxpMT2OlS9BiedtG16LUcyw+sVKVvWGy
EVh4hrUBRJJQa/b0Z3LI/Efr1D7H/m3A1Q0FewKsFA5E4XPEoN0k8GoynGU3eTOum0x/qdF695co
iyLPwjSG8RCQAPIE0bIcyTMeKWjhYzloqX2qYDBWxGp2tRQOhLONmoJIIxoBYkRQyoI+sEbCVuSo
rkx+Ef2BeIqGZzgmsvhHnqwMozmOUP3JVBi75g8xFZjAlUP/QgAG9G4WcREua886SsF+DtK5sXZ8
Uvu286QUaJ74/OtPgggAYiLoirdkVedv6aqheEdSqCRhAr6oR0xwvMd//SyA1IsOkiRFxlfHA4Rb
i9RWidFYID4niXbSut43iBKqscAPrXz4CxT10ilMxRB1WbSgaPkOc72hknYPmtWGf79j+sK4hpqK
jjQ85wb6EUl5cwa3el8Yd2zUjpaFmeCy+w8wBnLEKno9wdTL13SnWVLNxkBZvIXMNQKaRSRaErFu
L2fhwqXhw0BdDrcg5JShjsLdFmpVE2T0TagpG8ZmcNIAVPvhEJt+W2RPozT4SSLKfF9dvxwkd1lk
Ngb4RmaBcD/V0ZgepPRHHDE/H5GxKzZ6E0Kf8/YHu/LbyBqjgIEwFIJVEKrkTNyaK5MaDBVV224R
VONpMlBwPNDQnO2nPioFMdJ1N+GCh4gXiS2wLiC7dWmHSaR1UVdCp2OI6rArAmruSyes0IZvveb5
m6KckuTDiQWV8bVVYi5K15HSQPDEC3MhqhrSskGyVWv2ceJVI3Pb9NCOkHfuBRneFdeE6h7ibHXR
G8Oj6HKBKsmLua4AhSB4V2rRXVfkmH2tf3cOO93+dmtQKgJCTH7h1sDldAmlg5d+MHpYi2H2MkbH
aXe0k4nd0baWXBZP/8FTQeAF0yZgpTGX0tcl3qCisTBScSAa1Qww8eDaFsqRokTM2reCghOiXCRj
MNCpXaI4Tj7BelBDrJTcwuxMbLnoaj2lSqGjfaLaTIR83N7HdURtWdtyu/O1vNpq+qKp7aV3w/in
mEDMp9fuHDetm9n5phU2kovwlvvzLEBrx5ZVVgI8Wqa/5YR5LRn3IxTVMZxyMhtRvLTi+sF7/2d5
3BGf8M6sixwbapNhQ6UXxTQ2lUg7ehUErx+w6y2konw7KKkmB8q9WMOYq7taOzF0B5tK/vf3vqWe
oXA7F5ddk2dLL8+YqBu5iT46Vh+1+WecNoJOiLX1oNgKp4j7BdzmnK1rM3hD5myCJ+6fisHxYkly
E5HzXblhvqaQFPwPFXP+6tczfWoiCOthjFDxE/ldTt8jVFlJ1J7q9EdpCfzFKhx4V21NBokW5IEv
7W4aE1nW6XJrznRv5XeF9qtB66n5Dx3iXa893z5VK1GgBakaBAEIbLCLnKdv5KGT2x4RR+44PyWQ
rGokFbyI1xwgwjMNJR+EaVfTXDhEsq628LVI4+zkjvjdMH1HTQMdiIbgnlyzB0RpFkpLS8mfL2il
So03nIW2lczaYq7RLeTtMgB/e8uu07e4Hc9RuMvD1NOSODUWxAq9/CXNhrmPRq15hIjj9KpIs7VF
dYWG6FopkJy32kNGUSsH1UbmPKjO0D+bZaAO/e72z1r7kthiB7kbMPdeMSx0BZ1JkehI8DnRo5bS
x7F+vY2w+iE1SHPDgeCNxQ8zqrFBnKlZENI6T/e9XCpZOGoKOKcyakQ/WNKLMqVrkEi8QeUEipky
TOjyMERM06LWgBPG5OTHIL/PuXaiqKdjDqDc3F7ddY6D+6zcwXPSyYgSE8YjQWGvGEKzC8wZgw2J
a2Z+VWsY7wlb0T26dtrR1YSrGoKguso3dypS3Fizgc4m2rBdamq7Oe3uomLcTnBlUdPtc73xby9U
BMntaV+ZU0RiQEKqymW66Y72Txb5RRwF6Lok6X/wZ3hfGhCNwiPzarKyn6ZejyX4M0bSsLPkDyLT
fUVRk7XUI5vAS1Rawe0VrlkNRHO1RVwSUtu8U0vqeTQyByGXhQKcPqPZuCQHvUKdxTYEqbjVUBnn
bfGfAMSfSwtVrSw3qg4WGqF0o+UDpiaBG2+y/OdogU3lvo6eLXUjnCxedXWwGNiMjm4jnrUqQbvs
nOtLS1xruQopHxuWbyIhh89aFITs+v9geJKq1p5i6IECRm7iIGZvEooWdbVJptntRfxya5/NgJgs
usOgn3ZFABwbkpKpEJBF5B/1UB62fzn1YHkSGxOImeXhbSNZPe/nvoW7+mKQxaFhC1/L7LT7tHmq
bKty82oICyPeqHPxbZwx1FQ+gMdIcCOufTt0QKAigcAZSTLOZqy6J1GcwWby2shdavw/0q5sR25d
136RAc+2Xj3U3POU9IuR7iSe59lff5dyzk1cKt0SkosdYD80UDQliqLIxUX9J+nyAyrLtSAS490J
wKTBVf+HM4BxaXGnFeUySYiP+vlrWZPI0WbREGDurhmYH4HmFzBKaFTZVZyc9FM+AnpER63ODpqN
nDJJcNWDMFtIE3eBuYCHxlsfKR64EUpcfS7KLqV5GRfA+cyus5VDR7Qwu0GwWU0OxoYScxsNSWs7
5qimt3pnRI9qpPZHu28iQZ7mUmc85+BZ8CVIodhsGdrQRmOsEAW4qGT4o+nMAYjXO8MpisfrRnp5
/CDIRvVJB2IdfemMxtowGr1GkOkP2lNhvk8Yb5QVOzxVgSgThDWXRnkuiuq82kfMMqw08CQWYMUE
4z7xSYkwShRCiIQwBjkYRlsrFAqXo/+5/SDS4KSGIBDiyQCWCV4R+RL01jGnK7aHRp5CwGVAeOuZ
2bDLrWyjSaIkCUcMoNe40WxkETRU88/Xa1YQLlQK8s1Fa30D1cjWCuA/wir865gW744/ctghApqE
dNiooVBg5hgiUEmbVpr8wFAE7pCrDkFP9i+iCsCaztWRCCo8bW1i1eZgcGW7tB1iloXT9aIxRxzH
i+GRCFSRt0OmB7Duc1Fh3eAMZwSkfZg9ktu+baFx5sYuY89u3s0q2thK7S4iDPll2EPLfXjJIYmL
1g+W3MmM2ygJYki1s+y5appXtcItLQOjIhetY0gYxxIS//rx5fgJBQAxk47cNZGFZGxk0MIk65e4
dANL3gzaRzaP2wWx1myIyPPpL52nQWGIfySxVgIejrCdJkjq7BfDJrhCfSkw/GV6N9Bz3Pm1qHxw
aS/wxYDJIOVuWZd4ZyOuQPKMWrWbNt0LUgqYEKAmXqFVomFnHHOBBDrqHY4fTpCFz4LzJsJsJ0Rz
yAQcNDsB8XxY+0EbvQfD+H3BaEL09LhqWdwryAhd30DRsjKnIuvKAFh5LGvU1o41Ioy7TcaNqb7F
lu230hfLFNzYXIsB07NJMJTkMgbqLb03pjYtXcUEmip6mNTZkwNnsARxK+80APb5XzkoJZyfwQZT
9KrAhGJgH0Hm+k0nixskrmR8ycmbLYl4/C8DEQWiDIKDT+8ylnnEQhtyFDZwlrV5VEGGoYV/X5hT
6OBWxI6oAtCw6lyhqc6QaOjhvypbldHnjD7DtMuJU1tVITjVPGWQOwYD0y9vwhbDUVHLpEy1AHwO
K8cw7oUh1a+omjnNBkFRi4JL0aLBBjp9I6dpE8BXTUZbOFVgHK3c6DbSnNxFsnSXt7pxCNTxpEjS
wbabvaSWL3W93FRqGHpSAV/TRveoIemIZYdDqWKasoSILJS1YXP9gPzqA7z4VExVpmVXREMshHNs
BoDo0qjE1FNzUyn5To6AgDVlrxqIG08R+q8CV54+w8XwEiV0yfDXmGJaKtAwlga5MiTM2LJBWwWo
QM4YK1cqh3CwnLB5VBXRXPFLd0eFEAUAFSTzLbZklmd5nVdzCEcAJxS08tZU8bQsdtdX81dRnFlN
cBCrBqBTuDMuZsy1mb4kKsGxnDbGRrr9mLz8G/gkwcpSt852/mzeHinovTie0rvGyV6fpOfoUL1b
nhBkehlrQ2G8nfHys9Biwob1fVIXipZC4XJK/aJ/sWbaBtVNuwXkdE3Te3PQPCpVYzuGcL4ld7Hx
6qTSEcOxQ9wRdtdabEC2npBv89S5U6Ucs0gEc+acY6j4Rwwb8RYNxmr3EBOXqDRl5m0XxV+vbyjn
/qDFSSQj0LhmYK7tuVey62pJcwn7aTaPenA7FF80gBynR7v9ouu7PhDEipxshHImj7r9VRDfzZiF
PMdJiRk6XtncpjNGFbmT4o3LQZfeieZ044s0CKyWkxCFVJoAMSigirAdXelQkRrU5JhKv5O6rf0g
+6WrfsV7yPR0L98P2/Tz+/V15VnIWiKjp4aYKq8AM0RxRr6btfIwhcZdLH35eyko3AGgC6wzknTM
7W/WhFLR5SVYGme/6eZ93bQemsgEdzHPh8JAFBx7YI7BKk21Xe8aGdMJ06mxa3fRadoMe/BnuMp7
edI/0SovKH0KpTFmLytygCw5pHUb9HTuzC3GeR3Be36bOXhIi+YT8A6ZRoCklhF5AwbArOGY2FGN
eB6HDBTyWvsDb9frm3SJF4P/X0tQz1fPsiqjl3NIAM1vtu++qGA0k1FadUzFS08YPOh+Q/747+t1
QLTgxlEBpsVr6SLvl6CZejBb+Cj5WTEOmuqPmcguqBWztwFADWjxk/GgReh7rllgNGrQTGPpFvvk
zr55Nr+re3K7HOSn1HNtIMXQFwciPu/6gvLOFsCFJtwv0IVwXYzUdI5KAADgs/LGKxrTCTVkOERp
o0vGPWzbWgw1nJXRz0VoRU01wGnclbMzeIgIS9d+Br423Vo35al5NXf1kewXgev4ReV3uap/9GNO
m1GhlabKoZ+6fZ8geLkrTiO81kZ7Qv7vR3Wqgf0bMHgcYFtUzt+kg9/3bvZt9mbH2Auh8LwrYr0O
zHE0pcQMZROf07W+sbOeQFRyNL3KV5+q0ms3k088fVef4rv0zQUp3/W95goHCAyFTVgZXpDnmxCa
dkmQ8sTpNI99ts1btHuPD2nkFcGPZvRy0aBejkUDbYaGKTwcMRiRjSqyoWl0knaVq8UykI/gpR4x
M+M+tmMnS2K0PgguRI4tW2jJAcQDPKZoy6H6r4xMmgejRjaodNMCHEGd/TmECFU19a97IXHzIZkL
DBp9FiAdfy6n0JQqiGKZPr8b6bCMaoeStCHiU76kjoAYYDpQZ8ACIuJmjmYSWaGZg6DYNV/sd+vU
eRZQlcE9iR0gZCe395YDxkZJN/YG09iuWwrPzZ7JZs5rnTRz3deQrbrtz/y1OWX32jGvHRtGSipQ
6Gigy36R366Lpb/KHNYzqcxhtdMaBpNBapsfp+G1/OsRD3RFkTeB9WNglcxiFFWQcJeA45Su1PiV
jAJRCjjJs9KeMKdPDbezqDmRFyudCWRuqwqEOF1VUYFHc9udlJN1XI7El3603uyhA04+trvrS8g5
48jU0AwUEl+UP+HcNoEpNMZOhm1a5XToybRF9c8xyU/N+sA70wkUawsCJcHkNO6+gXrZQkVaxpuM
2bdxKOoxxbMUIXy3s8LxNpd077peXIuEWgr4NbB/Ovvw03stKg38hyEMQKTrr1m8j+WbDlmM3m2G
FxUUQ8u9igdh/C3rtwOCK1Hky9Ny/QXMZqYGxnbWhY4zESzSQbN69U6vjc/rel76TBXYPzhojE1A
xUijH7HyYblkBOHUthWaXJ7kAsXoQwcaJ/1Okg+6/uO6LGoL58ftXBazbYAsSGVO/fPcf7P0LTg0
k+mkxDckEWwe/aFzQUBprPaO8WSNliqwDuwdKNx8Cf9vh25vxaL7jV6erBiKBUGbJNCTCKPO124m
oAKdCPXLeEV2le0qGMmgxHd1WW6urxxPoZWkX1nM1S4ZzRLHUa6UYHdfdrkO/gWS+MtoPl4Xw1MI
BEmADKCejoIbs25ZqtRJj3ITJiHkdxYJP6YmvpGRekHLn+Du5EVolILZQPXQQr8Ju3gA2eeZFkKW
mlTHvg/vl9ncWmBCRPpik6bdTtbuFXSnZ7XqkOlWVZ4wZ/IUtgb4mT+aNBWoznvcrr+HXeKuRpa7
7fE9ixG8lYPi641ywMDqQ5JG9y0KCRkA+RbSFcAiRM5U/PU5RBSBxiG84lVE5awfHQd1TscOKPmi
JU6OoVuKC/4msCu6uYRH/dfrG82xJ8zxQEobwGYFbXtMRLGYYTPnFcZ8FcuE6SXbOfu2DAInLZLB
uC8jKNOMBFGFUQiFswTbYg69WkiRxDHZM00Ykw3rapKVFpromLXbfZXQ4Z15UeJfXy+RFMZLRhXp
O72HLubsFiFQc3vkH1X7+boU/orhja6Bpgf1CMaf2MqSWDDDCtOoQaqh7wgaaGcicCV8VX4LMZjc
fDT1o7w0dOulm0K/y61dMrtTLwAhXF4rMGcksNFCDh4eYGrPXWNdWEEyWVgwqQXt4djtK60+9XqV
OUOmuqMSbNVRVHXgLR+tAKA7DmEyOsnOZWaJlTYkLyrg2DGBbCYnTLvakk55ub5LdK8Zr28jrEMP
o00x0Cx8HRMeEgzLq2ELpnozL+jiDT6uS7i8J2maCxEVSOvA+cMWE8FQ36uNhneFZce5Nw4RWOOj
MfeVtngf56SHXwxzgf+73LDzu5mazeqGoUXTXi9xN3dgF7Bvk+CFBGjzfyyL06QKoPicohswaWAW
QoGWIK2u049ZCSMyWvxTtFa4UWzvy+hN1gw3yWfXtMCZV8AdTZ9ymD0FRBTVXa6sinETyLUB8ADE
H1u9XxDudERHfNzF3kC+6pof9IdRf+9l92+3EIKQZqdNlHDr7O0WB4rWtyUi1Kr/Mplfg2Yf9q+N
elhEJFSX1ngmiL22MDTOMrIRkYHSfAF3gjNN2+uaXAb4KpJrgEwhwWbitUtP3WqvWn1Yyq4zEUtN
x6W7N4utFL014a4ej5V6DFtBApG3Q2txjB2WoKntmx7ismp2Z3m/zM02iN+ladclIqwtVxaoHgD6
B3IYAJhz1YYFc2zgT3Dly6+dnex0Y3kotcaXmt4BXEUQ8Vy6J8oNSXHxNmZBglzrXJohdUlY0vtw
HHPHsjaj/RJU/vXNunTuVAa6rwjqehi1y9wgZTLYczmmiObLH8b8WCenaAYUUpA65NkcGqLw7AMU
GkgLZt0Upc4LzaJSlAcziJH2f7iuBtcZ4erAy+6X/2OWqpfrqqjqpHLLwjOrFzX4DPU7LdnnoNxP
RblWnhXgjP4Wxjgj5Hajvs9wIdoYEByne8N6MIzKseR9K3qf80wAzQt4nAAOj5Qrsz3daI+FEWHh
6hrsGM2WgFPawLTn66vHlYK5OmBxQSSJu+rc0KKmNFClzSqXSA8zqRyVPEqWaNYCz9IQqPwWwqya
XY8SPC2ELDic5b6NPxflIGOiynVduJuDkj6iYqSMLzhVi6pqrTSGGDs1jjkYWnbIKrSOHk7vFsZK
qmGQC44QV6KBqiTcnYy2BWaPIiMqDDnA3RTk32kg0VpuLe2lsfK6cntdOe4a/hYF+Mn5Rg160bVJ
WcIc5l2b7mvwXBIDwatADNceVmKY42oGRt33I8QEmW8OX/vosYpfr2vCXTTUSSwUtCzrAoZNkkhv
AKKvXFV9GJJNZxxkEgCr6ZoiwDdXGTgfGR1G8A5sP24ELqdRy6HM2MabatbcBNj9SZ8F9zd3a1Zi
6N9Xt16Wj7aZUDFpD+bwBMO3/Fkxna78B1dKm0v/Vx26sCs54OvLVCWFnMaI9lpvvxZL+C/bvxLB
nFQkj8MCBReMdA4fDUylI3fLJAjo+Nv/RwvmzLQ66WuDGnKrpJsI84XSbR2CrFIvnUGYOKDmeh5/
I1L9ow/7gAG16NjWOoT1RQTyupG26C1byXg3e9vrrNwfFh3zB/oEbM/DLl3I/2892ajBtNBDXYeQ
D/faq8+Dvg1aUcZfYOWGem4WagYeKruCjKwhnhVhxiBxLBEmV2DjbMdNbZYjpo5DiBJ6pPMHe2Oo
B0uUuuLaBvp9gbFDrsc26d9XFq7JcxQpE6SM1WdQOPXsD9kDhgO4Fgicr3shTs4WprGSxZh6pIzx
ZA2QpW6VTX+Ib8vb8gVVrp21OCCaQfBw3++sv361U6FojsJi4YJiCW8j3WrxyKngXuVnDQSZ+Q9L
5MHpd1+Y/EoEDchWa5iEWafZAfQyi1e7+JiUbylxB/vJHlUH2GDBKnIP2EoaNc6VtCDqMiWroVAF
eiqMuf9aHBvHupG2sUe22vfr0vjm8Wf1GEdrDZjGN+p4TTeYDazFvRdNE0g2nNH4KI3X67Iu6eXw
9FtvFWOLaTe1RhtBmDzvcl9241fdxaSy2+HQ7NI9eZEc4g9+d5C22rZ5jD0MLrj+BaKNZAy0DcNB
rkssbdQYO4AKhukN8zG2ivZVrW4G9R9eHGt1GbcM+F/ahDqkqYX+gSGLsQPw02ZulP11rTi507N1
/QU8W1kMGqEqAAqxrl3oN8GzUXgWkEhLspt6rzR3ZYw7NNoFsiVYTqrAlXPBAj8XZYqMCuwcbtCk
rwNJ9mR6NgIqE+32JAEbWeLWzb88Tv4cD43xzWWwtFGYQmg/NpscZGr16IK/QG2/jjmG+YyCxDD3
KliJYxKc6MOqU5m6l6JHoxKILpqueswkS6CVaCkZF6NKnbEMOcTI5aeRuFV3sPoA2cddNLozxt6K
3g8itRgnE2ZVJE0a5AXzjdXdluWzWj9dN0v6ydesg3EtQ51VNaEilvFpmj+0WRD1cNNYq/N1gQq2
g9BMBgiwp+51maVHhSROpUQP4M/0Z9M4xsVdlaEXMTdFJ+4SQHl+4hhH0thqLScxRGNu66uW96ck
C48Y+X3I9PjQENldMAanVEzfmGTB/cD3YYjyLTyPKM3Z+fVQgLuj1zpcRomku5n8KSfRNsqXjbIE
Xt4kN6ATEeSEuLaCAAKtSng0gzLkXKKGVsQpS+iJM0bfrEe/UHSwn4ng+NyraCWGOdh6bzckmbGm
XTxsctt2mzG+G2LVy7UfERHR5HAKYNjCVeWV0crEyy/Wc2Rcg3cpcujYCnNf3zS7EGw5e9xAh2Ry
lK/JXlSx5+7fSi6jptl02gDGCYR9HSbX56lL+m2HcQPy4qjlWzoIfDR/Vf8UmBn/pRvJ0qoSCsxB
+SoBz2u/taW3tBtNdLfywlmakQcLgGmBgoK53A2zNfoF4CsX4yX2k0SOOPwPSWPeDFEkMhWet1zL
Yo4fpiYUpVzgDExquo1Cbywf+mWHrI5PJAdTbMEBbP/DOq5F0k9a3bF6HlZ1FkO9NvuZ20ep/zl1
LyDLdSOMW7vuOHkWQh/XGAICZCoqhOeimn7opgz8Wu6SbqwAnBfvqn0K5nKjqp4dCin5eL5sLY4x
yLy0tKpvIa5GRGTp+yxSHcl+sIEyWsjJLv0q/9GbpkBJrrmslGTtMso6q9LoFgLRNG2HEq8DAFZM
ESUkz3mttWMuVq1ED3eHPJZbju+p7MrRfSqi8OZddDQ/jxl8KBtezH5HkagPzRr+sbTL26EKHhEv
CC4ckQjmLi1KqbLLrkF4UAUnVHb8uhU9FLkLRTtRQf5MOWQYA0dSqY4LG45CQ9uyEn1t5clJRKyr
3IP7W8hFZxISYbHdTnB+1jy/L91zTKJ9jITv9NFKT0msPNgg77x+mrhLB0AoiroWQSsLE+kUgFTY
QYvdSef3htzrf89igWLa6veZrZnkYh4kGiDGprmzSXwXpUAMhKXkB/O/5D7AumsDowAsoqYxe2RG
QzyCBwV7BCoLJ7Sk3In77lBHovoZ3xh+C9KZ1GhvTZmaGhAkV3hSVG//6RcWuFSuC/ijDRtXyIib
rBgvXSDwwQiQOTZ4d/qXOBI8wzjASuwQSLGxTQDWgM7h3J+i4q3aA+DI7vwAvo/gwZs+ywOo9oNN
vi/ewu10KLazl+4DJzuIEMBcX76SzTjXQmq72dag40y7acIscqM8RmPZFLsLwTSpNNuNeC1dN3nO
nQ82Q3RHg+IfsPwLHFFhJBH624C4zjCL3tMHUHc5TelJ5PW6IN7LEwh2EAABfks5MpjDlYIJzMxN
AiSg0fv6nG+lbNkEKRrZm2XX6T8ACrg1kEBLZvOUGCKUA09PwKWANaa0Evj/+caaizwWYwLMkN7X
mACeqYWvjClx+rTsXByiwpMjUEZe15njT9CQhu4AIBDQjciCH9WiL+ZAQXEsCzCThywf4wzqhesy
OEBSDJ3QaFb613AjNs0+LEZr5j0qVeas3+cDYFmQ1h1txS4O0jzjeT1J98hLWUcF8YerLsk3sGsA
wGUOqROHGJ6V/D2BH/0kgNnBDgRyBLYQXc2qnE8a9B6MT6N+SsPUw6AnrPrsBCYROG2O/zkTxjjV
HmVguTIhbAonQJckY3ZVszEcKZo/ri8150aCJFRS8bLB44M9K0WNZAVpEdc185BiAiPC/yyOJU+Z
pX09x8amyYjigDDuRzeVz9dl87QElxMGLqC6htiBcUxFFNgdIOtwgFa0L0JwAxVIwPWi/lyRGJU5
JkoxL6UFFYHWbdTc0fvQGUWNmhxnfraO9Nis4uOumHtwOqJSKC2mi15gS/WqTvP10r++Zrwzv94v
quxKzpwgUdliZLQbzu2thaixxvSrqnEl8JqPohm3POMwQAlM6drQ3cS6t6hbGjWboFTftoNbaypI
QGVzei0L9L/JevE9zjABpGyG5EVu+lzw7uYtKdCMNtrv0FQNdu5zVbsJdOb9JAEOulSNkyxNd290
be3FRtG6yzL1Anm8pQWBgkEpwDBEgCU0AHfBEOoptK1BRjH0r6Q99MFOCW/iTnC8eakbdKD+FsUy
GixlrhuxDv+mT0bgKMbgzmX0xehMN1WDt7Rv9oC9fs6Vup9l0UP1VwGeSUwp62PHPD2WlCxhSJ8e
xl1+m911G+LE/n2xASXpgpmLtEzRfgw3INAyROyynHDgTDRzSorBrM2YFs+M+V5RXXV46NpHNT3l
SIiLBgSLZDHmkw21skwtZIXTeCp602kwfVofWn9IovtkIJjBOgj2lSdyva2sQ2sNJNiRWwSaLLkf
FDCmGMqdVDZuOqD/cLEsZzCk++sOgXdK6JgrsIEpyFGxr2U7qe1qpHCLHv9M2ZWCFyVOvVk0dpir
20oO40VRxW+HRIMcOxi9m8IrC/S71/dSurFVgY/jisKtABQ4GHMBpD8/+JbUp71mwGGXIL4OMZ4T
BKx153WNsjP0oy1qReSKo3Ex1hA3IQuWC4wqN36VCHs5jHf1YipgyQPaa87L+ZbkRPGyOLipsvHv
aR3QBY+mB/AQ4816gZTRanRAxjOC4yq/o4yOGNAn19vr5sFVbiWD/n11XyRpoQXyCBlTYn10Q3oM
4tjFi/AJAfQeTYqOJomI+HkiLcxdA/8ueLgvOIqGfKzthaKVR+VZklwSfrWWfTs+5ygXCpNFvCtq
LYzxKGWvBpGFVDTquYkbDd/1BDPEfs2P/pYhrxmMx9j4a2Q5RkcjSwC0CfKKaFg7X9Iqigc5oSIl
ZdlMSndYunjTj+bm+s5xepkhR6WNfTIWElTz53IWNKS1NQ0C1bF3TO0pjFF0BTsd2iE8NfxEiQuZ
KQljMHNRLx5vUTEEgAJHcRwMtjc3kRM0nVQ46zKqoZId+3n8IluvvXkIrcdCiwGtEYSCPC/2ixYP
jX90vA79opWZgqkgTFoJa6pE6lMPsos+V/0ITYZNIeJK4l6+K1ksgsOeIkCfUqyrnn6PMMMhxywc
FwC9lyaM/bgo92o31Y5ckTtbDl+vbyovxqBE2YBIgs79olqPItrQ9jIufpKB6yJ4JAipAJZziBS6
RSVA94iEMWdjWdClmSgQNmifJNyqXeZlyVtd+xPaGa/rRX+KjSnWejGXbbO0IHWhmMxBeVWzb+Aw
+offR5keSGA0iqE36Nw+QrkL7Yrg91uSPynR8KHmkvcvIghgRBjCBhJuRkQlNxopUbQDB72XgXFb
riJBeMChvsGJxpyZ/4pgCSeLSs7lLEXwbt2VsVudpn26ne/rL/rGfDKdb9VPTAv3S7/17a00Otr+
uoJ0Dy72CJBiOlzbAvsO60+CbhgT5IJdS+5co3DmFpMrRF2DPOdPccv/K4QJE8BjrtkNLYNo5KW2
9nnmqYuNpmTNzae7/PO6RlyrWwljIllQac61UUCYOkmOAk4/XRREctcMJNKATIPj6aL3GYWW2FIb
ZDfnEPg70P1gclv2oiStwL75ckC4AKcAOml2bzBcEYeVouRsOxq3Ml44forGC09RWlF2jLtDBAMX
4GgRNLLPHElOUkyng/sjcuN35iHB3Kvuh1Gljlw8a8Hj328RpftCuwMAHxfcQmTBiIrCgslX81uH
JKckSoLxVu6PALRBnnuGuV7sPLMhwBy/WVCitg6R6MoQyWBOToQqd1skkDGbG5I8aMYtAu3r68S7
ANdqMOemknsZVSiIGIdTlID4dl/1nnAAm0gR5sAYmCKk9hqkNFq7yet0MwPZl3eNf10Z3sWzemGy
L3dLUkk3UidAZ6DbTkReUoCLU/OzID+vS+Iq9CeFZNFlXcUNCelnhNaQVGGakIlJELm5zVpBwMdN
R671ofqupNRojpyrEcs2xMuDYUvOWOPajhTP1NOXQem8iHTYuBm1X7ACLd3gFGW8ybLktqkn0ceI
FpeJ6DM5awudPt/7g3RHnuYHzHDGFFtHsRyylffBbvYKP3mx30Sz7bmB03oZmBty1o1WnRMs9mST
1xE9uvFSbjIQnlpldJh03YHz2oIfwovyf4AgniUOmFMe4Y3b6xQsGsY30/RRgzBx9EHANoPiRHm6
blP/h5428l7gv8UIKUbPpu7KuaZ4R3RwBfts1vINcoZfrDzcJ/WEYC3rDTc1kqeSkINcz9Xm+gdw
PDQeT3g94Y5Gjxr7IB3sINJK4KzcsIxwOj/H0oZ1uca41YdDInJuPHUhTjcBW0BKH7WMc+vO6jEh
ZoL0gR1Jt7qCuNjokPOK3Q7TzVLQUM6R6c9y68hztruuKef4nolmjm+mN13bZNA0V26Sys/q1yIQ
iOAcF4gAOlajGWY0JZ1rV5hVEE8UAJLUD0nvSbqfkE0wHDtNgMfi6oKpveitQbYSY4TPBQ1zqhix
hWUczJ06H6LyNRmfry8XV5eVCBoPrfxQJplhGsQQUcR+0t/UoAQFX+4y7Yho4AJdeCZWRGPfH2WY
VVuakUxphY0B8XoeH+bqfQrRWvFxXR96kC6koMWKtoJjdCv7ks5yaWjVdMGllznK4BC3+Kb5/UnF
wNzrgnhvaXCQ4dUOTl405/7iTVqtXIridFZG1LZv5kP4ON/GIByU9uE+h7ReVHHlxKVraReAVMyB
lyNJRo3sFG2TU3WKNvGNfZI34XbZGttGOF6UKxBt+4TOsQT6iPFYVlo00WJBPYIJqgPqj90oOEY8
68YG/VfCBXIhVWMyKT0kyNL9gLnY7T4PvH/ZpJUMJsyyMV1kDAbImB8Wb77NwAfyvfHnTfAWvUub
f3jvqeC9A4ESnB9lHDo/TGD7U4eFlqbDXJ4AkgQ3P8Lw3LmuFO8graSwmX6r6jW5GvGA6PUvne7m
6rFI3rple10K78ZYS2FWTg/yXopi6JIQcKhjStV0zJKNlLwR7bZYHq4L45kCZelAppuOMmDPkt2D
JgPURUCRz42KnJvZOuNSRb6FhlbB6vFE2TBnhY4pBhMe4/AqTVkweAxuqEx3KO/OyXsvQh7zNsgm
tGsM3fQaGm7PzaCaxkFviwH4leh7o3l2sYlb9BiLyFp4UAHQBf2WwxpCiP5hdQSsDVyBvrIJfUxZ
QlLt3gj8zJdOlQj2w125lTjGIqo0zo0G5JWu3AIKX4F0lcLEBSdWJIR5tJCODGrc0PtofKrHXdY+
JuH+741tvWzMrSqVWWjHQDm7igEFMHtNjdCnLzAznvtEqAfoFwwauGJmsaQeD3tEfbTcPnrt0h1n
WQRd4p1QFNmRvrLAQg8/em5mhh0NuQomcTfCsJ0qmNxyLrcqMrdJSR706MPWcsHK8YIFUEbTview
UWCQw7nEDg+9MaQphXoC0/1QO6r0aGShY8ySExsCwg2RMMYSag3QtkyhL77CL8EoOE+Hdkk2s4Kx
O5vrFkFXig0a1noxFkGhgHZKO2SH6VYG3Tbm/jpB4ue51wYdOlvuJTw5r4vk2vlqKRk31IzpMA8d
3n/A3R7SgnzpwL2h6ZEI98IzEtgIilCYVgZoO2Mkw4KneCjhspiAjVbT19p6JYCaW3sl3gWR4CHJ
X8ffwthkZNnlc2mpEFaF0W7MCvTq9zvM5t3HeuFI1vJDNafesSVZ1F3I9bh/tGQZTCI5Gc2EdrCU
hu309csUqs4S32BsjGDbLsfNg9h2tZ4qY5V9AKc7UBVHtfoWKXrjyK2Bu2Q+WdXk57LmJXJ0N9lf
ZTPwSvsFIds2aVWnM8c7tXoOJx0l1diRMRL3HwyKDjUAqzDycBegTE3KtMrC2ZzMcNe2iAvi7me9
NIKwgHsqUWf4Nc6FDvg9dwFKC6C9JuGmNuXnNnjqtLum2C7fw/ntH9RREfIqlNb/gpFhJPUg1Qv8
Z5ro7oz0B7HQuS6CKnG1WQUDjDZ11uZRrUOKbKYP+BY3xRTcAJxneVYeOkUUe/Bv7JU8xnqWclng
ynC7IYmjOo38fYneyyl35V7foOp5syjzcyC/WG3jmplouhH3kKyEM14unaQhS0Pce6qcHW3jKZeD
pzRaNhZW9u83DyNc8PbHUZHBDnJuJGGe9oFWQlJZnzCtrKlPkWhmGTfFAEAmLJFSToPQ+FxGXKHs
YU0ybj/7s5+fw8hyMMUMHdq3PQxmShw1ebLBt3ldM961vpZKDWr16MMDdyYY0AgPh7Fbneya6I64
LoGzS1AIKSLAwzE7nQVI1YAvYJNwwPRJfUk1PL5iLfzoJwNwpU6EY+PYPwCXuoJihIJ3C3uhj7O5
mF0L+5eU7+BB8Mw53UvF7NlG62jJ53XNOFfemTDG+K0pVNRohLA8O/RTg0vIGUdBfZK7eiuFGBvH
UMdFUwakZhaAvBb1Rc0eU/SyR9L367pwbrozXZjre2wlua3wz43V6QVUARurA96I1F5jk5u5114w
UMk3E5H5iZaQ/n1lfuaikmGkHVYSirwmACV5CTr3/XXdODZ+phtzsmy7D5WqgW4haFByu3bGToSL
E+nBHKMegK0pC6FHMmlH9Oagu4hAkUzghzjBz5km9O+r5Yowf7PE6HFYg7U1u5PdbaZGpefJMbrc
LQU2wV83sNWCHhrxMfvs63IlN0gL5w66Wk9rj3Usyjn96rxnAlUo9FsE++LLKglTlSWIMDbaDm2s
vu5OTnGUXm7lu/FreAJu+Rn4m5tqG/hp46Qf+c9U9BG8S+zsI5hL02gbm7aAIDMUOf3oEOU0GS44
pyyMXgEjQa+4KM2aIrF8V/VHdcZ7RGSQOqWE1Kw2nFZ7yPOv1XQaoskJJ4ETEWykxTgRbYrTtqZp
VxMDt8Z5a0uipzvfffxRhn7ByjBLCZQOLaES8NKwR2cK/THZ5ikdiIaxL9tRNClFtHqM44hRxpyW
HAIx6AJdrctyH4+p28feqL1f9x78o/1HNcZ7jAXJm1yGJAx9mXtk9RSnUETZUFqbuXYOGP9R60Xb
9TECDHkGOtoz47emeO/QQzvI70XizaoziFjjREbB+BK0aaKDQYdemvLaB+/CVKVo3ZiYSakHzDWa
8Psdib5J87gD1+NbVxmb69vDi5vWp9dmyl4dBsYNCzXuKtTRlLgBS1wbgoUXZN7RjVl4hXowRJR+
vGrnmVDGZcSNOeW9CUcMQ7f3sS9XjrIrjvEe/kNX3fpOeoYPKTrvurLcaABU5WDPNwD2vsxhI/IJ
VIi1x9CLc3mvIVFhSZ8WmoauS+Jax29JF7nsRonlvO8haW7QcdmUTtX+y7laSWCWsLSsvpfpXdaA
c90aPjF0NRSxuXHvy5UM1sfadZs0GmzDyL6a5GkJbwFNmDLw5mtAkP8Pade1HLeubL+IVYwg8QqS
kzTKsoJfWFsOYM756++i7r3HMxjWoLZPufwkW80GGo1Gh7UkS7bqkhbCIhtTDhYVa4SaMtgVRt9x
hvVHQ0O1xvHG5thF96Wyvb45q0frRJLgklQad11iLt6ieVItz1J9Wso80roB/NFG8EgG16NiHqDN
oCBg6n3FaP1c97WyZZXmFvUA5kYwg6Dd8jXJPoreHTrJyZZ9geCgAOCK2LqFlk3xkxg/MPdyfRVX
76yTVRQc1JzSOcjGRcP8lQ9PVAOh30PQ4eB6WQP2uFI20iAxECp4KmvOAzMHR7rLAWRpq24wuwMH
bmLo9rJSlEyUcLjIUOtzpy22iMSRsuzXezS998nBkuFUyyQJR8zAHN1gN4ukQUGj9E2khK7WMDL+
GGXNFaveD3D/6JcGgjASgOdBRjVPgABfygOq86a0oLMjn6310MjawVdP14kY8XTpUdrwJVMz2/9g
aq0fjiSQ5BVXTftEhHC4WqfXOnt5OQ7Oc9j+nsz9ddOWqSAcHSuuCIDbsVJ6DgKphHtqtzWC3/+d
EOH8TGblDP2yTnpPQPyZAZRja/D3/0qIeLtndR23yBPgXYp7KNb9WbGYHckwLCXrJaYN6t6IzWZJ
Y2n2t9D8HvFtKgPg+0qkXoR4f/bcEQ4KOCurNFk0sTVGdwCYte6/6w/gdXrQ7iovfgOYqZe2zPSa
4zfeguCZVTeKxKWuHtaTbxAeApWDDmRnifkAvuFa/WvUV25dHJPoqGHS+PrOrbrXE1nLGTh5EiiR
HiZ2BVm8/CcAi+lcpa9qbHjdoPotpV5VZRuLZB/XpUqXWXASYVDkGq5HhJ0b7ahh0JjNG3Bz/c7c
ePDIft4Wx+Cm9vNXdfPIP5vD63X5qxHHidaC82hbjaTz8mbmw3ez/KaADKKvySbVNBSYiMPyJIkk
C738ymuGJTiTIuyDwVmCnLYEgVLIaOADm5Apsskt2SERnIpN8lobF9X0ae+AmHJ4k1K6yEQILqWt
Z1PFnQ/7pBt7fMrTT+lowxfIzJXlEm/hCUCABZ2hRnxs3GKrPUUMbXIPCELr2eO31jbX3PJN3wRP
8Rt5U9mw0+86l3rfjG3mZbIsgERjsfxQ5Y4ydfxr817S7oE2T2YkuWzWRWBiZClz4u0g2EebGkOl
LidimjsWxrsk+IYJ3+tmv+5Y/sgQbKMjejBqDmRE6fQtyloWjeYmGQNWlsVHbsr6UlZPGRpSAOcI
mH/kp859S1WDGS8zEHTYGGMCSiaj3aavI68qD2G8V2U1/PUMEQrfJtqzMfQljhllJG+yMZuQ6X1q
XtGhDROJjhjss1j2YN41sqLc6ok+ESdcFXWA+dPJhnqR+mFOB6fah4WbOfvre7YGbwUesT9aCbcB
8DByZyiglbJzHidfvY0ORuGlb+X3mmn7eBsfkgfLDfzrYlfN8USqcC9YSYoukxxSW+OIfkZ1fAsV
iWaLm7g44pga1FAAAHi8+BIb6lQnGUdRI8V4srrTEr8BRrA+eg3fmvbI5uTtL3Q6ESh4/brTlcRQ
oFPqTPqRICR2g85CM446ycC6VpfvRJRwmmenTOJxRj9gR5PHOQ/diNs36SiZ8161wBMpwnnWcXQb
3kEKSbeOAf6Fh0y9s2SDMGtosGjg/bNRor8nYKAZ6dLcOHMPE+upWjMS3lWlPxavoIZ0ohuM1UXB
Td88TTFghzb0r97S9jKDCUyyBRv73JUMJoCxB7IUwFCZMsajNX0nMu+4ao8nMoTVNNCqYFqoQSzv
9dDwsuzTbv9pZ18LflamX8kgCVY370ScsKqNwlu1DqCSab5b0w9NfyH0Rpp4W33DgJsP6GMmSm4i
arAzpVaRL3vXTKPbV59hILHBVUs/ESCs2mCGZlTaEFC32yQ7AOJPSmq4do8gPQTM4+XqQmX+fPOB
PqCEDoejNaYifyrD9kAt9OPMXWwdWozR3XEVpEW62WS76w5jbYuAleKgRxDYHtYFQsyYjxbNRzgM
8mTbj+hCHPWbRJZBWVtBA9wgBuBY0M8r9sqAhVIpq9BYjpfuBcDc49YMenhje12ZFUtAnyOGs1HI
QdpLLC80YAZQIsdKXRXT74BPC1QGXM+/IIY5kyLcGz2t7LEjkAKkl4eyBHZ5lW5Av/PcoFRDUKu5
rtTK2oFU0AAc1ILaBjqIc9MAwnJqOqOdunYX+kXd/DDa0SWKKinNrIoxkGg3FnSXCxYmGyQHwMxx
UrePy/e8x9iMVj9QKb7V2haB+RFDjTA22NzyGSePMTsimWWGSuoGTm75TpXETyoJ3+eEx35kdMcs
KO+SmLwVaPZl/UxuA54ZTG3nio1BRfdJY8lw3hbHKlzSy3CvgW+yLYLZ4fNPyqxSi+YqzDB5G7IB
FBvJfGe1rpYcMvpyfS9XThuQ0NCAsCAlqiC9OBeVYxA9bJI4czEhgyGKjgdukOOO1qYkwE3dKK2s
Hra23ujG/V9aDFDFCS5YCzKlNrQmc7t+7Jkak2bblkUjGadYgykhFgalcfSAJICNPVdMnZugLiaU
fstwq6uHvvZDepsrblZteeoh4bCt1QMpa9aYPwLHD82PsN4H3UMkwwpeA1A7+xJhiZOYRzweu8xN
XpvlIVV/Vl4FUthf3TZBBnIfHq2H0Hf8bkfuZOCKa5akW+gQQw8niPJEfKa+14G7sVjS0tk/0GJm
eUs0ZuO96oL7NGTL8l+3qFWRC5YjUH9wcr8eDCfnKRxtXuValrnjuKHdAUzd+Pt9snS3lI11rRW4
yBdu5P/JEl4DZkT6mJiQNQGSPwt3eR+zJnLV+a6dPcN4nIBwVCv+dQX1tTNzKlXwfyTgcdGMKRCT
smTB3hvt+FbXiuZ7EDjTrdNGxr0WEOtXMIxOueFt1+QsJWqw56rWPw5TmqMoq2vg0lZGdU+1vu7d
pm7QfVEanZa7qUK1H2HDiT9EHFdUiwmrkaW6Ue6CJOLfwtycUq9SWsyFBL0lKT6taQeLWRCSbQvz
Y8ID0qrQVWM5MFclXtqmd6DajvgrnSViFqsXfRy4p4EjZwEpAvhM5+eTDmk1acBWB5W6tq1HbeM0
oT8FhmSzVk0ExFWYhNPBiYMH8bkcbpG+GWrcicME0AQ/G0Lrt9LXXcKmQI+DDY26wAfCZfuUwgXa
bp9jjoXxJAtlFcqvdi5RZUPFrYl+agB/iE0j8xT3ltGBWsTYAHw62GsesPfY6P/QPI6m/u6R+8bB
npiSMt1h8SHeg2Pdz3bAVNuPN5OfbzvW+c/6sXrO3b+Y68bs+H8+Tmw3MbRiUJSF92S2QDZuPHd0
j48Mze1g3+a9pN97bfNPhQk2NnA4LGVZCQCI6DoblFr9pQH35alTovTj+nG9uG/Ql4ggHD4QlFUY
FBMMTQNhQZTxAgagGm/21Dw2iFz+vQjd0tAGqQJ2CImQcxtTx6EbaTIh7io74gKYp3UV3kiirrXC
+tkOCc6uzGabZMsOkcc69LUb3Xe8Hn0dDGMNm/wu8FXv93W9ZNskOLopUpKiShaD5U+tuS+1bZBI
lm4N1OJMK+GeNq2ClM0AGfbze+TP+95LvmMs6P6ouQ/z7iFgWcjMY7QxfL65rp10QQXXYM20biod
orvf9sv83t9/ArN8C5Tvw0O2Hd2klOzg+nIuc08YtINjFaxeLw2MR3e4jFPr95g/6N2NlNR5VQTS
BiqGj4Fr9BUVnVy+HS3iaKgRzKrWtE0GlaFbAuVaWXvx2kAkkIsoBabKMh3rCJahp12id1+WERVs
msxPnv/IuvSoN3BRU/qz1mxXM2PXypLdDN5UnkQPkt1bRFx405MgWdi9JFVbrTYW4wQznQ/21DeV
KsPGoph1rtJY2QaW+azWTspUNboZrUj5sOP0KdM64gOeUpEY8tq1CXxPLAluNYKXkeADnHxIjCWQ
jo1freYPaDys5h2RdVLIxAhOIOjiatBKiEmKuyD2yuC2i7EDMpCq9Q0GMzgakQjCOPF67oY0iZoq
yVye2PGmB5lOTONjPE0vtHsL8/S2Tju3UqO3jiibPJ33lv4u2eCVDAQxTj5h+fmJLWtaHPLMxCfY
3AtfnJLFIUt/T37l3+sKexs8/qxNrNnTfT+wWHJDrUWxC2noAiJnOxjtOxfe8ybrTQuRZWuCSO8V
xsbGYltHPzNZG/OqmieSBAdo6OCCK5cYtm4tjybvYdixZFRZiORX1A37MhgkVY+LGxGw+HjygQ4V
zG0YWBN0U/jU18YSvyIzMrIsGSev7sy/KN8gtQJfh359IMNeHIgpMltVzbGCKOEm30bUBtTZk9jI
SnMgmELVZUTfAdqBOAmDqRHbrBREdyoHfulhnF47Z1PPRwfw6yDw02zPlkHSrI0FnclcjuiJXfIo
AEUlhUwdjLVF4mlwNeU/vXFnBJtK92ZyH1buBE+kvFe6mwJ9rVC9NtuTYk8LWS5m9f4EFM+Cv4t3
PDDaz7+G5s2SvV3i2+KGU2aZv4LxEdRPSsAG/ZkEAOX0NRCR1vdWcoMaRgBAlerQdX45fKSRX8SS
W3XNQZkYBiEU9IYUmMDC94wF8igpng+W+mtu3ktiA7zbAbSSdOpyVRJme02MQxrkAv/XpgEPawJJ
jZ96xc7cInzYAG3x2KMldGdt3gembez7iNE7hTXbDrAqrHA/Qh9gUq7DxhvNT/b5nQP+C7Zr3ycE
Gf3rvA3YY+kFt6H/et1W165mC5ZqUhNVuYsgsUuaZrTMAeEb3nywnDl6cGQwQOsygHGmGXgX48Vz
vvhN5BQd5rgzN5+snW1Vt3ah7RStkTjHlaQ9gQ9ZEivIocKZnIsZkrTgKUVuZWhyGrF50NT7Hlji
h1qtMs+oW/Wx7/TukE2tStwpC/O362u5/qqzbeiIoSMYmWBluGiVGmkyPFJ3IKDp2Pg5Es+qN5jz
z5khCTXWVhWEwSAMApoxOCqEO1eL284Okh5Po2FDje95xlRFNp2zdgucyhCWNEEXdRXOy7Hh3myz
RN/pKWDIiw3wcYhs6mOtEwSliT8aCXcOCsd5GHNoFNV4YUJcxQAu+/FebDPGAZtQbG0Qx6YuMsrH
2T1YP6edjHZt7RKyAVsKKEhALCHLeW5DHYDnkSPEJ9QzDkOnxyzuYomZrG7ciYzFg5x66kwZcYlD
RuBgOBKU59peb8JPO2tkSa8LSc4CCwKDVFH1wbkTFjRUFZP0UZ+7c2BvI427up15STNvrtv9hRic
OiDEwODR5Gfgz7lCIK6OZtLh4CnVnvcfarDNZG51zRBPRQhRV1UaE5LkEFHh4aUEx5n4EZo/ehXz
Ow5oEPy/0OgkTSt4LKNKjMapF3G97poZvQ1Hy5+i+em6mFWtTsQIR7ir0H7cVjhegPoHg5Nd1yxX
3kjzQpV9KZ1XXH6b+DQ5zT0Lh1nnkT6bA6Qh09Cm7zO3WZh9Q+wclm+t4xeFypxfarUHvwO7rudi
AKLk01MlGAhqxrbCc1wy6UtT3JH2fpxv1fg+er4uZm05T8UIRpI5Q4WROCgYJM+8MVlauI3pgd96
NreImiVKrV03AD8wFpwfC+CuwjE2+zHXeY/R2fo9Q+E7BKlnfAieJs7+ogED4KAqkp864grg156f
r9pqCehDIUm1bpx4m+qP5C+Q/k9FfN1sJz5Jn4y6Gqplh4a3efipN55Wu5lsdHvVu/5R5CLVEOmJ
0Q1QpFULV+8aBqSz6yaw5oowBwP8G7KQl1wQliUlaguWhlDDOFqAiMgwmiOrnq5t/FfxVEUyGjlT
4RzREY62Qb8K6ugoIGxnQChkeB3pJWdjuW3zxIsHiT9ajSxOZQqenOSJRpA0hovloN3Njy2vAX9x
o2abYXIbfgfqBzT4X1/LlVO73B+YATZU8LaLKXel5XGNAUa8KDAi1i94vtmveEIzTv1pyADNvip6
gouAMLzpcYVYADQTbBycC7yL6gA1E9d0++fBZFnGJgwyvEY37d7YZIfZzZ9oygBVVz3QPd12OaMe
YbFvNq7snb2WhDv9HCJ0/pMiAPqUAt3zo7Mlbv7C/eQ22DHlNrwxDtGz+nR9raUChRuHD4BML2Lo
HxGG+STmePyx3dkQNb4Gbrovtz8lEhczvbLiRD/3KvOQBUafQOKAPnCmsMQdD/HmYUa2PwfZcyI5
mWtPwrMlFY5N2A0DpuEhD6D3R+M49y5lCStYfm+66j/FHWdvpPbusMUYpG/gTiVRinSJhTOUh3VB
muLrA5rbRt/AxsjmBz+8oawR2KidM1DwSKZyVuwa6GzIVQGJn8IliU8Ci6ddbvfABeksdAcCkYM4
PZsSv7fJprV+OkB2H6z3EikjykO8RzdI2LOE/jbi+TZDFrNrduZ4pPZzq+6J88S73Ffq1LOBdCqb
vbo878unUgcgLTaCX9F3qhGdyjnDp6aNHw1PWvaB9EWv4pU+/rpue8tKn5keiHkI2NsQYatAaBST
MA0Fn0wTktTtigJvidlsWZLOpcRpXtwFixRqLcUj3JwX/gsYXyXJI3RqANprPjRF822kOljtc/Lt
36tj60QHzZ6BZhox7dwbbQD6ERQN1ZD/kyGjO+vcvS7iIrSBLguCMgrXaNjRxJbgvFWMFHk/lKbK
j8l4bmdQYaEswDnLo1eL/MXKIemPdAkGyXVbBEMz8nJKZqtG5SiqXy2NH52wfqVcBuW+REjnZoB3
+lJqRUsVRImIgkkzKnNiZ607pptY8fLgIWm8gUqOoEyK4FkdazTDMc1b5Ix31vS7pQ9x7nE6S25L
mRjBnTqlnU+alrYuGFjavdpEP5Q+r96Ayf9LQ8OMZIdk0gRnmqWtQ+G7W4S6v8nk0+iFNIdUVou6
PKfYIMRrCAHQqoJH8fkVYdmNQ8Mpbt2Uh6B9Kgn3zCmSWduqLidSlp+fxJ7RSDFilyYtQOQcL+uc
rb7QFyhLlWbzb0/Rog9CDALTBhWE8A4p0iwCNgckITWJNLOrdG6Q/dPCNOg9oAYlN97lmT2XJjxH
ZrMLAVgOixjr9sYI+oZVZROxstfaDdpUJkYG4DBllMqyNusL+kdNIZbCpKltUA416+m5zDTQSVKW
z3g3GBKvdBEJg08D7VkUT3/wVgKY73znTLvv2jzC0cqdgJHWxhsyYpOu+AnuM/Q6eZlD3cGQAeyu
LSw6Jxbaui+vKBh/FZk80WoYfzuCygboaM9c2/PsMywn8CHZEiUvY+8vLf+IE+IG8ILpvdpDHGB3
/MS6szGiV6i7wHiwhm9RtMk6FzH/v7fUUxWFk9eXqF6kKWTy9ou/N68R+QKhnfuq/ejI3mWX4xJf
KqKxD521GoFHPt/IcQSarWOBYJFG3ywVtctto+yTnLPYOGo6bh00hDiejevmupqXXWiCYPHsD1VA
lBKC+yA/qvX32PmnKL9VSuOCdBL9cDgfhrKfWoB6kHJLESAWVrftM2PbhBgiwRRJUMaemhsbgr6Q
6x+3KC1eT2gv/8+iCNbdVg3PDQXWDeBgpgdPOXmPR4mMi5hr0V/TlkYxCylHsU5S1zUJ6gkyAM5Z
s4lieqoJh571JO38qcvv8PyUlfYuS0WCUMEx9Zk9qyPHtPRkF9/icdjaYeeV+cCiCHzU6BvtUXaL
q48SFerY+m0k862pfUtVjAvbvZdbk2ca87EO8u31BV83w5PVEByXSng3IuBsXQPgTI3ypne7vt+m
0w8Qy7F88Hl5a2eHvttfl7u60ej5BCsXeqBQtjq3/hz452GMOXmAduU7y253ugMAu7yUqXdRFvxa
d7Q/wLuDZskS/BZm2DKUP3Go+3pygz5FU1Pvt8hpWyAs0Ez9xQwLr7eTx2kOJbLXbvIFmu//RQs+
zBzQTU8XH9aR/hBV1d6wZJfB+ir+ESH4kHzQk65MsHm0HYFyZMKFgMzJ1P7KZZyoIriMgeSqHk9Q
pUIKxEt2qKH9jnZooT3Wu3yXO+6D/uwwOjA8L3bT09+Yyh8lBVMp85YPKVqR3SjBcBKN/ZQ0/jBl
kph19WI90VE4oXbQdHazXKxOtLfmjVM8UVw9yRFY77W665LH/04r8dy11EBXMpY01bxmuCXkSMaf
10VIDFBMqMRxMNByCY+V4mU07qVB5Orvx3MStUw0Z8CXnp9hozERrAJq1E3z+7Z+ruju+vevxhwm
uk6QfgU0nhjqkKwv7LSBj2jV5DgkhBla/GyVL8QsdzVJb/qx+bwucTGli+vnRKJgA1VG1IrqkEgm
FOndSXmolJ1V/AxaibGtHtwTQcLuD1TlCYYKATPr3HeAEjU7DIPK+gRXtcF7H4DEKDRfdO4kw6zE
plHBAQ243rJ03IN4oWCh+q5OldvOqmS/1mJgNIAtbU8ofgEj/9wezK4IgiKrF6V2jfnmgNaEbloZ
o8CqVQAAEqEvWIA0EWZSQTaJOwRLx0nq1S0aftIKd3fjanyHfBNTis1fGMUfgeIsdNgWaBsdILAq
to5+V4PsqPilOi8akdyJq/t1Ikh4NXPFqfhYLZoBTYa03gQst+RT11w6S/p+vjgkRENH3hfdB6hS
In8i2F9mT5xPYYuQL2ehi/GHA3HHDZlYtItYz5K9dTts7uLDx0PgUbd7f25uOi+9sbbVJmdYchf5
d8mRuCxF46o++SZTyP+W6lDXBmlAyXv/rvj8YOzam+IxfQOw3c18F79F+9l/TFRmPVQ3HLykCM4l
keFlunL5hGXMBiSJ4NYTeSSSugREB+0ad0Je8GBsRy/0QDjUu62P0ZsHg+nbUNJBcZmjFWTq56dm
SgNgHziQ+clnF6h6b+rD9KC+V94H+HC8yQXjvBcezBus+s6SWNzldLMgXAiPBmrElOY9FD4sfTOF
H0xuslXcYTM8WFs8Y4/pHdDCZOu8mNeF+Z2ssxAacTxvgzKBWNQJvcq3GNCwE9B2ND+O1Yt57zDF
I7e2p3r6tpI4qa9xn2uyBS/VTtWgTgbWG7MZm5m92vfj5vOJsG5DPO2gPqj31DW2pjex5O252yBC
lwHlrj4GTs1MCKf6vK0HEuATAP6twcRa/2lm40Zxv45evsney619MHzpiP7qutuAc0IJFUNeYjSM
Hoip4T3W3WbAy0O7FPotWP9ubAD2tQGR4E08oTUqrtxsE6DEJQkj1+IF40S6uOtNivFEB9ID3WRm
7+t0+gsJJgAPDJTOQL0tDjmVShrBnEfMSKexi25jN5ZWNNaW0ERTFRo8QM9zgbit5ekQRypENJj/
96odnHT7Ccu5+ZG/luwX3/OXiYX7zk1fHdkCrl2wp7IFuzEbzZi1ALJp0gM7xeW5FyJ1AIrH6zfe
aooAfXgaLnEgml5QEJG+rpMKpNeu0bH5B2XNQvH9D0e9ynpMmVW7YJB1iw8kSAY2baVeaS06OhUv
GApI0aKMjMsaT8z6Mb4ntzHwTQEXgylB5rjJPwYeGtn9T4nWa29FG3O4oL4x0DUvzofEbR8H1WBg
ebVXO2VO8ovYxz55SfTX2PLC5NCbkoVevfNORQoBpx0ZQ4h54MatI5Y89jsM5N0DjfGm3Ce7wWIE
XM53VoILCIDQqErGPqa7w2+o3VxXfcWoLbyNMR6DHC3eq0LkEdRNFo4Viuoj+VYULs3uS3OLnCJ4
2ACsf+/IItOVDUZme5knR9MXeNEEebo+OTnRqtpFl2C/HSka3Mwg7vEQAtvMddVWnA4I2JbxcSTa
LEtslEqjMupNFdDqKLpvnHL6B+g5kmhqVZsTEcIm5lGPUBsAuYB0q1hbzF473PfT9roeK2cfnCJL
SW0hi8YE53mYQKouNqISQmYDqVCe+B3UAadW8HFdzlrqdWHjwYwU3gwaUk/ngriWGY3StTVYtw8j
wkPg/fYmgNEYVwDpsnfS2zJ8vi5zbY8cAMabBjoR0JAg6MaNuIyTvqvdxsk2eVDuU7uWmMFangtq
/ZGhn6s1WyHJ0wQykhJdNgCDNGq3yEvWGpu69eaJ8dkL203IJePHa8axcM/DyNG7Qi+uJJqXEXXQ
K2JMd0HwKxqfi+739eVbNQ3g7oOiBYcKzVHnqqljMeVT39fAtnqpKEYWDWCdxrhhX6/LWVfljxzB
LYd5hHJoCzngm0iMO7O702Toj5fTJtgjB72NyABjogec4ee6KHaUjoG6WF9WPM5xsAy6Fq/1bHRo
Izf5buLzjHntMj8WWrivqfFBMUbr5TPPnq5r+9WfLgSK+BQAG+gos+CmF5ZVM8F4ryVj7fbpyFPW
ULt5HYqQP9jpWP6YzHzUAZdW2hkDJ13i9U3u3IVJiLG/TkkqFw4t3+GXF9sclAXooEFcchydZrBZ
TQkvWAQ8Zk4xHRgp5biNirY6liFvv1lEJTVLhxJDWyq3ood8NK2f3EnoWzvpqHOOk/0aUQz/eAD/
6B6jINFgwDUb9RFUCK0e3xfdkrIKyslhetVHGzCVFL+HUMGjyXF01efoo3/Q8gov50rr9IPedY4M
ce2rxVxYP4r5YBPzGOCSAzj6+VYOSjtPTj3Vbk4UIIV/wxL7oL3YzHTeNY7GjAmYOXH0ya3fatU+
AxSIhXr8hgvDyyx0pKDrNK+/JzpnZjNg+FhDNa3/t8gS4Bpfymk60sPLBJlgbikaSNTKwh7rbXQz
oDulKMbDaL9dN6WV6/VMynKAT6uts5N3lgoptCmHO0C21CELHfS7MpVE817Nm+QpAVMUt9EpAyKx
h+viV88t6FQAnYHmuYtoDoMIBVcdnFs0hhxTDf3PSn4MOP+LaxBbjUGxhVod40TnWlojz0gZz7Ub
dvZ9qfYexqxDjKFIcTpW4jSKeSzkLVS0MuCZfi5orrSht7PF39GJ+LRLUZ2aCKAU0PTzXHMEjTMv
dFdPtYERp8l9vcv5y/U1XfG5C5vccqPgzgJlzfk3VP0Ug+dr8VOIl/rudw18AdPyRxl+qEyOcG3V
RZ6VBpqUXU1PN5RUR9UKXuPUOQxgxHav67SSf4IyuPMdUO8s8fe5TmEwlmm8mGldIF1oPMdgwQbH
aT+AWWnaXJe1ptepLEEvMwjxFp0gS6EHWm+tsL1V+TG1ZShnq3JQX0JAj3QhmpLOdYp7ePgZzCpg
5dOB36YjdLaURvtNSYfBG2Ll367rtRLKgJQNxUX4UThqEWQgH5NoxhwdjnqGOTRjeMoGWaJs5Tif
iVhUPvEmfWtWdKLwq0NVYMZU21Bt8tq++QvXiGF5jD0iasE4q7ByPHK0YlqOs1l/1lnujsFzrPy6
vlraclQv7ogTIYIZZDy0GvS31m5lf9Vd1ISNyXuu7jXtm5FuLWdE74Y7tHcd3aJB/7r0lUwyFhJv
HhXIRTqmx84XcgbUT44eOITUpGG2uQNpJ7Cm7xIkQ0Ov6WWkbGu3gIa4Gt1xS0eMCHeT9cDpmOrF
5MthH8TmVhvH7+ipuCl4fzTNHGAl5t4yhtfrWq5Z5ILRhBFMdP3BXZ5rWQZcSUgDLeMR+Dp6cYdJ
23/v+ZdBs/+IEALDtI8zgyymYqnRY69mT3G4NLjKZjzXDB+7BcAxJK9MS2RXRO4qAYdBDl9YUw+s
Whu9nPc0m7zrC2av2QVeQIgGFvY8jHKfr1hlIyOrm0XtdqFWFSyl2DBWAyTHU7OktjZ9aJGN01fj
M8A8+7syTRMv1asA/0jBR7JIjdqJ2WrY6Cwe28pm7VgXnmrVyuTWYQzASNC23SpIgPrprJfbBfag
ZIGqjsegt+eDiabkt3HWY0yO06B6awOa+U6oATIUYwnRcWjq+ZGaQ/nSxHQ+9Oh18/q2nB2GvImN
UdS5xX81yjIGHCAxMotxJDd+GGBt7P1CL4qdkmvU42MYPDiDXuGu1O1hk5pj7lql2W+NaqTg0sI8
Dkoq4QOgn6ONqlUBaKKCfVIo+t5WLMDcz8YmL+1pMw8lRZsane6prs4Y/FDMo1XhtcXCtCsy38gT
9dEYSQ6EztE0dtPczK9TTbSMDXZcPhgz6uMsHcM2YCCGT33HCvuXMR21bVdlyYfCI82duoig50gJ
0Ph0fcfX3rzop0JQAUeHUVXxAapTMOykNh6Gqm3axyioyrtuqNs9SKDNV7S2BTGr8270SmV07gDh
GudsjKdecozW7iogLCIPg9ACQFWCMwSAYKzmCr6ijVVWTL1rDs+G40+NJB5cu+dP5Qj2jQU0pjFD
9sWpOch2NwVNAEPkVcNz3zuSpZXpJLgG8OGmfZsgflGziHUALwrR65z5VSOpHq3KASUceHcJHoKi
L+84bQ29gU5GG3pF7tXWbWk6zNZ2101lzZueWoqwRylqauVgYY8Qfx3HxH5K8m57XcTaPbHM0yCj
BIxswEudu58Bz7jGRAYWHX6aO3cAfSsw5hICQEpJi88CYzxB7OxLIivfrpkF8EiQKYPpYXZx+flJ
XEHpoPTGsoS5dtQjt1A405FujNMdSnN/YRansoSUWdbFY2b3WMYS6OcMlK/ZRiHqS5tW9RNa1Y2/
OVkn0bpg8Tyrpia1kTyzaPBJ8PplHK1fTZ06bCjsp+v7t26Kf54GgslPQEupADS1hLaglOSsJolf
6i9BKFvEyw3DwPPSd4ES7lLPEeKXOgLxJzh7M1dLkRYfXgw0r3DrSTENJAklOKOXSqHDAzrpSAoi
Qy4aRxRkPZ1SEwGSAyiB34rmZfNDN77+26UDzoi2QGAAa9bEIMG5CU7WAAiMwlpAHMbH2PgEYdxt
mTteRWSt4yuR50LetKBSLDnVi0dkZXKS5TZEAfnHG7tDbyDTtKO4Gs0bzXLH2SeATIiHj9i+wb37
7/VEUhBvRwv4X7hwzvWkHerPZY+gWsWNGNpb29ljwh6JIBlnw6W7wkME3Rjo+DdNnG3BRBwjSks6
QRBgzd0p7u5Gbj5e12VdBGIlgAriSS5igOqFWoemleduNfE9IhlUKvryx3UZa9a38JkAhg6Z6Yum
Zx52kWMG4DafrU8HoBb2R12Bs2OQiLkMMNVlS1RYHiwduHfn28K7OBnQ74rVMm+Kit5mpu2B+1ay
+TIpgu8DKtFgaBGkoNtgO0f1MbbMn1meSW751TXDVD3WDbA1QGg6V6aNrJgWPcRw8h7ln2MasKrx
pGS6K4l1LNp/5GAg51xOSdrC+h/SvmxJUhxY9oswYxe8suVe+/6CdXVXs4tNIMHXH6ft3NuZFJZY
z3mYeZgxq8gQISkU4e6RctjJaetJ9WYUH1q5H2NU88zMMeybEgzr2s3/HQd0aXcW2mptI5sNJ7s6
8zGsz6W9jcvK8nuB7rL2gFTK/ecotGUcgCYowdOQ4tmupSJMmGAZcmRbdyOBCi7QR6H2EoqVp/fC
p7swNLtBTIwHUrQBhlotLx7RJFR3UBIsD0NTfWQkXiMif3/vyGhOYGa9jYoaaKAzvzoJk3sVDYdE
W2Uvco1iQtR1DibROchHTxqEBUJd/Q9riccw1B4AQrK+aUtmRJGsJO0oYMemy3ugr2PPpoMT1v/c
fwGfFgXeP/qvuLlmziU9b2qL4OiAUs/eKmjsmAoUgTQ8k/49Os6FH2aG7EGuep7BowEqFon61Nv3
Wu4nzRrmd+nmulCYmF2SIowBwCtgKBypl2Wjq/GgJb45uJW5V1BAqWK3lrwWcyW78ZBoK8G5cHzZ
Kub64dOB5WfMyxjULiddUAhc2Jg0pEiZrw66r6jlSha1kNycm5nPNAr1TsmlHGaiGFis8INr9aMu
lx5TlW1ZrUXJorXphpxkTqHxNTssE1ELiVsjnML3kqvyIOufSfIV9a0Xg5p5PVIWbkwUyFGHh3gU
eNd/PvBZoq1IrQwtXrimJfROKrQjqX9ct7D4jc4szA6QWh6aqLBhgaS9SwGbGBX2oGd5cN3MoiOG
AUKhZiMi9NmqsYQORS9zHBxWdC8T8aglK8+65WAH2QkS9yCP2vNaf5ngPxelgWAX4UM4qRaXTwQK
A3rlWI8Upf3+nugn8iXjXUkLtrnu4NJBjC4kCqBT7oHS+OXdRvW2Do1hoG5q3aYmXkb8Z9L5oTyu
nIZLJ7AGPaHJTUsFTeHSTmMUXFETCP6mGjlheoUnStMJB0Di7HzTo1eWFGt3zAL0D/gosKPRF8KA
GNQcLm3mI6eUT2VHMEVf9UjszKToPkiuHSpmnGjXmu6ox09mQx4SLrhjZLGya3Qu78Oi3hl6owUV
q6ESpGjP11d9snxZFEaXCsfLRIyCoNO8/tZUhsKTAa2whqNL2LqozkZ1UBVfISgpg/3UxStxvPSZ
p+c2kDh4EuArXC4F+OJGYjYRdaEu4oTdJyEoa43gG6x85kXHzuzMMj+rJrFklRLEUvpnJu56upMN
gWbntrJPShVU/D/cfQA9oJo07R5Uni/9ShC8UshjpOZWimISlCwAFWsbZcWtpdPm3My0vGfnmc5Y
2ioWls+07zgpHYY5JZb9dD0olrYIKgb4TFO8Ak9xacRK2gLI3IS6irgJ41PR6I5FtsD0MOrHw39Z
uDNjsw8Vy03ZFnmKU0eXnbo+qMmmzauVZfsuTA9tBqCt8CybVJz0eT0b2mlQz9FwttV16xix5nAT
8gio/DhcpDu1DAOD6wC0o0JipJmrQFjVoKcMY796TNHpa+7Uxm+jXhvtuBSlSCdBQQf+B4zdWdTg
mA95GuNBRxnxIMiPHf47q9pNqTzTEVySU1V417/tUgCh7KlDTgqtJuz7y29bEYlBvzHHt62LdFvL
uQ58SSxOpZab/8UU1h3Zuy2jvTU79XTEUUhtOFc248keII0o5CeT8MfrHi0gyUEshBUMFoHY+Hdu
DOTBCgDa8WKlxoZk8XPPklPbfw3hL43znRUztMY72YUO4KOSCN9Qm8qTVNnpjW6NvrWU3JxvnZnP
WRu1mN6ArTNAFo+AOYsxe3F5ZMmz2v+Xk/Tvxplj+HuA63gewVSkvFfWVmT3jfpUV7vrq7t4Xp9Z
mV3Lps0z0RqwYls7u3odqlvMBOn5yuW/tA8mlsmEhZMhWzqLSj1CXysp8AqLtMizuy8ZRVFYIy3m
PEtJgB6waw1riejSVrBRfrABfUIZbL4VkrRUi4bg5EEW79vA56So0Vvk/voC/uGszK/YczNTZnd2
ZDOlTjvJhhkJ3crnLjN6AK3ahKV+b5DhUcegujAAA50aDuAPXeFVit3/wFnFgepQIsyUs/pccpES
KOWDpUrsRXRKMmmNAiaFgQSA/QRDDCFSuynJZzGM9kNvNnmFSoBiPaZhat8LE9z4vgjb9xp/BaJ/
wM+95bUlNiwGvjGIJL1nUHjCiG0nZhCZum84Kl0eNm0r3DStS8tVNTkLeCw06nOgd9qAtLnp8HHU
vLYh1V0V1mMBAH8OpHJXMeISYVRBDZG5ImKYAtnqJQXJO+4qG8JHvL6xG6aMjmkK+kvqSPI2yBmE
ehICfWMHo9PxqhI6VHRoW0edq6eVau6znmieSiL5kde9SE+dPph3SlzYwsdcZo4Oi1Dz20xNOg+6
35HpxDrmhek5hEExiVIOX+LKFuQUFxAKBJ5MI7foCTe7OGpIINIe2cGgV6m80anNTNceUvLM0xrD
T7uuzzdKw8qg0K2KBqnNWkh8JTo/QLRY/AjlOO1cLqTKjw21yldO0qVNeB5Cs2uiGfnY9Cm2RwGp
qja86cIHgqKPlT1dj9WF5hz6YRAXt6cREVAYmxlqU1mPlanAOIhbWm5j4qdyMNTPFqZRVukhJDtN
2l63ubgLz0zOMhoBkgKhEioiDTTaK7UGBDau7qNqfL9uZ3ENofQBnTlIZGDPX25Du63Hnuawgwbx
lmPEQlmnz6lmPlQdX/lcy8v419af/3+25cVAeaJMpeDR3CrWpzzcMz1xB+uHXvnj6LfZfdqsjZJY
eGRM4Doof0BqBpmENTupIWYaNVAPR5HOPkX1XclPjfgZxT8GIFeMYMCGTZ6wzx1MHwTt0ilVL8ne
WP55fZm/n+SXv0K9XGZMi7JCFuNX9BkYBOFjM2QelYUbTuyu1zhxk7V25PcAgsUJcz698FF+n/lN
DcwfTGJG3QzU/qqWAj2xdjxcM7NQfIUdZGqQujIhuTRXDQp5b1b5WOIm5Oajbvf3SR83Wxbbe1NL
SqdQM+7GGh55LGl2SVnXvgVM3Upofc8vFMj+gVIEGCVmuMxFrEYgU6tkqsQmbXtCLhtvwsLqPDZI
zLHHAdVYI1b//VSYPDexuAoyZ/yAy28aKpAtVzIYLWqAYb+yeHC0Bl9SepeKH/1wgxGTw7jWt1n8
rGdG9UujchHmUaMjkIQxblPFfGNxF5Tg3V+P14W9CuemFgQkjTGPbF71kDE4JCz1FvUASLMVxU1j
PxXINgowMQDH8ov2VIRr+uHfz6LJ5oSswZLi7p2FbAG4ht01CNm2+GrazE0xViAEHWwN87W4hmd2
ZpsxhPbOgF4sztZ2X+afrPAVvpLeTJ/hMru5dGUWG01qd9CjhCusuR/l0hHD2gCPtcWaBYKltsSI
KZzIILCOm2KXJdY9yQ8WZmE414Nh8fA6W69pPc/O7aKyUrRY4Ay1biXyS2pNZxQ7DU+XUDlyJXRa
pq6YXPIOO2oS7AeQEVpUlyZtre4Et1BhVpnuxcXtkNxQoMi1tXHvS6FwZmc+aYjHrTbIMezECj2Y
CvUZKN1jHnnXV3DNzDyyRd7rnQwzHcZ92xgREheNVxWrg+amyJ2HHU4iAgV6iEwhfbhcNl7zKgHO
mrpVwkECinioByrrkgGYRqYVJwxKQc3MqqUbIMR6X4MIzYfFi/6gtpBzdngDoc9/9xy6giDJaziX
cRdd/qKqtys7kaHJG5lgIDRF3rpRzUO/q5Svf7d07vu0NmdRSrRGxzMBvlth/1iGyq+W6B4pV57V
S3vh3MpsYyu0HashxJck/NVmlaOUGF5X3wPtEMsjUs83tO3/g18WCk6ohEzJ08xiVCVZFasocSeJ
FQZpLRv7EhKe6G3mxsrHWjq1Jv4d6Pi4SJHsXi4ha3MG2DpMdZ0GpZ/yLqGme92bxYsF3TA8pZBO
g20/cycOsxS6D+hz1KJzoomUtFXlLesDjfmKfaeascO6fwbfgJGraJAqR7kLKeDMpiTZ8lAJFLfB
EAAgC3Ih47ArdN03KVv5Wt+LhDCFMj0gdGjjA+59uYQks+tmTFSKjmLhjJI39pGjmO+NeqJ8T5vn
66u5dEyeW5tVCUnB2VgUsBajbGzRjSYz1FVap0xWVnCBFTWRmvEPJK+B4p1TaaSxyVs6+TUYsmcZ
LNDswksg5sxayU2J4vHhFXP03KEWpzAnQZgOK5Gz5Ct+AMrIUMScoudyZYsCGDSBIQ+YA9cGYfGz
s2KvgHC5bCcr33Bpj0/aoSBe2RPFwri0JAH1ZtoS5L3tVOuhVDLyxgm5QkCWaXVIlZlDe2skEYes
DdqTeA4iR/wPPwFsOmRC6E5PsXv5E6Csb1Foik6Qltve4sGkw8zuDOuopTsuEoeQZmXvLwUu2j8Y
Mw/6+tSVubRomZFQ2jwpXWH9GBVksXcFxNRbJXaI8KL235keOEVlvEummEL7bvY11bqsMJED9AG1
s+pDPejWHmM0AFATepr4GqogG8asdhVnO92A8xsSZFyMmwD+FKNqZjekkfRwNCOovtLQ0TSOAQmP
te0I+mEMt0kG1vGtaW7GmgXXd+q0fN/toppmYtg9hN9my6tYpNMjqFi5TPoh6eqBojpCo7Ve5dIB
joQdNQoA1DUwoC4/ogkpbdWAgLBL1Nhphk1Z3on03ixQU9vE5lZuj6oajInucuRSynshr+Q5Cw2F
P508TJieXtxgc13+gHJU5MyWZIBtN+2D5XK/PygHc0cdfRseMSAQghrygezUh39d3cksoCMoCALU
Nn858CjsC67p4NjU1iuQglulNE9WbKy5N63f5Ve8tDPLMRSjtOomh50Y8+7b+hkamzsT5M9WHXCR
ATAvbdS+e2wTqNbx1qlYggJt/nzd2e/H0+WPmH1knRRKwmWQh41Bu+3C2E301k9z/SiZEQajWz56
Nl4J89fNfo/gS7NT7J3lV32mQlO3htms0ZDxa06lEL9YUyBac262T1AyYFFvw0qTuxbcEM8A/mva
2xD+yLNDKNbeNt9vlUuvZgErl2ZWx8gd3Ub3Y+h0xy61X+U1AblFKwZGmE0agODxzj4ZzWMZpx2I
NxhQIIsN5urwDsIrb9e/0B9q17fwPDMz+0TDaBE8OmFGP41vpHO0T8D4kevv2au5Y/fVg4lk5Eta
2xXfz1Ss4fRqB0RhAubOcp4kIi3BiBjsPvCkdYBI981vYnpEve1Lh+Se6FFt2173dfqb31w9sznL
fCLWamSoYFMRQZb+FkbnTBlIesPitZLL95sRGN0JwgVeOMDOc+BxGTNSNC02vWGdGnrq4lOj37Lq
RRvve31lLZcC5dzWzK1OlcahK2FLB3E1Nv0q9PSyciS+u758az7Nrt9E0ZPSBAsYTNkclGj0Acpf
iakGKWWOSTXX7Cz/usUVz4wZSHPkUVc30bSK1W0ZfZH+ORlTx167gZbiAukZOCwoXoHFP4vFhuYy
lwj0YQySOVZ+Y/I99DYdyOeB5XTdo6UD8dzU7FsJPRdlZ8JUlu7C8odMdkb09X8zMftMtKzAtDRg
gisCfZU7qfpZ4wlz3cjil/m7ZPMaiN1irmWoTDGXdDo6G7QB5NgA4ie0zFvFDtcGwy3GngaaDDSH
ga2Z13ZMVlkNJrnAnlBfxjSN0A8QXsOHg5xTZ2i1V9P+d7An9jCqtHi6ICv6liDY6N9EDQ+hu1E2
QCziIoHua+zl+uN/WEswuJBhAu/5DfIclUoDIjAB+ZbyXY4SJtoMthS51ZoYy9I9idMczwMgJMAh
nd2TCdfTth2xiHX/o60OQHg4WrkRGDHReOhFKmIl2Bf31Zm9KYjObv+iohFXBeyp47bkjqZ6EXsn
yolWH9dXcEH5aaJEoJkABoaJ5/p8B6sJx8mOJeQn+wa1COU121bb5NTs82fFbSUHAld3GJP+ZXfb
7FMKVswvXWbn5me7WmvjVrYn831Q3nQQzUB19TM/SJvEa7dx6V43933vodICthMY7wAUYaLf5bKq
hQR11CRtXWhLAEHL2SkcvUFdOe0XrUB7GIwuLCuZ94IwuNZQhxGltzrdCuNoRs+N8CT75bovf9Dn
l3eyBplPDJVEzRbwnfkLfeDKKAoQuCDlJzmJr+Lf7UY5aDfqHiqckVNuWs2RUcJy4j3ZJR5G+BwS
r155BH2PVPwKTMnF+w64SRCTZkuq2ynmKuNv51AtHD1JcYoqiMu7qlmJ1OkPfXP3zNC06mdbgltR
jIYj3BXaTygTFT3ms3yuLOmajdlmMHvZYlIGZ+R7dqxdc2cF2qbHsiYu23ZBtIndys821EGO4KW+
sZM3lq+f1t5XC5mlhsILoPkTM2V6OF/6qg9jyGVIx7jRS/MTM6shynZrbiJH+iI+3UIy5aTshxWY
9wLy9tLobCsmhi0SdTLKfgJZ7hFn3DbHxNF3bSB9NDfD9vpiL631uY+zy1axMjmWephLhyP0Gcz+
Z7mGWFhbx3kW1FWqWrcjbLxUO+tEnOJechTZCY+vNoY+sZNyuv8/OWXM6h3C7jKmTgbVYZcaO03e
SGuZ3fer6OIzGbNH8VCUJAxzmCCP2ivSR69ykie6ISvhsCRTeh6D36QjZXDKu2H6PrumdBTo4rlK
kAf6E/aCX+6GoNs+Wz51ok3uhMmqZKj6PW+59HP2uorMKNTbKRy5H7rxUb9hQfpe+HhdHcRDv2XY
gwR7Ud4lu5vf4k69xfxlP/kMEahrk9dX12J2yJUyTbUQ9THsx87XvPiYBhRi+YHtQy78E6OOX6RN
evMYn7ibbtbeXgtVnsuVmJ18tjEYRjZ9iWFv+uHGQnHyMPgKtAO/jsDf/ARd/t7a2itvo2l95+ct
WknT7QICFHh+l2dQJdWDzBSrcUkib3JWHJqoXJHCXToCzk3MThzIwMlikoxyQUTeVlW0TbBb6o6u
gHuXrihcTiCJW2TisczKAUTLGfqpyEZLbvzI4gL1lIIAbBobD5wzK6CGunKRLO1RCG8Q9HSgLIzL
+XLt9CG0IA8xvfdQ0M2jm9E2N33vx+MuBuoXTOQiWzl4lnKOM4vzMU9hbchD10+vo/IlKmtf1MlH
T6cZrv1aLXlpY2J84ES9tyCUNr+cUEHOknB6UIAxdMgi9mAWGWbb1eaT4OFDBx0olOyfr5+ri3vg
3OgsVECgqZtCRp5IovEOKDvPLKyfVjq6NvkYMN0hi5JgaLA1ykG6N8v2BjTJjUye5Rx61nq/pwYJ
qix6uP6zFiIL1XuQIdWJ0/bt+VsaUWONaQIBUQlAnFMK9U5SeSYe9NZal2QB+YPaPfpcKPkomPY+
f4Jgrp5slxVy1zjF4BCItFaSp/SVUyVDkOBhT7RSAUN2QFlofKBG6l93dXGvnn31WUjXFDjqsMAH
UNgYhF1zI3jllnG98qEXgwuemOiL4vE4f44Arg1lOoEjoRAfJgOSaIhcOXVN+W4U25ZIznWvFj4g
tICmd+pEZ4Z80+VGZXIzyqkFr/LinWk0sJT6vhh/0x6kGGNNBXvRtzNjs5u7hgggqXsYC1uou9Bs
m7Vop7lmfGjZTkF/7bpvi1/szNzs2GsAxDOaBks5hkC999xPIR0sEmnlAbDm1eye7iDjIPUhjgOB
ASuS9gMjviT5h5K+9taBSL+u+7R4zJ35NPl89gjohd3YSYslLHPVQbrq1exXJOguBy/p/2Zpdum2
Em0SeXrxm/R3CfFVSXWy9olCn+q6neWvBBIiJB3Q/5w36CEZoJNUsVFZ0HQHsL8bBuBG3Gbb62YW
b3Oc1f/PzOwr1dhtBqlwB1Ysk72wTJTtwCPNv25lORb+Wpl9HppAeNfq4IzZHiHCFWjkree7im0g
CFlb79eNLccCGGMW4LSo9M/2LiYPj3YoIb6ZJWHKHN6D4I1pEF+KqbqSqCz6hQYxurVAR+FRfxl2
tSkULcQQKRQFIQxkPmj1KxGSM5ZQg1FcZQ1stnQqoSwNnCc0CdA8nS+jhn60EeOop43hZM1NA+m6
srof+rdG/2eZj0kEGjU6wK3Bg5sDkqmOFB/6S6iIRIqx7ZsIebSaJhtaGXc5RKSern+zpTCErAia
/BO25ttQ0p6WpV6wCDrjTeoXanQzRCK4bgKFP3yNWeYKYSCMJcXkOqjuz6Ua09IqBiPLWtdCcWtv
pGn8TiKMg1UYB2goV7PsiYYS92UtKndSohU/WWmZbq+F5WNfWfFTCCTrfTTQ1s+ohDmCaWKgkGNJ
R641/U3HFE4dNCexTJWW1T+FVbRvWS4012iV6g068lbsCqWS3NAqxacsScZDC076TZPbIeCrRbxV
+kh8JZ1ZaDci1ONdRKY8LR9l87cpWNl6Wh6ru2oUks+jMd+NckwKj9mZER70LE6PRoV+glOIwsB8
jJ6pgzeIwcQEBUnHjLHMLG0Vk9xUsGbDsdBjH6O3NOq0MmnxjOAx93PZ7H28JPvffSfsFvOAU+Ci
7bSzNTfkI90NiiYOqSIVxzYv+JOVjdVLK9XPUFW9g6l+K0oKTv0gj2PvMGJD6StWC4DOQlULwMLP
PzrCLHdUqvyhQ390G7W2Avy5Cp09KtAxhkRs0lS+bma8d4dCNiEjlmu+mcrpTsmp6ufKxHLXBNkj
kiSf9k27k5q+3huQrdoN4Mz36DmIGLQL6Ff/zMJOifZ6PuYufnVl7RtmJqVf6w2B7mwsVLcYseQO
UrYQ5wWVMfUgb7JJEXqoHvUmSZG8Zri9wLd/KapmcJhk24HoQ0h91sTsHEtv5Q8BQgYUjPJyMD3d
jgTm0IDeEgAfkFZuXfXRYze2zHrMc9ENbm9Q9ZVyVmwrXVSKa0IsMuCKMvySSQS1oEapKr+AMtzz
YOObeQoNzRKACB021caIX3VIC1t7PartJ2TexXZgXauGDoY8a6cRRDTbgb6vaW2p0rGjUDEhdd+i
vYBxFpPuL61ljPArbSs0HKgFDb1TUpuMTpdUqPBovOyDjlL9JSmiDAMgckr3UiHL2yrMmq2ooYtj
NSMQr2Dy6Hg2ZSqhThaFT0aPORa9kNmp0zCJLMZJtm9jWm9DidlHjeeJCttRlnpEZtGWYYbCAzD5
407jaKgCz5oofhmyZKOLEYJJld1Dj9sweORVOel3fZMBjCMSgYEL0B74rSV9lDptnyC96FWBOZiR
CI+aJOWPMin5F6a+Jf5gj5jqxku2tQBK+4olARU/kVrjIaNpCGEmQ7uvW0VykwJ1cEeDz4FR9xgw
M0pR8wH+fKI6pKiidzVN0cuqksridyGlxb4Jcyj1WDLL73Xe2o9MraO7QqPDOx/agQRyptmbkash
3Y5Eao+xkhNcgEAt+QXLzHuIosmdxy0pV45MzqsHQ2L0oEpm+rs0kDyBwWSjDahD99gHrxajRM3M
6vkj4xQjLSA8uzdHMnhQ404xHFMhw8q9vUDbwMMYhH6olqPgCCbD5QXHbVIYVotp1xiHKHvSCFyS
wJh4Ynu2SXzces9G/aXnDXiEOD07J9t/DlHp0fIEmePP6wf4Avjt8sfMcpVWlqs2yqY7KYcUdP8E
qRwvJR9CaN7YRb/L+mcdGcc4RDrGmJOsgqUWn1rnqzG7f3NFyi0qpgI+T/cp7byuxoyGVnWbQgfj
TdnqUKAxcwDi0M4FHft1ZQGmzGV+geFjoFphT/Cab+g/qU4hm48LzGw+sxiI7DYONNp+dPlrKYOZ
3/QlkNNl5OVV7NiVWLmkFxIrUFgnkAHo8SBfz9zH/HJN5KSGeVbfGqDHY6vse7qn6FiveDq1ob95
emZq+iln+XwpdSNhXYO5QFXtJbYvp7WP+qbTyO7Qv5jJRsT7Tl3JhReyuWlUOV6XwDbqSLovjWag
G4do5yG9wj1ojPwFlMjtOMoYaEiJWzXZgzT8uO7oQkYHwje0P6ADi5etPstV40iSxryDyaRNXK7X
TqTGIOfvwhzaj5vrthZyLEizWqitK8jqMUfv0r2exq1eaQMKBdpPYNIdwrzrBpbi49zAtL5nHw3H
IPCEFgx0rE4wu0wvbigP3/I0G/BayusVc1O4zWMEzCqIwKLugZ7d7HPpRoor3BjxufrHhr/E6Wtk
rlQIF5fsr4n54MR4kIZK4jAhNOGZAqpZa9N/V5wwZwFAw1HnpgoLXfNp9duOPP+HHjXUI9EBA3Qd
hwe4xJefRRslY8gyBbl1EheO1eGuh8yApChvVK2Ofczuxzh2qpqvIRqW9hNw3uh3QjIQ3L/ZB8q0
HFJIstq6fas4YfEpFz5yNikGxzB/EvJKvWHxesA9BYnvqfBmzrevVIhBAk8Fx9MH9UCFyW+bV+UG
WdSu/FUzZ1ixtxTtYEhB74aAVoEddbmstKu7Vpuuxkx5qkvo935K5CDWTsIlKyAbADUPPX0c+zMr
XYwHn6whPlJ62zbuEAqn1pBC/DsATwPC+a+d2d41KpvxJJPhDaYtyCXZtmN+LJGo5lReadgubSpo
umCkBtToUMybhYWQGm6kMcIC6cYxt8bjkK2d5Eu7CqpUOBWm5zIelJffZuhlHakCQgHc7cjpTQoq
ukhCyLqg9X790FuabgEcOvYWytCQDrdnK4fnRi0ZhY2sxBdvePgA5ntgm9rX3fFQYZaa+RgGxCfP
6L87Q+k0e7pShFh09uwHzNaT202W52T6ATkkp8We0q9sTXF7qc5+5iWYI5crakOfRGQjjEhbpP21
fyp89okBbps8MHflz/CpveOvGCG+AsxYaj7DLmQzwFtCjWpe9zWI3jVUQo+rbZyPcYsZK8lHrLjR
7rGWHXVbZO4q9GQKjvm9cm5y9kE1DJbhWQhXZbffKduo88y7HgRWX3Gld3OrP6R79Ua6k7drHdzF
bHuSfEBtzwZrZd6QUo1qiDUWgtq5EUf1GSWk1Es24Ra4gg0UxGuM/mo2/PByPYIX9+OZ1en/n13b
g5J3tZ1OU9/FXSYbTqiusFamAPy+oH/dmgL4zMBo9XgbRzDQHKG61x/S3/QlCWywtn5d92TxCjhf
wOk0PbNEqdlmiY4FLDAx9Ya90WPiSwBWBsbG3rNN9nrd3vLO++vY7JiJ4ijpGVQoMH+v8UzFcHRI
8eT86bqVBQkZDXvgr5lZQOJ9XBGlhxnmFTeGI7u1/wZak7wLH+XgR7tNVtxaIIddGpydKLopkr7H
HGxX+wlAb3EaZVflTvfWPmE2lrbm3lKujwIj3hX6nym0szembpRKSmqEBxD87K3dqO+As5ysW2Nv
rMXH0m0KWT+s5pTg4xFzGR9t2tb2CMUPF5W1B+2x94B0ZMf0zdrFD+ChdQcrYD/Szdr86sWNfW53
Fpfg72lZhJaoq/zM/PiFeomAMqQjHoDPNlz1Rv9IJUfGSNm1ESGLsUOgH65DKQuQ9/lNaCZJHZcY
++B2qVxvW5qhWG2wYfCkOJV2ccnh/lijEVRpRoFz1dLTx7GW2+eSg00WForYltpIT1VTyaV/PbD1
hXPh/LfN4pqNVkOhm4BzgfauCuG5UuLBdROLoYxiL6ZO4WU3IRovv3gtp5isaBHkNaOOGqD2qNTv
XI23WdG7FQW6oPiqKvm+N+KVasWyc//f8HxYNMLdapMBCx+mSsBJHFAl36w4txjOf52bT2aJTVT+
Jgq9y/fVEUxblF9wTcrPGNYYfR2l0/gj/y072lpzdOk8P1tTe6qzn52ybCxjpTINzGem8gur1G0U
tpuRAANHdIwGrSPXqs27ttLfr/u7dNye250dFLnWAPkjY0kLjGPPP2tpT6rn6yYWV1QHFU7BeBEF
QoCXrtF6EBYJsaIFEAWoXxq3JvDk8tt1K4uxcWZlFvhdIukY+j59t+SXVe26NUj8YtY00erwOAGX
8Btvn6YYbZxEyJo0zDSGCGztkBv5rvbMn3Vg77qtWOtMLXqEJyby+olz9qdydhYSo0mRhpe4MXr1
ReLHTF7Zx4ufHpKYIJdNrN55N7QBlwDqSXCoa0qAjwVEmu778d8FufGYAzIXPEi86VBKu/z6nMc4
CSHO4g7tQ8n9erhrspVX46IjAGngXYLKhTwPsEixWM84Lrt6+PMWvwnBDUp5+1/i+MzMLMKsscDf
nW7wOoVCZ+YU4VY3X+Ri5emxuF3OzMwWzM5llOan+3QYtkV1zMiuk7xs7REw/dh5/jgBW/53zfTZ
24PbCYUWBKyoxB3To9x85MSzMYFU+Mra4OjlCxPPRqhuQWRWmxNwpdzodV7HzO1+WJ1f977YW9TR
Nvk+8SApnjpW70HdQFs525a37JndaanPdpBCG8jINJPdPd+QW+kB77lT2bnsxHzmsvdue/0MWvx0
00xGsKnA454LHetyZwoNQm9uqhyT0XAhLLlLm1+ZVK10kheT8kkG438tzT+fgfaOhXsYn29wuyqw
zINRvSrDa0x3GS1RbNix9L6onDZaQ7os511npmfVNa1ROJE7OGljTKdjv8aPygPkNyKHbgWkAdxM
cuOTfMBIJuJcX97FmD2zPLsjMdIB24JmDMp4gBc+FOyodZDGuynSo6jX2FZLeGaMlMXZJQNaCAzA
dOqcBY+cxpgzUsPPlnjtCcK8aJLtR3+4I5tqi5bjSauc4lZ9uO7jYj+EQJ4QvR4gQSGkeWlWK2md
GSNilnn9K85+J3yMdu/xyd6OdyumFtfzr6l5EKXcsqNwhIfVW+ebm/rG+My+ytNwKxpnCPTAuMsC
+SN6j53VesCUVnw7fs5Mz4No4FrZTV72nuLYTrHJD+SGbt+fQxfy4GuBsxyzZ+ZmkaP0EEBt/ixq
YDvK9q53k1PvEFd7yJ3IJcf8VHyuAZmntOaai/PMahLYomBYgnV720iHTL5ruCOZwAP517/j4vU3
VTJBRIXAyXyuC97HaZFieoKb2KBr64rD7c8+3l03spiMnBmZHaWZ2bDOTnHgSEboKOIBXcrrBpaW
a0L9YOCXPFHnZhEBCcqisCJs7hHdGjbE7hjlp1LYbgR1XEqalS7E0lF9bm4WERHTQNWrYK5LQyfX
o6BrTlIVFGv06MUi37mhWRiojUijRMXCiUDbpaVTbw1HeOIA9e3mAHCd8T/MfUl35Dia5F+pl3dk
kwC49euqAxdf5dqlkOLCp1AoQHADQRLg8uvHPKeqK0KlTnX3XOYouVwgQfDbzeyrOZLdFLc382fv
92dben6mP1mwDtLvqKhjab71XjEjoOI1rbIo41d9l0Q3fFNvxX7N8qz9LJv5bOX3tjPsR2Ya7G4U
vjTFoQ7ulxrDDzvzmQD9R2f/5919dywjM3nTOGIhD+OJuo1VsaUQyfnzo/mhK4jcENi583zHv6LA
h8aE4zmG1W0miMIgzFHUX3q+h+yLKY9OAVkoKEOAreCipPdg7cyLT8p9H23oz1dwNuU/PUoHROPB
dK5ijs1VvdxhgiDGLAuarnFUfqYt/dGeYp4H5uTc+AnfV0wDp2rWcEZoKJcrSr7rZsM+a5t+tsS7
k0n6wVJyXmJR7k1bogDm5xsQuiafPLiz0Xhvg3++lXfnsLIQ+IU8MZwpFE7rF0OynmZC/WDeCRPI
abEkTXQ120/CwA/8Ko4JSBvBGYkQ4j0waZ2nGnE3VnV7HbvuNwsuoaaJuXs35xgZN5s/v8sPTNkv
y70zZVbJusbsGBJT0V/rtk35WG4swLJI7j7Z0A+8wC9LvTNmK7LFcPLPmZZtsn6sDmLws/+3u3l3
NHpLAraMWMI2V6v7ZXHvwvWu/V+kjLgR32fQ1Aai+T1oRE/gglLngGCe7jCE48l9+xktzkdlsp/X
eA8TccmYt2MHv7yEdQqkdBqJJga29HkEjT8VOjuLuK5y3mm53Pz5Jn6Ucf2y9jtvulA6R96EtR3+
VHbZVB3qbqfk46qzoXgQ3m5kd4veT13KnRvmf2IwP7BWv6z+7kSCXp5zDb1REEHzpHC+91ERVwXU
H5TzqDr7yYn5bLX3hxJC6HV1zrpMdO2yN27LJGxBRdscMdH5yb6er/ydQUHNE6EbB8ifo6zxqx1m
IKW2YY478xaEy5pcOGjtTqO41mWBNm/+rFoMnI7uLbpdVyGXZ9q8P7+Es8n6syt45wlUE5LIrXC3
5YzJpDCcXAy49W4SuPozTqAPN/anm32XivgM7OBOi5s10jsWRGw67h1YZOOK1qAJ+v6/uTEMn8DD
QhbmfTnKEWtRty5uzNN7PkOCGEOL2z9f4uMb+ucS72xLLa3OyYwlXMyFzkHcQd9pbS8quy2rxz9f
6uM3EPT2/7id83P8yWO7tACpgIvgazmgcZaf3M1wCr+jE3MNUnTvwHf1zWdelX5ons+z2D60qDFg
+O6tj9y5cq3EmuO9ycoUYiE7jMESEcsEbd6MbZt0zppNFxcH/xIfXODsHtn18NmQygdEB/B+P13I
OwOgKxzLqcaFeFd18lgdwfjS+Akd0/ACIKpk2b1Uaadjct8+sH3xSWj/ofv9afF39sDBxK/sPTzl
pd71U+Kw45gnnGayve18/Ymp+yg2/OVW350pNfdVNKnznm+6FAQH2ycQ6NtdmUa37u2YgWNu2eaf
uOGPD1cI1h6K2f6zFMavhwu7qyfq1HBfvh8PgBsp/zwPvcbQTT7VHgRPgMqjvsh8KZLapeD+rlLj
vQJZ90le+OEr9dOVvHvSReHOw2rPeRQwZNOJRyAp5UBK9+n0mZDQx6fqp7XePVgZdlXnLrhrfmgv
TujK2Ovyetz590ikqtiPWSI35jtJb0pgd//8df7sNt89ZYdO0AcosDQJMLXgA4cyVmkPSvfSvhUT
/+xQfdC+BXHgP5/vO+PRla0MvQ7LLeTLXHix0fs+2DU5OK74feRfg1YjlvqTe/wwjgwhCwWGPbQb
3oMeyUp9o3osmoNmeUG5PvS7G7BLuOozNuzz5f+LD/tppfOV/GQbPU+Dc4pjJYHGkwSFBRRGnOAT
M/DxImBagcRWCGTKO+8lw2GsPKcZk2lEKAyB53IIN4UzpH+cjH97nf9dvKnr/3vZw9/+Az+/qm7p
pSjGdz/+7ap7a/9yXb+8vg3/cf7if/7hr1/72/ZNXb40//pHv3wH//zvi6cv48svP2TtCHH7G/PW
L7dvg6nHP/4/LvP8l//dD//y9sd/uV+6t7/+9qpMO57/m5Cq/e3vH+2///U3euZK+ref///fPzzf
wF9/O6l2fGvfRK/+5UtvL8OI7zu/Y7oIeHbgITDmDpK03/4yvZ0/ccPf4d+hyYAcCIyRf2TTrerH
4q+/cfY7ZAwgqYVZKEwc4sH99pdBmT8+cn8H9AzlWNBSYV4amKPf/nFxvzyjfz6zv7SmuVayHQdc
zbvgHHkZOLTA+w2M3pnQFnyOvx5B4hHqGQYao5pZyI8MqndgwyxGHeOimGcdz2M3f+V4HjQzdqFl
LEoL+ZO5BZHwDia1BIPZMg+Zbboz9kOE/sUwjMOalXIZJYi2F+ee07UCR4vfB98rFk4R2N+bqL7w
6DilyBGbJtW01gkfef8WgDJq3nISBShCjV6KlmmvE3Ag1musxWSveAvQC9jWc0iHcrdcHuoZeKRc
6hVFCK3XYhsaHm6UXYc14VPHHpqGWB230sxeAuRQWcbL3H9dACU/cSbQ0FZDMDww8HDJhGMHSBLk
PHdj3ilSAqW71jFImqAQQ6DLDr8tiLMrGWE3inH+5utakcTlvTpwTWSZkELJJl1DGT5DyRVGI2Kg
AojzMgBOu50wuhxPntddRJFTHUKn68xlvYw03AZaFTvW180MRQPMHOz4QsV9vTJxkI5Z53jALF6V
BBVrLiv/jBMtsN3PpB69L8PAKOZQzaKOwToD2dIZpWbk+2Wnsy5SmTvRbkHLbulQ53YaX2FvqL12
wk57seLaPmjiA+BaiGURwMXkiAujfChFbIIQN9HxpfpRGY+fZm+uroTl7JvXGma2qFd6YxwqE/mp
Mk3UnxbRuAcqLS3xeI27ixq3TqFRNt8obtH5akEitKeV22Niayp8MAmhEnLdYpZKRyZy8ZyL6iIk
XH7Rbhc9+nR0vMzkDjsExvg8rmVEcC/1SJa48aLboCL1Iw44witj/XyGUm9l64zkbSSgGuN1UTr2
Vd9fVnPbX69jv4IqDrWdNJLKmpTj8IV7EnTuY0NrF8ffc0VWTxMCB+FpXWYYQoAckSDixfFzU6Zk
mNwH7hP7IjF8v6bDPE7lptZnvd7KckjoLJ4IUJtaIlLGBbimnh1nrXm8jmY+iYoAPyJa1q9xparx
FtM7+WkqMdGciIhDcqoNi2ZKKCoa+6b1a9AuBqUfxYVZoTREQlNdD4ANdEkYzO0AjFCneBKugNPF
I+052k9CkT4uyIAVPAJTApEO378MWxKUmav5eMVLq0jWzRPqI3p25FtB10IB89fZU0QGccD4q7sL
KCnr2IcwQJOqaumbg+Ks2w8qaPQGMz3QdopawcDg5djSi1fDTgtYhAAaZPQGTWKHx1OZIzxYJG88
gPUG56aRjtPuO0bmi4aVEw5xC9BSQjUo0O7HJgBTBayo/Xsu/j/yTyf5Ck099WP8U+909mJ3Y//2
Np5euvd/+f+li0LY+1+7qLu3/pt8+dU94Qt/d0/sd3gmSICc5Rvhb86x5n+6J8Q+GGrCwAJGL0IE
tP/wTv7vUBFCVRSKSWBNAD7in96J/g4GcQjegd3AhbMDOfD/wDuhLf5rJncuG6KZg7CFAyMG4dz3
sx8S0JUoEHAAfl/agywqktlaeQcSCPUC8gnzhfZTHS/lmVN+gSh4BFtc0LGHiEmeX8hJ8m85EgKA
TKGNUxdL8aUo13XjmZVfjCWk16CUFQRPbqmGbVfnbXGEGHF7HdGxvpjUIH9MApUhUktvH60jufQA
UrzF668v3bIE6FVO5hoSgONp9g2wqkD1Qb+1KLPJM15K54Bk0PYasj6i5KEcNU+70RH7ERpJXTzJ
fohXZ9Y3obdwoEG7dctIVX5TQWjioJDTnmE+DhM1zXgzLdN6nEcfqOCxoBdr4a6ZGtZm4/kwlmqY
TtDmvBbUzcQc3NZujlyXuncwmmFyhhjEIKc1Z7rz/CUKCxk7ys3m3OQxl+cmU0e/59DubCchM1mb
BJDIQ98EeutV4EBy4QKZXxwoq69ALTct6pZ4db8rhDddG7jiTRNNIoodMU1f2t4uF20bCly9Gd/C
qeNblGbB2LxSFteIE2JnmZZvblk4d9xA55Us/F6t7fSM0Wh2LpaR7eSCQLdglyUQTtvV7dubvFH0
tKqwe5haZ8kC3/i7QBF7L6DaCYB8J0yMXHA6FHryk7EazOPIZliWqajnTMC7X0WmeDUaWjBlA9ki
UN3Gdd6whIQMDIDBmL+awhbbRrPxhjGotbW1INsuB8y/A2k4ZE55StV4HQzjE7FQOS00S6aFIqqY
+R5N+RTsyenkFeYS2iaPooPJXmYnERXUXpm89Soms7mqTk5Ou0O4lA7aGCtgdrxEkcdbj6Odj5oA
pAVbWXf9t4IC/CiMqLK2sQ+WhkWPSQZTXBA9EGCINQBE8eD2EH1rfZUGVbiH/Kt5NEFZHd0inI55
iN2JxbTGg99odDIatnEstDVF2aelhKKd/k512MQmWs+UjxiUDPQhB6YsEUCgZHpWZNv7UxqOK7a3
yPODMkU2t7Y69dFk0GsNy9Qfwm1YMn4OjcJXFyHORmme03gogjC1rmuuFySH3BdbkN5HwHguW+ks
JPaW2kKjCxQ2Pckcbjd1scYM+Bq3XTmiOYWiMJX6QG301vfunsyhgdz0eHS9co5ntrixGEGrVNi5
y3pPbOw52bdTebTQyAFy08MLxwqbTbw6sk66B1tDZ20mzsbrgVpC84PtZcfY5aC6y8GG/GZGOBVX
gX4dSP8Q2EldIU+8aakjk3rskBBCLA97ztcsCMjLDOTexeADxt07JbLghYEUh4Pyns8ymWsfkXLg
LyHKzwqCqx3vX9aR+8e+CPm2WtDgtx4EDsdcXEHfdobSXPFM68bZ2tqdHg1AfRujtLkzFI2aEMIy
ZUHStmsPwTABPcN+lI3c97yQJ4CT+WPVrhRg5qtxiHQaLmfeiJAXKbRAX9sllxA4dtijNzc6NX0o
jxEkw5iEHszIyVOkpbNpe6A7nB5sBCuGzkepthDf3gVI8ocUyPngQkrZPfIFHr9U/WtdlDde65lr
OfC4iPiJMHePsP9RBRRgClHiTI7dXV7I7+0SvAQGtWJbd5eBBCjMr2vITql8V9SyPHgdiHeE8fs9
qSv7qEnTnABTJeAIIG1MVw29ibmuXpmNQBAoGiee5nr90ZcKKmusRuWn9sWxksGwNRX6HaAdcJa4
BAg76VxODmPn1puhnOe4RJUcOPFuQi2sXbf9EjpxMUEobi4iWMMIem2LXwTbZlkmTPYKP3Ma9m2d
uI/x+5wmHW/nrQCG9rgggDtGlhS3YIOiX6XiXpUGxeheWr/pr4ZcAkNf3eRUd21W15HcCL6eaiAW
8yhsWdy6fvHdJxWk8mxUPglPLpdBP/RvUdV4bzMe2wGwmBvXlojuwmn+5pUkfFm6Ssc9OBlwI2uQ
1gI8rVrsQZAFKn7tQT47FPVdE8jv4+gG4JbWLCWj2z6qcbW3HegSHoelWWPqgxmsB9hLCNreEGXP
RAllRIe4XP0nMoNSuY2AxEH6twTtQ95wlU7lSlgCM3BpdfU6FQ4A8hJCl5qAA9wpalHg3db0pSvk
0EEJiQ6PMixASd66eeHEkgm2mas6kDFttb5tVx8kLcNUk3A7LITvQzKTZ2a79gLhRxWmVdcG99wh
oRfLtjPPASF0h9yovR5BvrKPokpdUKWgmMlLlHephFBKzITtIaIxiClx854+dC2clJUUZgDi4/ab
ccIpjPPW5ju30t0jKlDePXfV2EFoqwA1wFC3frQbVU5etJHm1lLa3xEWtre0K4Y7hCJhDAkdP6l9
dDSHRpxVshhUVB0YLRV58xXwY+vJ6sEciqrutl6+Vg+Ku49KSxwx00CytJvZQa79/IL9KOCAfa3e
lhVCyHopzA+BP1rSWg7sIVhmYeNSUFhIMBJI2Ep2XbVbBbhYMg+tvaXGy3QIHjaoEctU5NFdWYJA
tHQudZ/fkiqAJ1Z5Ys45ionqB8gZ5D9kP/mbBaKWw7Bsa+97GLbgUAq2I7dpJddvDt3YPKjSopC8
jKsoX65krfKLsDKYViqnPXftS2jJ3MQNDAVYakj37RwuHjHRFF03YhhRPFjRqg8LcFfkRr1om5N0
EaY7H9+Tp802CvCOTmfR0mi0W7IK74G7UKVEGMFOTg1z7FSz2Jw5P0Cuu2bQxRpuLIYZH0BrgthN
jLO+KwNGs7Dk0XUh2uFF9sZDcxluJq+pzsxaIfsBucK+8HyFI4joT4xdvxmhZvjmg88VU+7rQ63N
hM1p+m3nGP4d9IdFhthrgAftG0wGI0gbtHv01Frfgecl2Mhc92k/+9tJrWYbFO63oHQekeqbtB+8
9lJFPd+JUsOqq3x+rnO5cxa9pXgvPdJeiFBtaX6GnEXtHK+UO48Sz7iPW+T8aNjV7ZsFs3TcrFOP
jzuxdXI5sbisS/FdD9VLABaiK9q4WdmB75exqr31OpR/OacF2n8Ofda9tceWWPUg/JpdTWYcdn69
tOngz27STTPfIoUuX20b5ZkdUD5YK8YeJlGf2Z9bHf5gTQ3JMOppf0s7hLMK8H+PN2AYrEH3Yq8W
cXAqA0qGZutNARJW7qM468usJEV9LVRfHFZFQeoBbpI4Qi3hCsplBnyaa9NlAcU8rytyk6Ea7+1b
Km/MugRfPFaAFHrVKPd4ailiaV31EIQ+ZGdVMxhQzxQL8F1gjmEk4wqavo7A72hKyq/TUu0YGbPA
ze9QYJLhqlksZh9vxbjqrSlDDNmiGZ7vy9pCcJwPA1AaxTGQbDz0QrJj3Qkd614uO4g9Nvu+78x+
NQH9okO3SSwCYdAOUhXViSd90Hg0egjjcJUyM0FfLwlyoyG2tZdfCDNUJcL7UkQgs8jdAxLzccj4
ylkeBzao8JZyguCMLgKyQ+dzLtXSfe1Bl5Z13riFwrV6msaa43wscmpSHHyROg60ghFFuUWCXXZT
yLrlxwYvWhubqodKEeJPlvWoC0wZnaaoAY1MRO6jniwrahyBQDFracO4BERw1w16BKpswMw+71bz
BYOe0CMKwb2QcL9fvDiQxrlvRUUpFgLBTryWNVhY6snJsXFO+OiOA1BHBdgf845hvMkXkDwdI1Hd
ziVrwESbBxvRrpiCXTigAotPGJ58QxOQHjFwpkuN4VyUFu7rCZgFn5XNFey/2JTgYs2GsXeytW7k
VU40NEKE17/QcsYLTcpK/aBkWF8qECLGo/Cnzaz0vUX5TmDwD/2utUWgwUdEc7R0aUJzzS5JsfPW
xb9oPPgkVvXNJe9ND7qNrr6nSANgmJDUwYHwpGG4AMiM86/YHbPXReWnBSqfiRqAJOq6wLvIB/Pc
gck0rc8MzkmE9vDOw4zl3jQ5TF7r+O3VYiTdQft5jFknomTsS4QqjNgDmuPBQY/+uq3BfpOGvSLH
iYQiIZO/bswQOsccni9r8p7t27LQu9LjJCtK3RKAYUzzNCydty+7cE1NOETwIO6SdkGz7PArOFSn
R9KyHabK/eJPdq1SJKy3jo6+NTi/MV1Ql7QT+IbGRmRk1HXioyaG5EsjLSpmCFo2I1+uilCwBFAu
AnYYQo4W1L/D3Vqw26nnh3AoPZCCuNdIGL6a6DubxZ6Ww9aaKdrLRiLGdSFs7Uy3ChlfbNkUHaKC
BTH4p+Qe56NKxnEan3Chz7ltvaQc1RcyyQhAn3J88Sv+NpXF0bbST9Z6it1m3UQhO80aRGhl3jXx
EBQYYsIbQZzOT7ihSBgi62VB2XxBryO4mLl5jAZCs8p0Io6a/NTXgUELtq4ve2jWwgLV4W4FNAec
nZATOjmFj4Y4fmorb34YF6XjPEQVVDkEh3gOckSHDOXvFnTciHqHtWQX3LRbCcH7I8rYYBmrNvPa
enf92pANydW6BafRs82L8AmGsNoBC/+VQ4FDJIp0IW5auuTRaZc166jytnj0Ks3pgNmUvLqfLDJE
mDaJ8CIakSsgoY8pIqRblaOHH7tg7a5ikIlghjFyyjLTjg0S4ag8dXO/3OKLOluj+U6CvnMJxZgW
ZORgwypNWtouv9YBireVDh6ZbCNouXh5uQe/uvlWWtdJPHf0QLWsWca6eSNQTY7BhUQug8BGtzRC
yyDp8/CkkRiFZjzJqqmhmwalY6alv9GL8Tdg1Mw8rw/jKdBdOjNkR2xYTvkSgFPYQ4Cpx8tIR6+l
CX0EP5hYgYJkNhN6ZFLTtPJ1lC6hfjAeueuJAh+e9jRc0PA8jv4E6InAefXwOHQEHVttwRKmuQhx
h3BIk7jMQVxxsN6yXkHN9+vKHZsEzAbQI0QCiuTFSUyD9oWWl5T0Yj8jXw46/A8ayq2HCD12F4yJ
orhCs1I0W+m7aedB8wFUKCECEKxuB/dFjqhyOgv9WnoaDNWTBF0qgwCoNXkSoa6U4ekxRMSoAYe2
GTGwoqtY1euNa9o77eq97mCSwKYRpaz0YIS5221cwS/gb+Oc5HcV/UboZLeQk1s2w9zLb7NAlQhl
rkNtg6/BYI8jwnXtAgo49XDGqnLv4CuGK1Ob7tAECmWKliLHmvgxz+m6D8AcRf1cJB7PN7YfMTMX
ZcuZKHiKwGddWXRVJlCXuaCv6kTb7gvU+xI9enbrOrV30/tcbmvI926iqVtSvxy+TJFnroaqddBt
CZ8iDqvSqnILlrQ1Kav8BIQoBc8XCtrLKmjMmuFhasoNiPkuVNN/78BtnDnKQ6aK+9ous1wP7aCf
GBAsN80Q3I+518RerRDHohG9bXloL2vUC5LVIzvD9bBHit5XcaCWFFTI6Plz4W8UtG1jgESWzDT0
JuplAFtK3G9I374BZAnSs6kB8V3NhpgOGA0+Q1YFSjAcYXTWVB3eJ1EAlmMdIGs1tLaLOdIJgXuO
rXD2LsbbMXDryCNtxBVa8zGLBHoofYPin5QiLYGdPXV1k6ceKx/mnF06gwDEvzccbx5KPJHtkdL7
C6Z9bFO8SqdqTdyXo/cimIwA82jvOjq/jAxjG+icAX8O5UDkbWsVyw49OrdEFaMf+z1II/u4a/MI
FQpyS319EDpCuunzKlFM7AQolrZORWVadohel1nvfKXONGjOswvHc8Wb8OQgsAY3WlqOrk4qpzpO
bfvF9G65A+2q3PheLy/csMGxMRkUEsZLmgO6dz4n7Y7NOOVFk0fbZYRWMXTiMt9EC0y/SRoXMoN4
0w/zAsiIVUgwDV7QGCHgjwJB2Vu4FK9QB/NjWy3okYmwx1gBhjmUEy5XWrOdDvFyIp6SWxB2k7SI
xlvPgvhzNYDV5d4IKAxaZ7J+YrTU+5U2DVoO6O/17oVDuhu/9bc9I/6PMEecLPNt1a3P/YRwAoLm
COIazpIVBQt0PmW/JT5/Gj0qvkaRBTYC/H2M1hedLV4DOMXYMOxbgJDsyW2w8XYQCdRaQT1o7Y2a
yyMdhw3v6j7uKw9Iq5mhZiCTrpjrVARtew9FnmI78/k4iCGE41imzbqwF135hyYfL9z8awDmypjN
8q1ulERXESeQWxQrxy5z+w4xuue149EzYGDsQ1Yd18K/mS0eVzT1WT4UCJ2aZpuP65oVQQdXW5Vo
JK5tRvON9Jt76Ud7t0LLT9XI+zA7i97mPC7I6Wm0sAe/YD9Aj+ReFIvLY114bEMKv78wRpGLcPjq
aPtE+IhpzpKlXq+/B7q1m24Ya8zJkS6ja9mkxdRh5pFP7Tf4WXB7eFUyMdbvqnZ+nlf0Q4txbtNe
v0FULHP9+RJF6Dio6lczzE+09Px49NHD85uC7cpelCc5FeuFq6l3vwoYd8I5Tgv/Qkz5oqhlu8ie
TLOane7Ea6Ua4JS0M1+AMW9OTTnXG9S/EbYMYL21F650jpOBM5mHJVkqDCmvnX/ZNP6pMEsWFdWK
3esKqDnTdUM933mW6DWEM0UzssuHHVuaZCZvg8oGnH89X4MWIJvcfkurH8v6aJxnq2gq4RvXqm7T
hlVviwe+565GADm25bW/DnVqwIwT+2NjUcIqvgxlTfaC+BAaXi8CWPN7sGuucctI/b0w1E+bljmH
gPbrDcqZLC3JqOLCgZTe2pH2gHA0v5jwZkFY9C4o88uR+NPWUi1PdYAWZjfMD1OOCN0rjoUQsP2G
kDQEb06MlsET5c3OrOWQqZUUIP0s6xO2f94Q4+1yA6Jd2Ln2vo9mWKrON0+GPHmR3dBlzhBW+bHD
AH33gQ9NF+72d7xBMW0K6UG4677Cm7hFSPLqE5nllTg6PU2Msd/bXF1yF4cS6dH3CH0YqrSN69o5
EgWhh0hgx9Yzc2uHAoefEZCpxqWrMLFbrOAoBGV2Lmu2WQNna+bcPRZQisuU2/Ev4P1EWBBOFicQ
/VTo/vSxgjLxSeQq3M350G2QTtUItLvhhlqQFkh0DHTM6xbVWx/jclCcehs8aN6iuuLO8ys4osQm
6Pj8XOFlRwJSJut0t2CQ2Jc4hJg0rLdGVnsXCqcjPK4nkMAGzwDYxHBHm8D45iCmYjmt6BRtOuti
bqKKRxkkzoKKCsriFPEvzru5NgHbLFF51xvgAvpWNF+HUR7LnKD2Nd2a0dMpyyd45X54aBE1yQVx
c99rmzRgLzrMFm2LNuxR7pfB61xzP/ERSizOANmIQHvH3oenQhGsP/IFcI7JLGj0ooCgA7wIkeZH
jcIsg9eTCkDKYPUdeMYWjebeaycv9le6gJLUBlDHRvmvO81r3wPdZVfUTSYYFYvqXJyL4YQC6Q/V
tX1Ccg3D6yLyy9bBHa5G6/hZXRASLxxuEsMyYreEmFJCsHYfGMJ2I2n0jhBXCkhRIu7hbjilczGd
B+tUdBq0BUuxKSO8161XwLKWILfToPx4CGb46clEUaIQTu0t+udNsmq/AIFiYNpT7ioYJvggkTl6
DLflgtTZ1RXIKwg0qkvU3r8RRytEdyHkjx0FhaEACDOo4ijnhStzQRpg2MJW7qOBFV+oN9LURjDz
dtZmYznA0Zg9z5N8xhKLa+9G+OU3PFyd2TYENicIrYAmQ+l8IfXgfC8Q24A4N6+LN6XPrLgGFbHQ
mC5ZsZGv3sCdi6IOnJceysFbqFpPTyqY58fqrERQK6Y2Y9XVh8JHcR8Med552pU9U0gBn1AS8rZl
j0DTwBBe5ZF8aNYxv5irqL0pBup/s86gewydRHPqRaRLF8OKx7FUXhVXpV0vW91UJyhaVBuMOWrA
ej15WiYDvGSwRv+HuTNZjhvJtu0PPZQB7minEYiOwZ4iReUERomZ6AFH38zvl70fewuqeveKoSiG
ZY3uoLIsLTPlAW/P2Wfvfa4GLQ+2oFMNUW3W+rIJaIU91rWfz8VbWNX3Zkz9INLBkhq44oeoSZxb
NkS3NTzqCSyYXj4R9qljF+fWN1FOeU9IHw4vI1K7qy43DXCmwLybILVgAuEN+pVXzubRSo35aUyI
R+yM7nlRjtssT60I75yMeDgrQ3vXZq670pza/TqYY/3eW03n53gkb8vAnjZDrc/bfk7MlSE7nsVh
xrM1Nx7N1C0PQqgGHztrukZtXx7LeA7eawF0AgZUhIYNjlib7Oq8eB8wC6a5niN9NTfPrWboXDda
OL93cQljIzaCHVCpPJbjS9Kk2psztgGZkd3uRa53D/iJhb47j9Tkijijx1tC+4HGq49N0Iw8YQQX
aTMsh6eaoGrl47rpiYuI8SoR3MdBP+x1YZhHI+yc9TRadIerneyHYgKu5oLSKxBDO66dvmypT6bp
Y02Gv/k/2DZbde6C3s5JT6ei3iuOwdxY4JpzuJFh6PqZFkZcMWb9T1He36JjfEq0+EAf/LfEjf+F
dAyYFCZcv88oGUdIKP0HxuB//0f/omUY/1goGdLDYEM6kPzgRfyTlgGfEDoBrocS73Sc+xZb+P/P
y5D/WMgS8p9sQtuyoWz8yhrEQnXx7MD1BqfGv8XLwH7uA3PVWeRcNArDAx9pHQqQU3/MDPfpfLZR
+Am9qh+tRM1XWteEh6pGRsoWSn0aa0UF5ZFwKnXKsk324ljqPSyzP/pJXokOLySdfNOiFAWBULXk
bL3kQoYNRmAoiWRJbLi/8VESzVsYj8N2cni+DfyF3JGYUKuGO8ziZ1xqg5fB6f3Q1otV0dBvy5Dx
PnInbT1UYj0tuJseGneiG+9zfYrXfb8A3Jpx49axwN7zqnSNK66R8KrWomd0EX8KWHOc2qG7Leiq
t9J4Jv2ga5wVRlwp/4Bc346C74Y37LlwbwsQ+NFJXyHFXJl9Hh5hG0i/zbuDoUDXei+9DqBZrjtb
PaKWy3dFknW+043Zfpiz27mpxCHQkH475TVl26Nj6uZNHFsPHbSQYg5ckAUIe7h1l9sqTe4Sbco2
pFTBBrrTfa5J7cp0R6oU0z7pNWtHM5diR4+8jZs2O6d0DDCTpqc6D3Al7Je2wX669ta1bChZQyNL
PAx+RymfwnC8xU587Znlo+5Nm6qjLWNFcDfXh3gc14WSBxR9170uN3RNuR4UEXBFMS3nhsoTcsJE
fclSAsyicp69Ji/WcSBf8HQu8Uenw72wjR1FlmeBmaU1Bdq+nUVxM5lmRldSbQNhjdhQ8mMGwvea
K92Zd2pqHT8t8KaPKuX6STMfiih4wsZ8VeTWvDLTWa5hDOKWLLuVZdabBAKOkzuYSXcZ4Gx60Lpw
T8VxX0H5jDN3G6cJWuqq9EMT8/UwbY6qCo+DCiCDJJKWIjVyJlbj1TDI/tPF8hkK6brmzheN82fs
Bg2AebCB8d+tKLDCn4idXZB0P3rTuE48XCCMZqJshquIytOdWQHVlCAzumhBJ+Zon1TIs3Q5vWX6
9AfcmR0QV7PFCfsavPtFa9L73O7uKsP206b/QvF1FZiZD39xY4iW4m3bbprE2MUqmVcxJSB/MN3v
VZbvRjc1t3YhiFmMgjL9EMerpCuvBkffB0b7OPbioEv7WpbjgdozqOxkaKu0A1ZUpkQwqVkvQYGl
z4yprtvZj4Zb8CFDea3FVbgp6mqfjlKtA73YTHMarmNRTKQRnp+3pL+JyDfKDJ9UkW5DVW6cKfg6
APYwFe13BH4rNUc/TKG9TEVRXckQz/je/DE7zlvdtEccin84OuRIys9fxPKEdXb8ZNXBYXSMa8lL
LAE+0qnai58v3bTQbeJdYht3daF2Tjo+eNpCRp286zIbn6MqeQgrJC+lfKpE+KB4MWNMz0MwFLE8
pZ5dfBGJxEI2NbZuNu1sfU7ozOx9lSWBFAQkswne5uUBnmX1UAPNqgDbFKX2c1KaoEoeoZa+N5J+
KZeTJany3WmzQ+K+iywkI2rKp8HQ8MenWNQuzzxqiX7rFlwSSyXVWmKAbKgL0ibzh+vU/QHzJbRJ
44vUw2OA4TlkaSa4Zk+JQnzhb9J12jmbqenWwyy+sUWDdZaK29wx801SQec1uHAqTbsy7G4bgFrc
VYlRHOza2tpl96UiQgHxuusNEsJ6bHZpCdDT6m3uB3SD2g2eDMmEo2dXo+VVHK+r1Psak+S7orzp
oYX6bh/v8+OQYtT+4hXPkfucu+O8nghClRERQg/yoY9bLv+5h+wEoksbYPi3u9YL/MadfpQTHVRM
yl7eVJnbuPGSfUPctjGor7QhvKAxvtUTsKzALDq8he2jtJ2bHBpySZFlLTm61I1nH6/eZ8sp7h2L
w0biyimhRL+agtYGypMHq+u+xY71SIMG/FlhoEn7Xpjd126JAgNJUheENbYblFjc3LyNJpms1dy/
N6VUOxnStU2WyUM39n/kSyw5NN6yfu5zPRQPnqIyOwUkebaVvw2UI1dmXj+Ulb7NZ9hZwuLKdab+
69Dxd40ZkkUVZUxO430fLMRvHQyAQS/uuQrGFXP91V7C2X6MXhqz+G6H9rVXVHjLiPswz165zg91
oB+y3qOfCMqUxOhe9Lrbi67RkarUB6ekC0dPMAgNSWwzRXrG2wFMZIPHVrIvyTHHK7uKv2u2Bv8m
6o3V7AwQhtqbSbg/sh4oph+gd3m1fCns3PEjO2s3QaLuxsHkZQK3NULvr8FwoQ6IvOOWp03oWNBy
IHHs/rqswj/GQX91k+xqNvNdXZKS8rjBMfGcH9DSj2Wn7mIJLXgucJlQ0LZWHjfDygmLr4WRVFs7
jO9jOb3kuvZnb0To+of2YE7GYzvZMSw/Zx94zsPgpDcmTLw8q97KmUd1pmjlAgYjcoDUBaGgbcYj
nJlFeOrQzRgGNM95s8lHiB2OvYk6aPBDTBedRIp3JxH3LOczF1d9naZqn0pYeH3gApio7tEZFE0/
NH3muHNlTDbgejf+OYbGUxsk5brVFuxd3fJ0pKtMUeueAn1TE8PnbUNNQ5TbWJseshouwNC41ZZG
G/f0druiYchDXKbomuYO+5ceQtRskrzFQ/idNpTZqve0O2mmPxrhXsFOCldTMSc3RDQplw1t/hCc
kNZYybqd4UBWw7QpozqmPVv5GKv81ZAV+lgv2/d9gS7BS9UG1cDGNXpQLsKutrsWWfaclc1fmif3
5VzRBgpWWV6OG612j71L98Bc5ZytQd+ZZt/7MjRKYNvOuInVN5skE/eadUzSOaX9obX02xSLgagd
Kt9r53HlGDPXQ7Md8mmbLZkqmC091CV9PdP5j9h2v08G0iQn7NxVZ+l3k4NDJqhsGbBOtpHwR5fQ
4oaEJUnfGmFGRzmNR/oURWvh9Y+SmuWqTfIdNia42E4N27mQ1zBCzbWpKbnylgx6LPN+V/zMqnPr
DU4tZqDxcJMVs77pbdCyVDa7HIrB2uwBpKuZ1hNufpiq4gf1JGNN/68buP2o3fKhXddtvLdlMWyN
lj4JiZV+0WL9WlA423GRdZugNykMjST6YQlwCzgHfxT0c1ubFKjcjAS6tczrKkdRMtEu2UxorNvX
NBwNwq/Dgh7MUyV3lDXx8gCVohCrh9gFZtyL4YKsRMDyOJXz3e66KcrbwhFvhqICBgSvts3U3nLP
HXvZX3OTT1yJ8Y3jFm8OuRy4oAl1boE04ol4q038Toe/pLWttqWlIp1WkhE2UQPPd5LmBgOHZxr9
PNpd/G2YpxuRx8h7kjenQ/9XOzA1wQj6jYioZlltI/3JiyFrV4pQIIAOoReL4CB0/lSyszfci1Qe
0ulu4MUFIVlKNtQOA33Rbt5pQqIXqeRDOy5oW6HfDvXCTZTt0R1bh3Zo2lM+jJSF2mMu5FVYwo8J
OvmuMH89OjgYzMp9bkx3U2vuX8Ns0uZuQYEytYXLtY1sBSPUyktQB8nR0pwNwLq5km4Ji7dIUauW
sNgaveTSmYZvUxuuO5O+EJE3XE+1Hqy4TOtVq3o/tqeFQRI8DhMyk6oDMPXq5C0du2vDaCj1LzDV
LIZb2+FHNPA81jJq5m0eFvtUpxaTVt0Duw8maiDe26p8DoLikEyUZHO5Ub1E2gkEhulZANhQfSlQ
n2zSSR4bMb1qDtUHTcItqcfpiwjqa5gWX6Dd3NEu6bEpuiN7OGdZhy/YuPwEa743wOKtTkE01MYr
mWT7yRqOZiQPIVa2q75FtI8L4mZKCKjAtu77DMYV9as/gWJvsBuLiAcyqjiJdxdabQ7K2VMVKlNa
xbMhJ1Bs9EmWj8EdpmRpsLc0714o79A24V+BjLqd5chNxquSaEaxChoY/FU+fE3dMNllIJudlm6s
2jvQSMq9ph92vqOFTXeVRvYttehsw+ytuIu2NPe5Qa+0J+yiIB0tCBi3jg4/Q8/ydk93k35ra/oC
/9P4cKVH1sL6GtZeGXf7qWuJxrlWr6ao1TdtAFdcUnibqfMHlQmdk3p+FXtvfUfg2mQtAa7X+I5j
XalOy2GDN9o2poRLmAK31IozelB5bNWmpaYl9XTrmvDv9GF6bTIF40S37iMTjHRqks3iUbzW0+ar
bHMoi/GLWxXHOHDlJiils1F2+iYVp9GE+792hnA71t7Af1UTBvbWqpZFvU00W0EFAMSt6uy+n2NE
oxF2bMZQxQ91lHxHbD8fzc66yi0ZrvuKK3GU2s4sw3oHPRkw0iYddUL9Vkb5fRRZb61VSwDqhDqB
SfG8Lrca+He5jDhYD45TrdLZvQX4J95q+UNgDtRatdHd8lUAApL4hbi/RfDnE8sriJ6nP+weCn8e
P3Ncf9D97S6C3kBDuZyuwVP97tHhaK3N0ZNd/Jhk9tWWdb6tZb41ia3JYKF9TWM6bFoty7dpOhs4
spdoqSMVbWxDTGxEGKgTUOc1FiJvRqSI4Qz+qzy2Mdtroqd2hoWKzHJezZnr22mm+/akkUB4FMcT
Y52bsa/s68nVXpOIqjKxQgaxrzCgdcfFlxk6K2kIGHztwARyVoYI11Cf3t1yM0/JOoA6EMhDYLb3
qsf8knKhEYTmPurTR1veefijruEOYCDvAIBOzUGp6QoS7pWtIw6DyQpzkCJzE9lHT4e+b4j6tQgj
UBP6vcINBZS0NUG/69l8aPXXcaiCg1DmtiDJnXN5sAu4RKZbfR17tA1BNb9UFF4SCaOC2zsYptuy
kfU2cCTsQGtdes7OK/LDWA4PGDRTs2jj27ksj3Gj3+iWvGkJwSK7eIY49SVX1hOU2hdjMPZNFLUr
y2ioB5kQvKYvwAgQ/L3m3qHwRGQiiILEkG0y8S0oW2PVNTOdHvPuNUlu86Z6rmkT54dLV0lhT+81
FsnQFs2tSQQWDEsaT8OQVHWwJixM94PZFmtLjeushjuhy+IKSjR0M3Ruq5BzvJKwqVuBc1zwQ4qv
AxdiP1c0wJ2iXR9mr8fc9m5Kld/0PWDxmJFc98FdVPfZAZPIq4Jx6nyiW54d/dk41bXSXRq8QlBT
ZNO6VV3DqFqbDqUIO36dc4i/95Z6Mz1nPbZp4Ttav20VMYmOaKNrqEcA6R7y9rapO2dlBeXj2HWU
6WK0rNYYPU3S0Y46lEu/pUHKtup7Yn0abU6O+aVM3WfZQFTO+RdWU10b+3ReQspNJst3axbhyinm
W2gKKHi6YdfVaq/bdBuB5GUE/d6umy9xVNbbYnqzEuvNqRznkI5/Jdl4SEAS8kK/q1Q331qzs6JY
+27wi76a1HV13X0tqrncd236XgZ8hdtP/e2EWBHeKMYUdjT41IbcVRsn9MLzdHq3eIGxdVIUI1ME
Wgf1WbNtcz2UnbYzwPnkWPDbSw6KV8TirzoaQqaMQMcUbbATEDRvesvVrqzGSY52K1EdGcAAAx0R
fTPQ5nXTWU8/wdS/hS3/W8T4A678KQL9vxBbpts2gm3Pc0F+IRzJn31v/r307//+V/ZWvP8q/Tv7
B/w35mwY9OXE5JObE/vg/5ECev+QBgp2T9hw4XGEQj74L8zZ1helumvZyPMMTK0FJiT/wpwt7x8u
QLGBjFlipLCI2P+GFvCjKQPmOzgimsv4Ds2lPOO3/mB1Whlxj1GUwAtx1XbdAGJgX1VJjTMoTQW2
v+Dx/xLK/yqMPzcc+DYzDLPYsLwTO4/WrjCE86LZT0izNqrkJe0XKmmt5wHAm7jkzLmYMPyPE8Q/
P2/xB6ClEbNlmSfjpQ1+lpXFU+Vo/GUYjPYGbRTSwmyky2ZDN0xMo6b24KGx2Hqku/vPv/dEZ/lz
eumEwufyC/C7O3FTSvMuNlwFD9WOlH2o9EpbF4l1yVT+pGqwjCJ0SvkYRukmctPTUepQGQIOtS/U
UPiJaErMEHFsyfX4UnfBMxNKfOWyZQgtCZSXf/6LtUatmsSVaoLNZbrtvvW0eZNbFY0rpzLbGzEv
juV5kFcHDdO9YCh3n8/niUfLzwXF6B0kw4KTwBFZJvyX8U0XPWNlAVFVMNnRbVGgfLT5SRKolcNG
eROpQUVtn1u5UskN/VLxL2CNO5wKtCp6Gu0BzlSamunzPJRRsg572JZ0/9PCe+QC03scdM4PXeXx
pb1onFsmgUIA211mD+7Wx9+eeHPU5RRGyUaUt7Ej/Oqrrg03XuJq9/lIz7pR126CIjBQhyT1ykb7
fWBzF/um1OB/elG8Fy7QuwZF9fD5xC5b5OSgCIn9BX3Tpa3Dufn428bYbQsVBLOvGeQEQ+WoXdg1
KFICvGxp0u1XMRTduhLjBRuVMzcCA1sGvgvonrmFPw5cIsuHuCBnn4Yp3dZpYdNX8Kf9oh/f9b75
5xPG43PemOO3JeDbFtsbfNzxnrRPPfOavBw8LR1NfPEGa1uIGkUNwfvKE8B4n8/ob0d/GYruKJZl
2S6tzU4OJSzhpjKa2fRLhdwvcOe7rq/yC9/z0TeI48AgAqU4/784Up22R54DhZ4gQj87tm2wmoy2
2iQm2QBcwrWjauzHZqfbfP5hv63YMubS/JCLQHfwBP64YprRNUlfJ5bfl8FwT1fT6qY3ISR5aU2x
vTCaL5+P91OM/mFvLgNaXG8e0ndcVU7OfJ526H9tBozzdAIILFKad4axb5hu7LdT+q2hA/Oxs6v2
KedQ7XMKVhvNKi71XT//Q9g8juSrcXdYdtcvlw8Zbw6hXTN9a9ZmzGab6gbmp0TOgAg0pyZJsZYe
02GTYYVrjZgqpUOBvQuP6udT8vuyUwvHPACgwbXo73lyWm2lVAR1xMLkLFcrO9aDXUkbU9eEBu3F
ulqlrQgvXb2/XRE2g+I9gEcB3q2uc7LuMOup7FC/9gUdmtepGyDEhasJ+ZlWkVmCrmswi124ULE9
F/pPPnIpW6a3lRG98OwgKfb9gI965MhbWVX1EShB+vj4tBc2zJnZoQm67XK+WSY6r35cpq4yCxsC
o+53XfZo25DBQxnkj5myv5VtDI5bZW50Yczf3kXboEW5jl0akyMot34c08QILaBBgY6dR1Ud+0bH
ccpCH1Vyq37Ro/FHie/oxnOrALFqmV+4a4wzawNxgJuGPSHpa3jyLNuijGhx7jK5euMwzfD6rVxh
GpzTPbrJZLeNM83YxG7qoYEoaT+emOVu0hFVkXVYG2tsxLZTUK/qgYc8LRWO7Zg10JEWgdTnm/fs
VDk2zVrgUmAovizfL6domkoFxDPrPiUCakSDVpM4g8nC8FV+WsaHKnTXeZP9Sah4yZf17DzRI4LY
U9DK8NR034m92Bgalqltm+4W2jyN2sepvlKQilahEVJc5SH8MlpKXvjq318eNsgvI5+cnoaykWgr
yH7dUKc0GiY864o+2Whkm5/P77ntzyMHfcQk7PytG0ZVYiBTzZ3uIzZqN1WtCCdGx92EhhHtLCHi
K1QK5oUdeG5Rfx305PPQfHpt4TBo7CJPM0zl7Iug+DHr5r0Njky5CAgUwa0DnVr93RCCs4cHm056
5VoOfkQfN1TXOQ0iCM57ieMANt1VfW0tXjhpgfNBoWMu+vkEn1tKC7KPTdTCwKckHYohdlZhcOab
OT2GnTRId0Fqf3cIWVefj3TmxeHTluzQ0HXB8T7JXzQ4ymXN848UNG/9OA3hnhY9VaGGMqA3zd26
glwKOaEv/FFDW5t4lLALPRIX5tgwmcSPjzC/xCFV1V3HcMjePk6yZeqUiSOhw4mH7YuW0FpDgHXX
RZFmG6dU7p3W9Qrjjc7c0GMqWErQsFSmJrqTKVQlYIvxqiRTPlyYomUKTn+YjR+pMIVJZHdqShpN
nRknELT83qLwHUFnqV31AL1IrOpghsUx5QMSm9jy0WAF66muaqoKXIGFIYcLodG5o2fTU5TggGCa
XgMfJ0lknY1/TG/4NGLrtwTbIQi0ivfJpDkPUe6Fd0GRNxc2ybmjx12MpyI4k6Qv9cdB7a6PkI0Z
hp8nWJdVOIHt7Xy60VpkZ5aexRt0+lTFa9zJjapNdxfmf1n40/l3SMjoN09AiJfQx+HdeCYlcTkN
YVnYB0F2eG3omr01B+xPNHi3G4sKONZb5GihM9RXrQzGW/61GcKlR11RKrXtVWYf7MZUlL7VpV5E
586rY0Gx4CiR3JxOUJ7a9RiFnQEJlPacmLjEWyzMx21jtd4FH/1zk+FC1aBzFmk/VfGPkyEc226y
FLOSwkitP3uaLa0zByPKCmrcdqrdS76hv79n8NpQi5g4DToW3Y8+jjdw+0+pTde/MYpgq1CyWet1
MR6CGiceURk3EHHWWWOEL5+v+u+3AeMukQEzikPsaXKDB40N3kmiak0ifkQhWa57DDkv7K3fdzaj
wNY0JZ3dCQRP7hxRaQoNnWUgxLWce1fZztqTXbqOMrM9BOkEB6CM8r2ygnd3dN0L1/zva7mMTqxP
YEdMdbqWXZ/kQ6kzt54WeUSttICIqKw9Z7D1sAZJ/l5TiyWXE7BPHeARgBwMRU/O8WBklocPhvDz
kmC6qiJvZSG2JsrOaSlrUWGam9jc//2FBHlckgkAud98KmUg6pxORMLXC3O4CYna/CbFp+rzUX4/
gVwNhk7SyNng1TzZph1lM5cKqvA9UoSNYZXQrBCxUutFZf2fDOUIXKaWeOD0xcT5LsYYhg+KVDL5
Rq763Tjrrd+Vfx/MZMGAoCxDctAFzikfD18TopIwswl9Au6X2yFLv0d9EFLFbgHAJsRt/8GX4SiG
SylkYylOTsNsB3PbWwXkhQR5TFORggovCdcC/dmFoc7EHQIOMstlk+hJeboX8QVKa2n1wh+LDi/z
oOw3EUwdfzTcaTUNOTol+vFhl1IqP/TwUbHVJNZtpOn5hdft4k85vVI1VXl5i+CrGfTO713lrrGN
pWlIq09rVytGvw0hBPI8xq8ugYKv8hFWbF1bFybl98cdlNwARKR3CZfR6V3b85RB90gNn66Gyd5N
MGsVd3NESXIxJ0CyCqXu8xU/dwPxsBs2/7O43k8+XQuNVrWAZj7G+PomTWyxaSS+YLqKnoIUudfn
w537QMrllkeX98WB8GQ/u1NKCSngUu+mOD5IfQw2eRYgMO2KByvVehKKOLqwvOceMGJowFBTJ54+
hf9QfcNADszlIZnwS0C5fyVwFNphAVs/UJzoVxQK9J1doTb5/GvPTq7tLK+LTqgml1/2SxpaRbIz
LZUIP1FQCEpI3pt8MArIqWW0YTEvnalzd+CiO6BxH11v5Cn6O7RjYg4asytxf93IvKNibRXR1nDY
259/mjyzkiQMRAQQ2gEk3JNvk4EuoELGnBn6bt6otoLMocUrWcfQiauoxnFXwRsrDl5mePDedO8a
Ac6z7iqNqAiPCnIc98EOB+zHeAJXkYEMZ7bUVs5jsh9EFuz0rLT9XsbPehDK/VJrfhbwD46xQs1k
tajQC/ygdkGJx0OTedQKGsAiDfOvQ5xEziEXc320Bhd6qwOzL5TGpb41Zybc0LkmSVZ008HJ/uMC
w80T6TyytaIhT31bieYBlKPcRFU4Xzg5J124fr7dv451Csilca6rMBIkIY3UrnNv6lAs4/kW53Z1
GGHc+t7c4OAvsfALIMhu0TUjrktSGM0N/i1JheEvPnj1uq97/C7wquJ39vb2841xZs/zMxEXSybF
wmj045Rg3FSnSpErDezTKzebv2Dfm760FM+43+f5Uquns+O5Oo8+qRn6mJPxcMWBCb8EcF7XBw/U
5dt9E3jWtu7wS6SxXHphHc4uOcikBezBV+rLP//lTGth4eKjrxl+UxvhTTJlcGIAlXFhwgPg86n8
efl+zHuoQ9kWfRQXpY6wTsI1zUwGLVlglrzO25c5CtBhR7PUHnF4o1ZfplF8n46Oc++1Ou1axt5H
IBbvZaB5t3FWqVdljKuoEn8mXWPc1KPXYNvXmHAAIjwN2CZt1MgrRZc1pHBlBDKm2o2X6rWvjV47
rEkxR1STOd4n6yBQg4WyNujFqtWKGZ+LSjkvaNPEvK6iwLrC6Gd00IrkLiKHuRnuRy+ur2jghmMd
zKLuqXJAS1Ygps5tSEy+EGOy6C7LRKav8MKz36xMjjh8W9LoEQeUWbUz0Ntb2wjDKRxgPAOqqYVD
NYRFJ22/eUGW/mX0ZUdtogvVrjJj76sWSferO7QD0ibR3TqFPb3mIofjzzVWb5XVlYI3vRVfc7Ke
DAMMCxNOGaiG3gta0v4xwMN/0ieL9txQODFjMzITyaOjvnlTDJm5I9ZbDXOwAQ+ChFoY41SsW1si
0svhzLyHVhdnK/D6QMdSyuSYNiQfOxQ80Dc/3yDn7mByI51ckBbIv5dmiCEwZmyAGqnIIMy3X6us
izeyqyD6I/FCXw9J9fMxz+1/xPAcN3x9dQb4uP9DfOrd3GJMib/ZAf4qTSuaaNo0I0LR/2AoCdIB
1xKs8Wdv3F+OmlVVgSv6FtCt4yoplN7s0KWVr/PM4nw+lHHuGiHKhggFV0Hn+z5+loh0eEaq1/3G
Sx1feq11pC8Sjiehd41ndnfX5iiioB7RKXsKjU0tJ28NZ9C6go1WrMMYH8sqk/NhmPH/CkTn7T7/
hefWGi+gpd3xgoJ4ywf8Mhmz24wCEYDuB2FeQtnGNgD0G0+rtsVrI0iH6z5xLgSHZxA5sdBGcFGE
V0C7gZPFHjoTH2Q8cvDpRNe6mrl7Npk51egDe/UjzxJs+ZRM0mfLxdsWEcUYPveJO75MUx48DRWk
0lWMzdy9MWJjeeHXCcknn1yPwgAqJLIjtqKy/HFKcpRUlTICxO1z3MH06+F7IdWqRyTIcnSP3WAY
rynZPJZgQsKL0CCX3UZSwpUH5otfCyiIGGUU+XUY24hPwsbUb5HyYivjOM23yLS8B0RPMeJuApXv
ldY4z6OKzfdOTrV94XPO7EBB/VGHIAMUIeXJZQ/VTTVFPoKxYfW2deLpj0Z15np0MW7xGkv8/f0k
BKUkFOSCPMo6wdSYZ9T8+czSNjpkcWesoPLrOKEEkX2PS+Li88mx/nwTn7k8QE8p6OKwBCJw2ue1
nt2+wq2ZbKOKQ/DassH7zINsDJv8wlAn/aV/xkvUyfDngcXhcIssu+eXAwMBlj4SMR8IJQZ7gQna
YeDydDgDjEepicB3yibYeMNMppm7R9QvxVarpgRDJtovfP7hZ2CmnxkdSR1MZgTAH39M0uBrF1gZ
gWLhVdwxiHiwC5qvVFxgo6kPBYIN2KeQ+GC4WrRi+nz433khNnsL035mAiaEJcXH8QcnsUQbAeBK
dDjvudHFT7M5W4jUhxRVpyUf0tYF2k4ReLr4hD6pWVGywnp3JSN7WOF5MkKbtsliGn26cPme2/kc
3590G+gMp1txpskrWhywLywjDEw8kxuzHneY+kVXWZhcbOW+7OyTawNGHAb5lDwWKfbJtYGGVeJK
BKYyNoHyqZcJyKxYTMZ63mDYtHCMwZFWTitRDwsfoZQJ3VGEF1635Tz/9jMouMBz4ucA7nxcEmGh
L0YqgAXwcsKxpxGreOjF/vOVP7PxJBkKrxrOIQ40mI+j2A5mmU02CN/KbOOhnARGgyHysqxvxy2c
r8LH96M+FLh4HLpqyC585LnhDQoGtBrwUPSdFo2pFEVZj1IGdyxQuWAeZ7/QS8dPgjzdmpht+h5+
mutFKaEiR/unU8G/peKc2/YLskRqJqneQSn7+PXYRTt63IHUxZCUV1mV2cdO7xdTOiPftr077Zeq
AHDk6G7cDI8hy0nwQApILZPBjjalyqDJxtajqwZ1YWqWbXa6/rwyPKug2wRSJxdw7PUz7H4p/MlB
lxLh+H9fE54cZENZKZUoFKZ5voQQnBuUKgoESLY/EPDJpTh2AiqUjeNqiKNaXae3sivmLeYX8T7r
Zuc4tZeKesufePqZhLnceeRnBjD3xyVITG9xeGdEb5AIbiHZbwV0en/I6+o6ciK5lBfxp0fWsJsn
rV+UKuOX1KvfsoVFrlm4nX1+JM5cNxL3P8BoyIUOqNfHX5TRlgVndiXgP8eYQzt2t9N69dyoGq/c
HNuvz4c78+aRDtNvwyYvBjI+IdKkIYCXxPDdjw0sExNlkSN1xJK2113qbWssf9bpZMPXBZbxABLh
a338NIvzloVeJn3Kx+0xthQ1k6hN1sNo4OvUI6wohwbbyloDrcZI5qDQD1y4zc9tMSIyeJtMMNSL
ZT5+eXfj0GqaQuc3zGhgOfclrrWz81wgiEHllmBImJTfP5/is0PCVPp/3J3LktvKkYZfheGN7Yih
zAvAy8KOEK/qq/qoW/Kcs2GgmzgASBAgcSEJTkzEvMasZ+XF7GY5u/Mm8yTzFdiQWCBEthpl6/go
wg63Ws4qVGVlZWX++afApXCg8nGvWd3xt/CxYeR2dnTr0bcRNyYAWQJV8wBQS0KHkQ31QKdHLbQu
WBYBFK13yFznVNsPNCeY1yco0rw5uVi51GhSR9a6Wk2S3bizotRivvY7w2ZLo7vRhJK/0Q4gHcST
Hgz9CQwaNegFhxtKoinhYoNOT69IzbntMXzc/IDPNXkfInfX0ULqewaU4IIG6UIl015OtjQTgWRV
m2275066EJhXPkBrsJ/AV0PAImfQUIVQ2wm6YXahAz0dcYHWjDalMPYsx5Pm0oR1eXs5t2BaXM79
8IL+Hd3+ct3xYBzSN3Sssnp4h5uL08tQdPxIMdAljcSQyHzJy6AvN7HHoxg4JqDF3aQBfCx0k0HU
pnn26ZGKtBD/DpBpG1wMeHB5JKsb0mIBrN5gVbXa122NXgVraydo2bd0SaPA9gpKyHOYn6JBQfKQ
qxHYLC1/v8+AKDuWFmkD6u82Q/jmx/TImo+69XoDGIX/AETp4fRnFi0ouDeITIjwofs5vdrW1+7M
C2Z057Dabn8D2ylVNStYIkJnd8Z0FmDO8FhI6+nUdfJMyb/KnaZt6fVgA0nhvNb8qWVBXqDXulfx
zKIfzjLGsC26ztDmyTmGcaLR3xI8pn9NUht19Di60mZ0ngMQv7xY4tjSu4xeZt6a2HTi2/3Tq1Lk
6OBQgsDvUtDDdS5v/swKrfk8jGBaqCZt0uKW4cX14NIOaIA0Wc/nl7G+W/fqvl0fAo5rnBldRCfy
Rw+wbFdrY/21dj4ODbWbF1s+jBxWJ6ETS4TNhVpgTWVTuBwTXaRebDF7aHW2yStOF716m6ggiRWS
hvJn2xuCXfrEZWBbJyhS61hU88I9wcMhes1QHY2rDZ4k1jmndxokqPZkhaaHEwjpOrX1oufajWTY
WcHJe3oz09zj0Xp2Ce7yRdQ95C273XGpdtgSV/RpRnFbp9QNcDqNEbtQz9odb3VDw5HZ5Wq7eiKj
1sCD0aH5gIJt7O4a4ApjmHCrtXE3DCmz9ZrUEGB3625Q67V4zoMPcjdXFtfF2GrRDcW3J5t+tbrS
znxFkWnoAtCjlAejpKXhk4OLOAmq7o6Oj5rIu29HNrw4w6anrS5X7VXQj61wjVsAEc/ppStyQQCp
CpAUEUKBmJM1ollN4jkE9iwdDTiu5liu3mICZmTb9p1BQEJ10HS1T/GChkK+D4Hj2oeF8PQcCiwU
xklvcykzgbaWi+XZZLsm8zaaQo+lEEDSYvl+2Wn/6GypgD89UvHX6l0MIYkwkeaTv5bIbnc7mzQ0
uMjXYG8hbCXCvP157m06o9bcj8YwRcX92iLh5d2qVvtbGrmdORdFgQ6e9gRTQHdomJ6cGwKX7zqG
qUUbUMwxvwCI06QJpt/prfXN5h3a14GKCQp+iISr135E+H7h6F3Qft3J5cKhq8uZJREbnDs7BAzR
uY6uARvKX7j+IrGrzpw3s+1voP2M2lR31P0qZYO0BPXwA3r6eg31Fx7bcEPM9cJtNqk+hVOtn3C3
ntmhAi8IjEGNC5k7hPkIXTk4BA4k69WoVtMG81knvtrVMVC7xK/e6NU1ZFN+/Qw4q0j1AKGIVBSl
ASn52+Fwvu3qumUtuI7JnNL4pDq/mNl0nIiJAZxZ6MKhSLOJbFuDQ577stBqJ96mEWgD+A0wIrqN
6dUhTd2uqudUTJjW/JaKEsFsKLHIB4vobdyE/BAHaiaYN2uUSA8bITwhZzRHKOrRMCIik4JearXc
YWrTcCKE9wVeKS+hhQCBoD6InznMk93aRbieYyUhqr6o0bVy3IFLpNetEmp2YtCWUBeL5rEwK5yZ
U0GwSMROqHoj290hqS5/ur0NwtVWXHAtskUAf0EO2s0lIYNGsBo16BX15EwSrRftvN3NhjIcwelq
j2cbeu6enkmRIhPPpxgDM8Pxyk1ET6j3CnxxrGZLiqsXq9kNL2o6fHqgRHx7rp9z54vOMWUovI9F
bI5+x/KXL5v6RF9tKS5a1u402nT1dG/7k1Xd0OaAUmLyDqK57kqfd4Z0C1vdbAK7O3K24fyTHWzs
M8eq8OOpzAEwkqYjchYdUhzd3fkhCriL4Ved0HojdFerwSps+yPdbsfumX0vuDtJA2HHRAGBeEnn
Ph4CdzdawQTIiw1G/A0ERuFyN+9Xff9HooOzQWSvV2fGLDrQKQC7TkQQdcod6Gqy9peQTzYHNeg7
Lxeut4FyHY6KtrM6d0un91L+qFHmhIXmtBIKzY3V1qDgrtKNCha9nT6sUXVEShi+UuwXPek9Kxy0
fGLU3XnUHcDV0ui78aIu+gBURwHculAAbKwhbYDbl3q0XF5ACLe47mgUQHZID40gG64OSMpD1UKj
tncbW096DWsD+YPm+uOVvrD73rZJK/Nqe/XepZRyZDteA6xK+1yQrcAxhnFTVF2LLOnRm2ynwYAX
a7smgMeFM2gQah40bLs1hheNDg9uRJiZZkEXQbyLzlizIpXFF6cUtUMSAvssaxBlS90O7f00gKWi
sd0StkerVRUETLMJr5Na7RVHRCOYXWuSIiQZnBtvvm61nYZGl1I7bCf9hrOFRs2nr6e+pB227zRb
707bo6KVPRwvdySby9pOt4FTU34UQ/WzDuhcVLWvAeNEF6G2md/GQROWZjpw3J4eWLyk8qorYmn8
B1pUwFXywtr6jDRZDQAG+OD5zx3d61zCfcOLYJdAA2Z15zcLtKnvrNrWaDPrnsN0FWWKKYAmbK/D
Fntcb10NgupizsthsJvFtE2d+M6PE9zwS9/tbi9s+KH7UdiI3i22tObYaFHjHdz6KwPKpuVl2wuu
u7FVJ9AftvubTeDerp25d2ZnCmcoqmx5KxH0Z5nkFZrRLSjWEhqw7DRQhK21N21uVzyU2no4XgkA
/LLd2fQmCaSfkKE1Rp2I3APF1bXrsNGi1yVMXjeb1bJ5W7NatFfB0b4/vYVFgEuNLsMsHxcMMMDc
3VIPq7QqYlSSK/TigDXW1Yb+ojF1ds1ktAmWOzhoV52/uta8NWpWCQO32i33fW1iB2du1SJlouCz
S+a/hjHM20E65NajrWDr0uo826Etm/cX1TndDHcT67IVt1rjeK39uMODHNFtk+zh6YUoMvmHw+cc
q4WtBwk9MUhFbUPt44QoBYUthM9gial9PD1UCjbMnxvqg1LbUKsBSJS1wlnPal3d9gFmzek7uWkk
i2FML7BBoOn+RUz1yger0wivYWXz8HNmydiqefYFDanm/a030T/wmpkuGrP7Ls/JS7Ca+kCvb9v/
il8IXNer6rekgBKj6raAzM9aE8h6mjRl2cyja3qf13+seW59WPfgm5r5bdEAY+6Pt901qJ2G5V1P
yI6OIEvojFbeonmtk4q+1OPGahS7jXjYqEMEdXo50vRafjk6RKkp9Af3cQR8ZS00rx6DleSyin+w
bYp9KdxrAwG2Jn1IAZrX62XcvmwsktUNPOrLETxGm6udQ4N4p6nt3vttOsyQXqLPx6rdHsSwtnyi
e3HjPU0SvXGzNfM45rPEpIdhY6iv2+cSK0WqQxFIXfhE3OR5OCCxqE29QSPkAR1onUGysOldUWvN
x6Q8gjNXi7AXR0tF7pgaaWCOFEnLmqNrzroTr8miJYs5NPKgXnrVWby4XRLJ77W3sTdIqNe9Ob1B
hd+HhagTAaSTeL4wA6qCRV2LydLobTceNdf64tNm0zbqwMXOPBGLRgJ2IfaUFn9Hb/j6os0DqspI
QQBhJZj1y0l33bibt5vnfILCkchzkwkFbAZwS15Iil1W1OlimGkNuLxoLDx4qdb1ybDR3lTP6Hfh
UK2mIJ0hUottk4farQjXAaRjzzQf+F1r5Y7aIS6QY3dWZ14KBepBjQ45VqohKA0TtOaHr8MF/TaD
gLZUgyC0oovIalpjvU6zLyCq1F7TiKSfVM+mugq+Tye3RJiHw0/ZTm4pu1podbxltzFobTrd4dLS
XNBY+pb+H91zod2iaCDJHTJ4YFZ4BndyljOEZIQeqmRSaGDsjZMWoEoH7MiwZtdaN1WnGQy31IOP
qtVg89PM9lY9uyO4CjrwWlOqEo6rrk8QuGsBZ4QqZMCtrY92q2rnuk0Pqg9+Y9YAGt30zWUjIjpB
x7ExeSNrTB/en06fqSLPADwMqTnSn1r3KDZTX9LNMkVaUHXkv3Oouegtq6F1HbgwqK8nS7zjeOb1
2iGUlzTUgFN5W5tfa5At9idLegLVNrNoECw2zZtw7cHL2m35n05PUehlzta0iGNxDAF18fLMeXdE
suqi0BZYeQKEWmtvafFo0xjn9CgF2nMwytFBhAR5tqn5nI7Yt6uXtg3nmAa/AI1DIQs8PVSBh4He
kHAWTBZobM7VcTdE2yLe80AeoOqy2vP1OISbHQwQrHZOqzH5AX929qHrNZcX4HEXZw5n0ZdS80Vy
lPQAgbCc7tbiBL1OIEGgqYfD59Kve6dFT9VNEI5Pf2jhSLjlcEaRb4NTSjYD9agJhkSgeGzf8u9h
RtyMg9gmcN5sbvZr+k0sYX8v/q/nSQyMyBh6kRMlP8RmkHwww9iNwowFS/z2zne86MF/3T86Lahi
piM/JEvzz7978mMvEjOwHN87JATDEh3s0OcppfM9JcE1+Kx4imit+QaOAp1kPVeE+MOeub5nPf+6
3niDc84fqn7TP/waxrKDFfraGpz+vP1inv43pz5gvzoX0z//Dp6UsktQe0OGEbUlOpD+YU0PlqDK
ChH74q1JAOHXuQZdTKjEI5duyjdogV5/Q71fl5oGqmzFH9b0YAnqrBCOMhUWz2rwq9MCwdBVagW0
1hsRQoclT/70xps0ltISuIH9n1/bAeBmKfntze4buKPqIIDlb6+233T5BZ+O55P+2R+1F53+F/yj
z7a0bzvuNLWijhkWGduv/YPMgBz//tl4pBaCgHHjM3th+k+FWd2P/sXM/kWysqmJO/hlZvIO/+/P
n3g8eOG0sr9855iBETwBnE4t/PNEb40F1rhnus7OPLTwwhP9Mo2jq+Czzp+SCiA3MiofnCcjkyWW
RbwHykoeupV7w10bUz/IhAnR7Ub2U+H99aJJj2MjMheGK81Z+IJl5/zO96ZxYISZJDFhjH/24+tn
fMsCB4YVSzOGO6u85DvDMxayWMFpeXolirTz8819rLPyjfztv3+eTXrgiKV8aVF1eGKA7X6Z9JkD
d+Lfht/ndPbZhqm0DSLy/OWDXnc6x4FpenmmV2HTywq+MbfOk5/JSdW8pUDN7w2c3sodViwwKxDU
Vm6cVWziLRyORJwp+/H1B+qjR7OuaeU+whJIxxU4d3npfdYXBHHl7cIMcqaRFMrJY8tkXmTD+rRz
fHw0DWlp8CLTznAnvmAv/zseYJCSpS/MX9/5ffuzZRuew2UobYiCo/Z2ZwaPhjOTBfM8LnuG3wYL
03Mkm4MPVlZqz/As15iaoZ3J2pvt7KfXH9mbxPAWhuQMCIe69IRtOgrKm6bAAvRommo62ezEEgiK
g7Jz7RuLR38q75lGbLKs3PvAqVwb3lxSBlHOUlYwF7QnC1WguHhZVuVK/Nf92w/ZHNM7qKZg5y68
qe+ZobzIxGWzgV6vwEjOS1VgHy6Npay+dZGMKrtxV0lgJbu8OSObVV70rU+PDfYvMCXNAP9VXva9
HxfLVqAYV8bOmNvHS6LgXF8bPvfyfs9SRRbp1bJbeGM8Gf7RERHlj6Ulc/Z8N6fLKt58N4Y7dday
QwZESsGMeewl+TMtUklll+LWXBpuJibdOlFFUFbqHY+9J9OtXITCeZdVQ1DhlJc/P3JVYHlQIJho
i7OkrFjeQ+qxy8u+dzzLWGI2MlFiuekllP34esP8YBtO/pUEG5oCwcbMOV5pSk1UiHY2st2nAlyB
2DiYC7cwb+agYCov/OPu0SxYDgEmK6vRnxwzIpCRCUpVQ4Wpex9Ggb+uQBEQxMvKnyrDyA/8KH4+
mYfDCf5/BR/yPOBV7Bmh7QQMmf1Pp2jQdso8UHb17peBEblJkb0BQKXC97lxplPXrAyNMDpcNCqK
TkrH9L3oNfy8ave2A07I8Fi1z/9zb0MPB4XyAWCYgvAK15WRGGxQ4Lj/9x//Gc7FT+MgIZLDDN4Z
j/7CyHZNMuLEAABPKAhjPDgLP6hem2EkWUWgEl3q8rOPfr1lvDd5FMwzdQ//NHAMGo1EfNUPsTc1
pAiQiPHTZr78oDDMT30W8MGY84x05OgkhI6UIirYvCsjhil/nk03vbtFpg6y1OzvXr9udyDRnOqT
7RjVMIwzeQdjKNj7e17aBZIV2KBrYxnZObdmvzRnL4HvF1gCX9WFQ4jKWNK2NdEf5Utbqb5IAond
/LsmZoq+/SDjlCVp0skMRYJGzkh9/ffPt+NefeBk/i3Gz9xHwmfSg1DBEXnLWz4IJKlnNXhP/3Eq
5/U2ximQ5yrK38tewiToLCeWXRgFbnPPD1nYNJr+zgx2puWvczEZ0TJNweSNIJYuOeK85cXGrkWg
W9pBUfledroDU4QSJeMvCAXKir0IzPw7oqVA4YZh5OcOh+D5KDvb/s4UN1QmSJgXUeZXVuzIOUo5
CWLp0mKNwDeLPFQBmCwtPDC8JzOTI1ZCoD7KSh07j2SBIjlmreKZPQY05oVmkk1RTPh81va8ZRub
wcLwZLEq1oE0pLy6gm6/7Or2Ax+omaS+kEOWl/suJs4QSItQFzyzZed7QUSHaE4mKL3NRcV3abmR
4cqzFci9slIvzSCnYEDlFYjlcXZjJKaUcEmbdpad8LURrXPaoCI1cu1Edpx3TaDxLL8U966/Nub5
KStY42sHux6ZHo9CR15nTYF5v463JlmoOJAfHyqCODe+O2VNsqVNT4iuIJlx43tGDq2gKzgiPP8j
ebKC8KysHt+akW0Gx3FfwbZVWrYfbAzZVqi4mu/8I8Mm+ObKzvaORFFs5d6hKtArH4jL5PwpqB/K
T1ic6HxKvSEINcquBE99rGbgeFLABR4sBaKXYG4yMeLEpaDn0hNeGzzoAumyg+s3G+f1gZX7jTmV
L4+GaBlaer4bJwJnkVdj+mSUl/1xHrDEknMJkYoCuXsI0xVpkakvPxtVpO4/4Vw9oXd9ihSyyab6
IWpMyq43FpkLyqTNSSYrFa3iVXMPXEa+VBttBatNGNms+D9zDKXTAneYaGNTdj32OXEytibgA3n2
oipMwWV15UPuIK02hPaQnytwbPfN5IueZhCrUwgo+BEOutKfXquiINo/Blq6z0VIUbi/e8hw/yST
IoLZBE5FoHqGLWxKpnepo6Tgid1PlrkYjopA+xjcBEDLwFlK8xXUXadV4fx79YJneyYlXQRRklha
aBgYppzTF3VApcUGxiqTks5Vxb116QfT3BKoMEdw1xtOJM1WNMkuuwTXJkFeGcxLl8nyct/jzmVS
0qUVDbbLTvYHivCCTEwqVVQulZV6b8RTp/I2MPJ3lOj0Ulp4kguV0se5vNRnqLSYc2W4cMgU58Ad
KupI/koKs9IDgpjNV6x4SlJUdlF+NMEzSFJVRHpv/QpK9/uwkncZYTzKBnu9lzsWD6rKffw4BYgB
glw6ijBHqTDLD7H3WHRni2JFWDAVuExvH+PKTRwa2Xqkh2gvXcEa/duH4f3ww6fh4N8rQnkIiFbu
8/oPTaCgT27VoURodenfpJ21Nt/P/4Bo4DeJjPewo0/iLXGoB7BJZj9+7Zh8v52gZJeXSOaInUoe
k8X1MFBHNUO4Ll/s1l/8J+o0zvwbqULwOxUhvf05X61C16f8Nj1/8guBOW8Ldz9V9dx1941yc2BO
wixHR/vbJNKQwF9Kr3Q4FY7f6d8mdP+uKyoDSuvYyi2BSEMbORiuKC8quRB7DHXBnGkcKvpCfVFs
UZT2bevxXpwE+X0LuzPEl40OVN+ic0SzdexmfdsYdzhudOrOjSJQQ5AUi34oov17TdQjy18Sf+FB
CF+o3eiMkVNEmhLAhQFJPUxGUChAvHrKsXvpQD1Czc5TQbkahHwcJhhX4OWj4TIE9CqGuzFDyEQj
YyEvItcpHGYdqEghT2k3dZrEK1jEG8OyA/MxkyS8BBoL0LUadYB3mB5wsFCpGOhzyVzlKzH2IgjR
OSX5freUsM0vuaMO9Pqf4Q5yLWomJV9BwWPurShYkIQeGcmDZXrh6e/5UQgGWxIrWm991ay8VC45
BPnFoiD+1wPATP1RNjtxylRAuvu2MT2UeXxhfvu6fjCX8aOLuSPcSi6s0hflJtIgCiLQA3PhP/GW
ZZjz4ynQQEr3zMCXgx/nXyPnQ2B9HwSwXD0kGtSU1cHPFcypS+h9XqNMstCfk1fNC3W9byzNyicz
mEqe18nL+YWSBzOHLHUkaXzryJv9du0cWslSeo+rKCMarqCk8LF7bmUc86SQbEpLgU0ZBk6UK7hT
kRUZRrbjL2VzrQIC/sCxH1PsKkvuHHmf3759Y1D5knEV1MllT8uY2m9py4598FfM9EgRKO8vP9f+
L/8TmZXp7y/WviPXUtVVXF5XppdIS1HwMPv2tbh2HvNeAU2gyi8GlRN+ZEuXC0kxBXKdx9wqiDYh
ZdXshsISywihgslkpSE1FdcImCxa+UpGGCbRbJivhWjOX0+iRGYj2eC64FotvxJuTqiCU3zDRfqU
xwkpsL03BgVCEY0gs+9Od01wipZfBiE5/6Kuq7jmbvydsL/Qr2TT3M9agRrfOrj4klQVV0YqVb4v
oDrNhnm9Bu/v42rPCUMjzsSla3EcDPl2w/bhl7/FXp55UQU69gMvE5lQiIYT2fRfvxr3ZvJkm66b
SwGpwN0+x52OYpBQUKuYN2gTGUpGK3kFcgVXkVG5NuGMyKQJ5WiIdvJlj/c9OLV8fE9Fhvs+ziWN
qZYqP9sHiFczKekSNBVc0Pe//JdfefAXv/wtrWC5C375b+/JkeO0DdE8puxakw5zcqG8hmiSXlqu
4e3yBjrtk1xW8Ed6/OUOuAq8M3GCOfVBlZERyrupAjsME6GT8+lpR19+kYfEYcjESC5BQ8UF+9PR
G4TmOeXn+5OzeDQeN7LFUAFa2NvQ4/OtAjzcoxr9AWdOgsYQry+/HG8fE5kriaYVonNCl742oN8w
1OffU98vDvuZdK1sMPbwE8QNTbHq4V8NSYN8LhmVxsp+k/3lKejY2yB+lN9nCvaPmcFNmVronhE8
cr1kQtOLIPvh9W4H8dvYceUIrgrmDzFbGEZlz1yBiyviF4D0YNaURKuA4/SNBORJEXJDRQlGP6cd
Kh5rA5pfebn8vwormsktjk6qoA2CPzNPy6kCGAP/7BRWy1h2Y1Q8J94B25NuQXoqlj99l+hxbv/S
Ni1lXRhKGsStnX9jqohfC4B5KFxzKVRbVxGyvqP4MvIF57HsIKkAfu0JUK+cKApTa3prrh3Zgqjg
mNmPch0/yc/lhgqc+QNVKs7UmKbTf/AfScVnCpjeBSqKzR/wUffr00cv/bDIGNJ1Kxv39dfOfqE+
OdQGw0uLv53mo/ZW4YjjSkWErycCRaFd+eQEllNo5EG0lf+uj/cnR1DwbutRcpcLL9PAp/zM+yAu
oLXLBKUqpSJ6dG/IXlFDNAAva99gLIsqQ2A6PE7k6B8dpxSIT9mScWEi+5e/ueYiyUSKVaEjTPZj
Cf0XH3BjMIIMocU1V5H12h+v/S1Q+cMorcH/YzZr8RFNgDpn3xdFPvIJz1klGXkKtsq87lM4wfgL
tuifAYNRhCxTUccIHO5n350/2+vDnW5RR9Wlc1SrRVVSpwM67mxA//vt+x4I9xvc98ASJk9OZZ7k
Z3thLr4HW2iuOF9FmUovMHZyOEJFyFGcYykyoyIh2PddP5/OVsFPOHziLSF3yFBBxD/i4fNkCyxC
LrGtIpA0Mty5KJsoctvaCrw2OoTnZl0/iR98oRLfk2uDYlJSjbRbX1k3QbC9Ej6Rru96R4GDcGcG
8aGRpVlj9uPrfYKPQZyfLB2oy8v9RD3wjmYPcujofG77+10DRcjl3+ClsO9hQXWNsfClzVHhYfZg
HMqHC1U4rsLc+oUPKBUU5n1fvDr/cGXSU8mz/lhkyFS8BtPqAVHYJLgfMGlF46jgR+n7fuaTScEG
FSQpI2fmZMZBuPQq6LFHcECIMsSsf0tal+88Bce8/R0FuvR8F0Jykhz1BTjZyuWF98qz/DR1IzZb
3Iyfy2ZEWwaZAFzFxUAAUiKMOC65OHiwvPAz3pnwfTxraPoNN08DggBu9neSZlFakynF62+iK/hb
H3laZ5KEetVV5IL7dkDdJbH758+RB1Aw81tzU+kbbgHZgwoGjFsnB9pRgfT8ZHhAVGV3QkWM5BZw
lCxVxZkVC/yTCfYsx7fWURANv3OiJ2JbhZcLBT+Zsrxer++MJck08QnHWOC6GnZiNw9lUqDUXFIh
rMHFXQtUdNfbh4vemS5JmX+pvA0JyoZAp/aRZnFiSYvBvN2PPVvyU6jDKr8pD/4c31TS1IYKV+KB
4gZ5tir6oDzEEDDlJqtAM//K9jr7yPsojqCoz9ZVmF7KwrIfX6/7R05mQ0Wte180pRBZm+zQZhMV
89YJMrbbcEfrMOLUqBNUQYn2TJpwn/aXo42d5weV9zEc+/iLhW5cW/Ca16hW7xAFEz2Bzz6Ev+PD
p6CYsuzD5/BrhPqcBj8c/uvhIS5CYXS3qJLzH/uVe3j1N7MDjU2f7JF0NlU0jfkQh3mAnIrk8sMv
/wviLDEPjyR1utmPXzMlRRrwj4n6F5Xc/mP1oujbVRPNF9X6/ga/sqDQ+Ff2lWc2+9lOPrk8v/7y
/wAAAP//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image" Target="../media/image3.emf"/><Relationship Id="rId4" Type="http://schemas.openxmlformats.org/officeDocument/2006/relationships/chart" Target="../charts/chart3.xml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122465</xdr:rowOff>
    </xdr:from>
    <xdr:to>
      <xdr:col>5</xdr:col>
      <xdr:colOff>590550</xdr:colOff>
      <xdr:row>5</xdr:row>
      <xdr:rowOff>27215</xdr:rowOff>
    </xdr:to>
    <xdr:sp macro="" textlink="'Análisis de datos'!B5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59394CF-6EE1-E8B0-EBF9-C007060F38BB}"/>
            </a:ext>
          </a:extLst>
        </xdr:cNvPr>
        <xdr:cNvSpPr/>
      </xdr:nvSpPr>
      <xdr:spPr>
        <a:xfrm>
          <a:off x="2457450" y="122465"/>
          <a:ext cx="1943100" cy="8572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7F61921-111C-4096-B811-F6DABCC6B72A}" type="TxLink">
            <a:rPr lang="en-US" sz="16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pPr algn="ctr"/>
            <a:t>21,513</a:t>
          </a:fld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133350</xdr:colOff>
      <xdr:row>0</xdr:row>
      <xdr:rowOff>122465</xdr:rowOff>
    </xdr:from>
    <xdr:to>
      <xdr:col>8</xdr:col>
      <xdr:colOff>552450</xdr:colOff>
      <xdr:row>5</xdr:row>
      <xdr:rowOff>27215</xdr:rowOff>
    </xdr:to>
    <xdr:sp macro="" textlink="'Análisis de datos'!F10:G10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4BA6245-17B6-4852-8C8E-3B0DA743B71D}"/>
            </a:ext>
          </a:extLst>
        </xdr:cNvPr>
        <xdr:cNvSpPr/>
      </xdr:nvSpPr>
      <xdr:spPr>
        <a:xfrm>
          <a:off x="4705350" y="122465"/>
          <a:ext cx="1943100" cy="8572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E3D3132C-66B0-4574-9D12-3058E97BB639}" type="TxLink">
            <a:rPr lang="en-US" sz="16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pPr algn="l"/>
            <a:t>Renault</a:t>
          </a:fld>
          <a:endParaRPr lang="es-MX" sz="16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9</xdr:col>
      <xdr:colOff>104775</xdr:colOff>
      <xdr:row>0</xdr:row>
      <xdr:rowOff>122465</xdr:rowOff>
    </xdr:from>
    <xdr:to>
      <xdr:col>11</xdr:col>
      <xdr:colOff>523875</xdr:colOff>
      <xdr:row>5</xdr:row>
      <xdr:rowOff>27215</xdr:rowOff>
    </xdr:to>
    <xdr:sp macro="" textlink="'Análisis de datos'!D5">
      <xdr:nvSpPr>
        <xdr:cNvPr id="4" name="Rectángulo: esquinas redondeadas 3">
          <a:extLst>
            <a:ext uri="{FF2B5EF4-FFF2-40B4-BE49-F238E27FC236}">
              <a16:creationId xmlns:a16="http://schemas.microsoft.com/office/drawing/2014/main" id="{6370694F-6253-4ED7-8921-B43A1E712E0B}"/>
            </a:ext>
          </a:extLst>
        </xdr:cNvPr>
        <xdr:cNvSpPr/>
      </xdr:nvSpPr>
      <xdr:spPr>
        <a:xfrm>
          <a:off x="6962775" y="122465"/>
          <a:ext cx="1943100" cy="8572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4ADFCDB-875B-460D-B71A-9AC0B0E04156}" type="TxLink">
            <a:rPr lang="en-US" sz="16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796.510 €</a:t>
          </a:fld>
          <a:endParaRPr lang="es-MX" sz="1600" b="1" i="0" u="none" strike="noStrike">
            <a:solidFill>
              <a:schemeClr val="tx1">
                <a:lumMod val="85000"/>
                <a:lumOff val="1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200024</xdr:colOff>
      <xdr:row>0</xdr:row>
      <xdr:rowOff>141515</xdr:rowOff>
    </xdr:from>
    <xdr:to>
      <xdr:col>4</xdr:col>
      <xdr:colOff>723899</xdr:colOff>
      <xdr:row>1</xdr:row>
      <xdr:rowOff>160565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D2CE9FB-CFEE-E525-450F-38E65FD20C33}"/>
            </a:ext>
          </a:extLst>
        </xdr:cNvPr>
        <xdr:cNvSpPr txBox="1"/>
      </xdr:nvSpPr>
      <xdr:spPr>
        <a:xfrm>
          <a:off x="2486024" y="141515"/>
          <a:ext cx="12858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Unidades vendidas</a:t>
          </a:r>
        </a:p>
      </xdr:txBody>
    </xdr:sp>
    <xdr:clientData/>
  </xdr:twoCellAnchor>
  <xdr:twoCellAnchor>
    <xdr:from>
      <xdr:col>6</xdr:col>
      <xdr:colOff>171449</xdr:colOff>
      <xdr:row>0</xdr:row>
      <xdr:rowOff>131990</xdr:rowOff>
    </xdr:from>
    <xdr:to>
      <xdr:col>8</xdr:col>
      <xdr:colOff>314325</xdr:colOff>
      <xdr:row>1</xdr:row>
      <xdr:rowOff>141515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42EADC1-B096-465E-9DCA-18C51FB6D85E}"/>
            </a:ext>
          </a:extLst>
        </xdr:cNvPr>
        <xdr:cNvSpPr txBox="1"/>
      </xdr:nvSpPr>
      <xdr:spPr>
        <a:xfrm>
          <a:off x="4743449" y="131990"/>
          <a:ext cx="166687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Marca más Vendida (M$)</a:t>
          </a:r>
        </a:p>
      </xdr:txBody>
    </xdr:sp>
    <xdr:clientData/>
  </xdr:twoCellAnchor>
  <xdr:twoCellAnchor>
    <xdr:from>
      <xdr:col>9</xdr:col>
      <xdr:colOff>180974</xdr:colOff>
      <xdr:row>0</xdr:row>
      <xdr:rowOff>131990</xdr:rowOff>
    </xdr:from>
    <xdr:to>
      <xdr:col>10</xdr:col>
      <xdr:colOff>704849</xdr:colOff>
      <xdr:row>1</xdr:row>
      <xdr:rowOff>151040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3A36EF5-8907-4722-9F50-4AA3D126644E}"/>
            </a:ext>
          </a:extLst>
        </xdr:cNvPr>
        <xdr:cNvSpPr txBox="1"/>
      </xdr:nvSpPr>
      <xdr:spPr>
        <a:xfrm>
          <a:off x="7038974" y="131990"/>
          <a:ext cx="12858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Ventas</a:t>
          </a:r>
          <a:r>
            <a:rPr lang="es-MX" sz="1050" baseline="0">
              <a:solidFill>
                <a:schemeClr val="tx1">
                  <a:lumMod val="65000"/>
                  <a:lumOff val="35000"/>
                </a:schemeClr>
              </a:solidFill>
            </a:rPr>
            <a:t> Totales (M$)</a:t>
          </a:r>
          <a:endParaRPr lang="es-MX" sz="105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200024</xdr:colOff>
      <xdr:row>2</xdr:row>
      <xdr:rowOff>8165</xdr:rowOff>
    </xdr:from>
    <xdr:to>
      <xdr:col>8</xdr:col>
      <xdr:colOff>542925</xdr:colOff>
      <xdr:row>3</xdr:row>
      <xdr:rowOff>160565</xdr:rowOff>
    </xdr:to>
    <xdr:sp macro="" textlink="'Análisis de datos'!G10">
      <xdr:nvSpPr>
        <xdr:cNvPr id="8" name="Rectángulo: esquinas redondeadas 7">
          <a:extLst>
            <a:ext uri="{FF2B5EF4-FFF2-40B4-BE49-F238E27FC236}">
              <a16:creationId xmlns:a16="http://schemas.microsoft.com/office/drawing/2014/main" id="{52D7915F-AAC3-4B95-991A-45187F972F53}"/>
            </a:ext>
          </a:extLst>
        </xdr:cNvPr>
        <xdr:cNvSpPr/>
      </xdr:nvSpPr>
      <xdr:spPr>
        <a:xfrm>
          <a:off x="5534024" y="389165"/>
          <a:ext cx="1104901" cy="3429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C7849F0-E196-4598-864A-B34D6B63CBDA}" type="TxLink">
            <a:rPr lang="en-US" sz="16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pPr algn="ctr"/>
            <a:t>161.384 €</a:t>
          </a:fld>
          <a:endParaRPr lang="es-MX" sz="40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11</xdr:col>
      <xdr:colOff>707571</xdr:colOff>
      <xdr:row>0</xdr:row>
      <xdr:rowOff>100693</xdr:rowOff>
    </xdr:from>
    <xdr:to>
      <xdr:col>14</xdr:col>
      <xdr:colOff>574221</xdr:colOff>
      <xdr:row>14</xdr:row>
      <xdr:rowOff>108857</xdr:rowOff>
    </xdr:to>
    <xdr:sp macro="" textlink="'Análisis de datos'!B5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ED81B40B-6CCB-4E04-84DC-25B2A3F8DCBA}"/>
            </a:ext>
          </a:extLst>
        </xdr:cNvPr>
        <xdr:cNvSpPr/>
      </xdr:nvSpPr>
      <xdr:spPr>
        <a:xfrm>
          <a:off x="9089571" y="100693"/>
          <a:ext cx="2152650" cy="267516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122464</xdr:colOff>
      <xdr:row>5</xdr:row>
      <xdr:rowOff>117022</xdr:rowOff>
    </xdr:from>
    <xdr:to>
      <xdr:col>11</xdr:col>
      <xdr:colOff>598714</xdr:colOff>
      <xdr:row>21</xdr:row>
      <xdr:rowOff>163286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D407D7CA-9FFB-43E2-8BCE-A863FBD1E426}"/>
            </a:ext>
          </a:extLst>
        </xdr:cNvPr>
        <xdr:cNvSpPr/>
      </xdr:nvSpPr>
      <xdr:spPr>
        <a:xfrm>
          <a:off x="4694464" y="1069522"/>
          <a:ext cx="4286250" cy="309426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310241</xdr:colOff>
      <xdr:row>5</xdr:row>
      <xdr:rowOff>189141</xdr:rowOff>
    </xdr:from>
    <xdr:to>
      <xdr:col>9</xdr:col>
      <xdr:colOff>748392</xdr:colOff>
      <xdr:row>7</xdr:row>
      <xdr:rowOff>27215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85B59F32-BC21-4F99-A7C1-E65748127C7A}"/>
            </a:ext>
          </a:extLst>
        </xdr:cNvPr>
        <xdr:cNvSpPr txBox="1"/>
      </xdr:nvSpPr>
      <xdr:spPr>
        <a:xfrm>
          <a:off x="4882241" y="1141641"/>
          <a:ext cx="2724151" cy="219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Relación entre unidades y ventas mensuales</a:t>
          </a:r>
        </a:p>
      </xdr:txBody>
    </xdr:sp>
    <xdr:clientData/>
  </xdr:twoCellAnchor>
  <xdr:twoCellAnchor>
    <xdr:from>
      <xdr:col>3</xdr:col>
      <xdr:colOff>127907</xdr:colOff>
      <xdr:row>5</xdr:row>
      <xdr:rowOff>108857</xdr:rowOff>
    </xdr:from>
    <xdr:to>
      <xdr:col>6</xdr:col>
      <xdr:colOff>40821</xdr:colOff>
      <xdr:row>21</xdr:row>
      <xdr:rowOff>138794</xdr:rowOff>
    </xdr:to>
    <xdr:sp macro="" textlink="'Análisis de datos'!Z23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178EFDFC-C958-4B6B-9E0C-98487892B184}"/>
            </a:ext>
          </a:extLst>
        </xdr:cNvPr>
        <xdr:cNvSpPr/>
      </xdr:nvSpPr>
      <xdr:spPr>
        <a:xfrm>
          <a:off x="2413907" y="1061357"/>
          <a:ext cx="2198914" cy="307793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7F61921-111C-4096-B811-F6DABCC6B72A}" type="TxLink">
            <a:rPr lang="en-US" sz="16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3</xdr:col>
      <xdr:colOff>176892</xdr:colOff>
      <xdr:row>6</xdr:row>
      <xdr:rowOff>123826</xdr:rowOff>
    </xdr:from>
    <xdr:to>
      <xdr:col>5</xdr:col>
      <xdr:colOff>435430</xdr:colOff>
      <xdr:row>7</xdr:row>
      <xdr:rowOff>149679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413905D9-6648-4A29-A9F2-984BC4249136}"/>
            </a:ext>
          </a:extLst>
        </xdr:cNvPr>
        <xdr:cNvSpPr txBox="1"/>
      </xdr:nvSpPr>
      <xdr:spPr>
        <a:xfrm>
          <a:off x="2462892" y="1266826"/>
          <a:ext cx="1782538" cy="216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Ingresos por país</a:t>
          </a:r>
        </a:p>
      </xdr:txBody>
    </xdr:sp>
    <xdr:clientData/>
  </xdr:twoCellAnchor>
  <xdr:twoCellAnchor>
    <xdr:from>
      <xdr:col>3</xdr:col>
      <xdr:colOff>108857</xdr:colOff>
      <xdr:row>22</xdr:row>
      <xdr:rowOff>40822</xdr:rowOff>
    </xdr:from>
    <xdr:to>
      <xdr:col>5</xdr:col>
      <xdr:colOff>734782</xdr:colOff>
      <xdr:row>28</xdr:row>
      <xdr:rowOff>149679</xdr:rowOff>
    </xdr:to>
    <xdr:sp macro="" textlink="'Análisis de datos'!G13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27A2CDF5-8B33-4115-8AA5-E12B79450A28}"/>
            </a:ext>
          </a:extLst>
        </xdr:cNvPr>
        <xdr:cNvSpPr/>
      </xdr:nvSpPr>
      <xdr:spPr>
        <a:xfrm>
          <a:off x="2394857" y="4231822"/>
          <a:ext cx="2149925" cy="12518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3</xdr:col>
      <xdr:colOff>370112</xdr:colOff>
      <xdr:row>22</xdr:row>
      <xdr:rowOff>4084</xdr:rowOff>
    </xdr:from>
    <xdr:to>
      <xdr:col>5</xdr:col>
      <xdr:colOff>530677</xdr:colOff>
      <xdr:row>23</xdr:row>
      <xdr:rowOff>81644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3913C002-6DD7-474D-8F7C-0230709940F3}"/>
            </a:ext>
          </a:extLst>
        </xdr:cNvPr>
        <xdr:cNvSpPr txBox="1"/>
      </xdr:nvSpPr>
      <xdr:spPr>
        <a:xfrm>
          <a:off x="2656112" y="4195084"/>
          <a:ext cx="1684565" cy="268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Top 3 de auto más vendido</a:t>
          </a:r>
        </a:p>
      </xdr:txBody>
    </xdr:sp>
    <xdr:clientData/>
  </xdr:twoCellAnchor>
  <xdr:twoCellAnchor>
    <xdr:from>
      <xdr:col>6</xdr:col>
      <xdr:colOff>57148</xdr:colOff>
      <xdr:row>22</xdr:row>
      <xdr:rowOff>29937</xdr:rowOff>
    </xdr:from>
    <xdr:to>
      <xdr:col>8</xdr:col>
      <xdr:colOff>683073</xdr:colOff>
      <xdr:row>28</xdr:row>
      <xdr:rowOff>138794</xdr:rowOff>
    </xdr:to>
    <xdr:sp macro="" textlink="'Análisis de datos'!G13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9819A9A5-67F1-4FB2-B023-F66EA6F34E60}"/>
            </a:ext>
          </a:extLst>
        </xdr:cNvPr>
        <xdr:cNvSpPr/>
      </xdr:nvSpPr>
      <xdr:spPr>
        <a:xfrm>
          <a:off x="4629148" y="4220937"/>
          <a:ext cx="2149925" cy="12518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236760</xdr:colOff>
      <xdr:row>21</xdr:row>
      <xdr:rowOff>183699</xdr:rowOff>
    </xdr:from>
    <xdr:to>
      <xdr:col>8</xdr:col>
      <xdr:colOff>557889</xdr:colOff>
      <xdr:row>23</xdr:row>
      <xdr:rowOff>68037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AB422666-6BA4-4C34-9744-B4E426ECAED3}"/>
            </a:ext>
          </a:extLst>
        </xdr:cNvPr>
        <xdr:cNvSpPr txBox="1"/>
      </xdr:nvSpPr>
      <xdr:spPr>
        <a:xfrm>
          <a:off x="4808760" y="4184199"/>
          <a:ext cx="1845129" cy="265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Top 3 de auto menos vendido</a:t>
          </a:r>
        </a:p>
      </xdr:txBody>
    </xdr:sp>
    <xdr:clientData/>
  </xdr:twoCellAnchor>
  <xdr:twoCellAnchor>
    <xdr:from>
      <xdr:col>9</xdr:col>
      <xdr:colOff>5439</xdr:colOff>
      <xdr:row>22</xdr:row>
      <xdr:rowOff>32659</xdr:rowOff>
    </xdr:from>
    <xdr:to>
      <xdr:col>11</xdr:col>
      <xdr:colOff>631364</xdr:colOff>
      <xdr:row>28</xdr:row>
      <xdr:rowOff>141516</xdr:rowOff>
    </xdr:to>
    <xdr:sp macro="" textlink="'Análisis de datos'!G13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6809E720-CF8F-43AF-A775-4AB2A70ECAD8}"/>
            </a:ext>
          </a:extLst>
        </xdr:cNvPr>
        <xdr:cNvSpPr/>
      </xdr:nvSpPr>
      <xdr:spPr>
        <a:xfrm>
          <a:off x="6863439" y="4223659"/>
          <a:ext cx="2149925" cy="12518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9</xdr:col>
      <xdr:colOff>62585</xdr:colOff>
      <xdr:row>21</xdr:row>
      <xdr:rowOff>159206</xdr:rowOff>
    </xdr:from>
    <xdr:to>
      <xdr:col>11</xdr:col>
      <xdr:colOff>571494</xdr:colOff>
      <xdr:row>23</xdr:row>
      <xdr:rowOff>81643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5755082-90B2-4C7C-AC9F-9B113F088310}"/>
            </a:ext>
          </a:extLst>
        </xdr:cNvPr>
        <xdr:cNvSpPr txBox="1"/>
      </xdr:nvSpPr>
      <xdr:spPr>
        <a:xfrm>
          <a:off x="6920585" y="4159706"/>
          <a:ext cx="2032909" cy="303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Auto de mayor rentabilidad</a:t>
          </a:r>
        </a:p>
      </xdr:txBody>
    </xdr:sp>
    <xdr:clientData/>
  </xdr:twoCellAnchor>
  <xdr:twoCellAnchor>
    <xdr:from>
      <xdr:col>12</xdr:col>
      <xdr:colOff>27212</xdr:colOff>
      <xdr:row>0</xdr:row>
      <xdr:rowOff>110218</xdr:rowOff>
    </xdr:from>
    <xdr:to>
      <xdr:col>14</xdr:col>
      <xdr:colOff>489858</xdr:colOff>
      <xdr:row>3</xdr:row>
      <xdr:rowOff>13607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7ABDB815-D0DE-4DBF-A65E-C2E46E642EC0}"/>
            </a:ext>
          </a:extLst>
        </xdr:cNvPr>
        <xdr:cNvSpPr txBox="1"/>
      </xdr:nvSpPr>
      <xdr:spPr>
        <a:xfrm>
          <a:off x="9171212" y="110218"/>
          <a:ext cx="1986646" cy="474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Unidades vendidas por marca</a:t>
          </a:r>
        </a:p>
      </xdr:txBody>
    </xdr:sp>
    <xdr:clientData/>
  </xdr:twoCellAnchor>
  <xdr:twoCellAnchor>
    <xdr:from>
      <xdr:col>14</xdr:col>
      <xdr:colOff>677639</xdr:colOff>
      <xdr:row>7</xdr:row>
      <xdr:rowOff>152400</xdr:rowOff>
    </xdr:from>
    <xdr:to>
      <xdr:col>17</xdr:col>
      <xdr:colOff>220438</xdr:colOff>
      <xdr:row>14</xdr:row>
      <xdr:rowOff>70757</xdr:rowOff>
    </xdr:to>
    <xdr:sp macro="" textlink="'Análisis de datos'!G13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9927C22D-1E89-47C1-80D1-4A5906A748F5}"/>
            </a:ext>
          </a:extLst>
        </xdr:cNvPr>
        <xdr:cNvSpPr/>
      </xdr:nvSpPr>
      <xdr:spPr>
        <a:xfrm>
          <a:off x="11345639" y="1485900"/>
          <a:ext cx="1828799" cy="12518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32659</xdr:colOff>
      <xdr:row>7</xdr:row>
      <xdr:rowOff>115662</xdr:rowOff>
    </xdr:from>
    <xdr:to>
      <xdr:col>17</xdr:col>
      <xdr:colOff>193224</xdr:colOff>
      <xdr:row>9</xdr:row>
      <xdr:rowOff>2722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48A60C12-E43C-4E16-84D6-F7701A49C3A0}"/>
            </a:ext>
          </a:extLst>
        </xdr:cNvPr>
        <xdr:cNvSpPr txBox="1"/>
      </xdr:nvSpPr>
      <xdr:spPr>
        <a:xfrm>
          <a:off x="11462659" y="1449162"/>
          <a:ext cx="1684565" cy="268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Share</a:t>
          </a:r>
          <a:r>
            <a:rPr lang="es-MX" sz="1050" baseline="0">
              <a:solidFill>
                <a:schemeClr val="tx1">
                  <a:lumMod val="65000"/>
                  <a:lumOff val="35000"/>
                </a:schemeClr>
              </a:solidFill>
            </a:rPr>
            <a:t> de </a:t>
          </a:r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 Canal de ventas</a:t>
          </a:r>
        </a:p>
      </xdr:txBody>
    </xdr:sp>
    <xdr:clientData/>
  </xdr:twoCellAnchor>
  <xdr:twoCellAnchor>
    <xdr:from>
      <xdr:col>14</xdr:col>
      <xdr:colOff>693968</xdr:colOff>
      <xdr:row>14</xdr:row>
      <xdr:rowOff>141515</xdr:rowOff>
    </xdr:from>
    <xdr:to>
      <xdr:col>17</xdr:col>
      <xdr:colOff>236767</xdr:colOff>
      <xdr:row>21</xdr:row>
      <xdr:rowOff>59872</xdr:rowOff>
    </xdr:to>
    <xdr:sp macro="" textlink="'Análisis de datos'!G13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CC8D6A3-F3EA-4A6B-8347-2C7588F23A0E}"/>
            </a:ext>
          </a:extLst>
        </xdr:cNvPr>
        <xdr:cNvSpPr/>
      </xdr:nvSpPr>
      <xdr:spPr>
        <a:xfrm>
          <a:off x="11361968" y="2808515"/>
          <a:ext cx="1828799" cy="12518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14</xdr:col>
      <xdr:colOff>617347</xdr:colOff>
      <xdr:row>14</xdr:row>
      <xdr:rowOff>51394</xdr:rowOff>
    </xdr:from>
    <xdr:to>
      <xdr:col>17</xdr:col>
      <xdr:colOff>329711</xdr:colOff>
      <xdr:row>16</xdr:row>
      <xdr:rowOff>96297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63FE29E8-8F05-4433-B614-70A4459B1CA9}"/>
            </a:ext>
          </a:extLst>
        </xdr:cNvPr>
        <xdr:cNvSpPr txBox="1"/>
      </xdr:nvSpPr>
      <xdr:spPr>
        <a:xfrm>
          <a:off x="11285347" y="2718394"/>
          <a:ext cx="1998364" cy="425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Share de ventas tipo de vehiculo</a:t>
          </a:r>
        </a:p>
      </xdr:txBody>
    </xdr:sp>
    <xdr:clientData/>
  </xdr:twoCellAnchor>
  <xdr:twoCellAnchor>
    <xdr:from>
      <xdr:col>14</xdr:col>
      <xdr:colOff>710297</xdr:colOff>
      <xdr:row>21</xdr:row>
      <xdr:rowOff>144237</xdr:rowOff>
    </xdr:from>
    <xdr:to>
      <xdr:col>17</xdr:col>
      <xdr:colOff>253096</xdr:colOff>
      <xdr:row>28</xdr:row>
      <xdr:rowOff>62594</xdr:rowOff>
    </xdr:to>
    <xdr:sp macro="" textlink="'Análisis de datos'!G13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C2E9CCD5-A724-459E-8DB9-819BA0420860}"/>
            </a:ext>
          </a:extLst>
        </xdr:cNvPr>
        <xdr:cNvSpPr/>
      </xdr:nvSpPr>
      <xdr:spPr>
        <a:xfrm>
          <a:off x="11378297" y="4144737"/>
          <a:ext cx="1828799" cy="125185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14</xdr:col>
      <xdr:colOff>740726</xdr:colOff>
      <xdr:row>21</xdr:row>
      <xdr:rowOff>85850</xdr:rowOff>
    </xdr:from>
    <xdr:to>
      <xdr:col>17</xdr:col>
      <xdr:colOff>139291</xdr:colOff>
      <xdr:row>22</xdr:row>
      <xdr:rowOff>163410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5598702F-D32B-4BE5-B2AE-6911D29B573C}"/>
            </a:ext>
          </a:extLst>
        </xdr:cNvPr>
        <xdr:cNvSpPr txBox="1"/>
      </xdr:nvSpPr>
      <xdr:spPr>
        <a:xfrm>
          <a:off x="11408726" y="4086350"/>
          <a:ext cx="1684565" cy="268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Share</a:t>
          </a:r>
          <a:r>
            <a:rPr lang="es-MX" sz="1050" baseline="0">
              <a:solidFill>
                <a:schemeClr val="tx1">
                  <a:lumMod val="65000"/>
                  <a:lumOff val="35000"/>
                </a:schemeClr>
              </a:solidFill>
            </a:rPr>
            <a:t> ventas por</a:t>
          </a:r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 modelo</a:t>
          </a:r>
        </a:p>
      </xdr:txBody>
    </xdr:sp>
    <xdr:clientData/>
  </xdr:twoCellAnchor>
  <xdr:twoCellAnchor>
    <xdr:from>
      <xdr:col>0</xdr:col>
      <xdr:colOff>122464</xdr:colOff>
      <xdr:row>0</xdr:row>
      <xdr:rowOff>136070</xdr:rowOff>
    </xdr:from>
    <xdr:to>
      <xdr:col>2</xdr:col>
      <xdr:colOff>707573</xdr:colOff>
      <xdr:row>28</xdr:row>
      <xdr:rowOff>149677</xdr:rowOff>
    </xdr:to>
    <xdr:sp macro="" textlink="">
      <xdr:nvSpPr>
        <xdr:cNvPr id="34" name="Rectángulo: esquinas superiores redondeadas 33">
          <a:extLst>
            <a:ext uri="{FF2B5EF4-FFF2-40B4-BE49-F238E27FC236}">
              <a16:creationId xmlns:a16="http://schemas.microsoft.com/office/drawing/2014/main" id="{14AE430D-64E0-DC55-E353-A5CD3E086280}"/>
            </a:ext>
          </a:extLst>
        </xdr:cNvPr>
        <xdr:cNvSpPr/>
      </xdr:nvSpPr>
      <xdr:spPr>
        <a:xfrm rot="16200000">
          <a:off x="-1496785" y="1755319"/>
          <a:ext cx="5347607" cy="2109109"/>
        </a:xfrm>
        <a:prstGeom prst="round2Same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s-MX" sz="1600" b="1" i="0" u="none" strike="noStrike">
            <a:solidFill>
              <a:schemeClr val="tx1">
                <a:lumMod val="85000"/>
                <a:lumOff val="1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204107</xdr:colOff>
      <xdr:row>0</xdr:row>
      <xdr:rowOff>155122</xdr:rowOff>
    </xdr:from>
    <xdr:to>
      <xdr:col>2</xdr:col>
      <xdr:colOff>598714</xdr:colOff>
      <xdr:row>4</xdr:row>
      <xdr:rowOff>27215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E908BF8B-43C1-8387-B1E0-4FF884D37B85}"/>
            </a:ext>
          </a:extLst>
        </xdr:cNvPr>
        <xdr:cNvSpPr txBox="1"/>
      </xdr:nvSpPr>
      <xdr:spPr>
        <a:xfrm>
          <a:off x="204107" y="155122"/>
          <a:ext cx="1918607" cy="634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ysClr val="windowText" lastClr="000000"/>
              </a:solidFill>
            </a:rPr>
            <a:t>Control de  temporalidades</a:t>
          </a:r>
        </a:p>
      </xdr:txBody>
    </xdr:sp>
    <xdr:clientData/>
  </xdr:twoCellAnchor>
  <xdr:twoCellAnchor>
    <xdr:from>
      <xdr:col>6</xdr:col>
      <xdr:colOff>165652</xdr:colOff>
      <xdr:row>7</xdr:row>
      <xdr:rowOff>159145</xdr:rowOff>
    </xdr:from>
    <xdr:to>
      <xdr:col>11</xdr:col>
      <xdr:colOff>478617</xdr:colOff>
      <xdr:row>21</xdr:row>
      <xdr:rowOff>131931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AF75EF4-AFDB-424B-B3A8-6FE91AD6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103059</xdr:colOff>
      <xdr:row>5</xdr:row>
      <xdr:rowOff>173935</xdr:rowOff>
    </xdr:from>
    <xdr:to>
      <xdr:col>5</xdr:col>
      <xdr:colOff>750759</xdr:colOff>
      <xdr:row>20</xdr:row>
      <xdr:rowOff>18931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7" name="Gráfico 36">
              <a:extLst>
                <a:ext uri="{FF2B5EF4-FFF2-40B4-BE49-F238E27FC236}">
                  <a16:creationId xmlns:a16="http://schemas.microsoft.com/office/drawing/2014/main" id="{954C2766-0DD4-4EBC-899A-3B14731514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9059" y="1126435"/>
              <a:ext cx="2171700" cy="27024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693964</xdr:colOff>
      <xdr:row>2</xdr:row>
      <xdr:rowOff>13607</xdr:rowOff>
    </xdr:from>
    <xdr:to>
      <xdr:col>14</xdr:col>
      <xdr:colOff>544286</xdr:colOff>
      <xdr:row>13</xdr:row>
      <xdr:rowOff>122464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3F6B3BA7-23C9-4A01-AE72-3C856F331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737507</xdr:colOff>
      <xdr:row>14</xdr:row>
      <xdr:rowOff>157843</xdr:rowOff>
    </xdr:from>
    <xdr:to>
      <xdr:col>14</xdr:col>
      <xdr:colOff>604157</xdr:colOff>
      <xdr:row>28</xdr:row>
      <xdr:rowOff>166007</xdr:rowOff>
    </xdr:to>
    <xdr:sp macro="" textlink="'Análisis de datos'!B5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D1C77C5F-A6D3-46BB-B271-647CB239CABC}"/>
            </a:ext>
          </a:extLst>
        </xdr:cNvPr>
        <xdr:cNvSpPr/>
      </xdr:nvSpPr>
      <xdr:spPr>
        <a:xfrm>
          <a:off x="9119507" y="2824843"/>
          <a:ext cx="2152650" cy="2675164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12</xdr:col>
      <xdr:colOff>57148</xdr:colOff>
      <xdr:row>14</xdr:row>
      <xdr:rowOff>167368</xdr:rowOff>
    </xdr:from>
    <xdr:to>
      <xdr:col>14</xdr:col>
      <xdr:colOff>519794</xdr:colOff>
      <xdr:row>17</xdr:row>
      <xdr:rowOff>70757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30BC2925-4637-485A-85E6-C7C83CA69F17}"/>
            </a:ext>
          </a:extLst>
        </xdr:cNvPr>
        <xdr:cNvSpPr txBox="1"/>
      </xdr:nvSpPr>
      <xdr:spPr>
        <a:xfrm>
          <a:off x="9201148" y="2834368"/>
          <a:ext cx="1986646" cy="474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solidFill>
                <a:schemeClr val="tx1">
                  <a:lumMod val="65000"/>
                  <a:lumOff val="35000"/>
                </a:schemeClr>
              </a:solidFill>
            </a:rPr>
            <a:t>Ventas totales por marca</a:t>
          </a:r>
        </a:p>
      </xdr:txBody>
    </xdr:sp>
    <xdr:clientData/>
  </xdr:twoCellAnchor>
  <xdr:twoCellAnchor>
    <xdr:from>
      <xdr:col>11</xdr:col>
      <xdr:colOff>707572</xdr:colOff>
      <xdr:row>15</xdr:row>
      <xdr:rowOff>163285</xdr:rowOff>
    </xdr:from>
    <xdr:to>
      <xdr:col>14</xdr:col>
      <xdr:colOff>571500</xdr:colOff>
      <xdr:row>28</xdr:row>
      <xdr:rowOff>81643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780B904E-4700-4705-A554-C34BEC10C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680357</xdr:colOff>
      <xdr:row>8</xdr:row>
      <xdr:rowOff>68036</xdr:rowOff>
    </xdr:from>
    <xdr:to>
      <xdr:col>17</xdr:col>
      <xdr:colOff>217714</xdr:colOff>
      <xdr:row>14</xdr:row>
      <xdr:rowOff>81644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5690571-6B58-4550-982B-25FAFBE8D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754674</xdr:colOff>
      <xdr:row>15</xdr:row>
      <xdr:rowOff>28262</xdr:rowOff>
    </xdr:from>
    <xdr:to>
      <xdr:col>17</xdr:col>
      <xdr:colOff>234463</xdr:colOff>
      <xdr:row>21</xdr:row>
      <xdr:rowOff>36636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BE816764-490D-4B77-BB39-1A4809F4F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700711</xdr:colOff>
      <xdr:row>21</xdr:row>
      <xdr:rowOff>128448</xdr:rowOff>
    </xdr:from>
    <xdr:to>
      <xdr:col>17</xdr:col>
      <xdr:colOff>334365</xdr:colOff>
      <xdr:row>28</xdr:row>
      <xdr:rowOff>47852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F7C46203-5026-4353-A869-C6A280F8C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721179</xdr:colOff>
      <xdr:row>0</xdr:row>
      <xdr:rowOff>68036</xdr:rowOff>
    </xdr:from>
    <xdr:to>
      <xdr:col>17</xdr:col>
      <xdr:colOff>217715</xdr:colOff>
      <xdr:row>7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6" name="Vendedor">
              <a:extLst>
                <a:ext uri="{FF2B5EF4-FFF2-40B4-BE49-F238E27FC236}">
                  <a16:creationId xmlns:a16="http://schemas.microsoft.com/office/drawing/2014/main" id="{1AA866A9-6F88-42C7-884C-8FB191558B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9179" y="68036"/>
              <a:ext cx="1782536" cy="1347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340178</xdr:colOff>
      <xdr:row>23</xdr:row>
      <xdr:rowOff>136071</xdr:rowOff>
    </xdr:from>
    <xdr:to>
      <xdr:col>5</xdr:col>
      <xdr:colOff>530678</xdr:colOff>
      <xdr:row>28</xdr:row>
      <xdr:rowOff>145596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D6B4321-5F87-D834-86EB-0ADF3241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178" y="4517571"/>
          <a:ext cx="1714500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23</xdr:row>
      <xdr:rowOff>108857</xdr:rowOff>
    </xdr:from>
    <xdr:to>
      <xdr:col>8</xdr:col>
      <xdr:colOff>476250</xdr:colOff>
      <xdr:row>28</xdr:row>
      <xdr:rowOff>118382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22532C8-7109-DDDA-EE0A-93932B62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4490357"/>
          <a:ext cx="1714500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13607</xdr:colOff>
      <xdr:row>23</xdr:row>
      <xdr:rowOff>27214</xdr:rowOff>
    </xdr:from>
    <xdr:to>
      <xdr:col>11</xdr:col>
      <xdr:colOff>585107</xdr:colOff>
      <xdr:row>28</xdr:row>
      <xdr:rowOff>78763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07FAEFE-A51D-75AD-FABD-76C8CB470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1607" y="4408714"/>
          <a:ext cx="2095500" cy="1004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204106</xdr:colOff>
      <xdr:row>4</xdr:row>
      <xdr:rowOff>27213</xdr:rowOff>
    </xdr:from>
    <xdr:to>
      <xdr:col>2</xdr:col>
      <xdr:colOff>594631</xdr:colOff>
      <xdr:row>12</xdr:row>
      <xdr:rowOff>55788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Mes">
              <a:extLst>
                <a:ext uri="{FF2B5EF4-FFF2-40B4-BE49-F238E27FC236}">
                  <a16:creationId xmlns:a16="http://schemas.microsoft.com/office/drawing/2014/main" id="{CB5ED0FF-5AB6-474D-9D64-4D173ED4D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106" y="789213"/>
              <a:ext cx="1914525" cy="1552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217715</xdr:colOff>
      <xdr:row>12</xdr:row>
      <xdr:rowOff>163286</xdr:rowOff>
    </xdr:from>
    <xdr:to>
      <xdr:col>2</xdr:col>
      <xdr:colOff>589190</xdr:colOff>
      <xdr:row>18</xdr:row>
      <xdr:rowOff>182336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Marca">
              <a:extLst>
                <a:ext uri="{FF2B5EF4-FFF2-40B4-BE49-F238E27FC236}">
                  <a16:creationId xmlns:a16="http://schemas.microsoft.com/office/drawing/2014/main" id="{3F0C7B9A-9298-4198-8D2E-A120A3296C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715" y="2449286"/>
              <a:ext cx="1895475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244928</xdr:colOff>
      <xdr:row>19</xdr:row>
      <xdr:rowOff>163285</xdr:rowOff>
    </xdr:from>
    <xdr:to>
      <xdr:col>2</xdr:col>
      <xdr:colOff>557893</xdr:colOff>
      <xdr:row>26</xdr:row>
      <xdr:rowOff>81642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Canal_Venta">
              <a:extLst>
                <a:ext uri="{FF2B5EF4-FFF2-40B4-BE49-F238E27FC236}">
                  <a16:creationId xmlns:a16="http://schemas.microsoft.com/office/drawing/2014/main" id="{C995B55D-540D-4786-B388-427BDB5C8B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928" y="3782785"/>
              <a:ext cx="1836965" cy="12518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ka" refreshedDate="46052.462023263892" createdVersion="8" refreshedVersion="8" minRefreshableVersion="3" recordCount="2000" xr:uid="{608D6403-F462-4219-AE8D-4831402A1E55}">
  <cacheSource type="worksheet">
    <worksheetSource name="Tabla24"/>
  </cacheSource>
  <cacheFields count="13">
    <cacheField name="Fecha" numFmtId="0">
      <sharedItems/>
    </cacheField>
    <cacheField name="Día" numFmtId="0">
      <sharedItems/>
    </cacheField>
    <cacheField name="Mes" numFmtId="0">
      <sharedItems count="12">
        <s v="julio"/>
        <s v="septiembre"/>
        <s v="agosto"/>
        <s v="abril"/>
        <s v="mayo"/>
        <s v="noviembre"/>
        <s v="marzo"/>
        <s v="diciembre"/>
        <s v="octubre"/>
        <s v="junio"/>
        <s v="febrero"/>
        <s v="enero"/>
      </sharedItems>
    </cacheField>
    <cacheField name="Año" numFmtId="0">
      <sharedItems/>
    </cacheField>
    <cacheField name="País" numFmtId="0">
      <sharedItems count="5">
        <s v="Alemania"/>
        <s v="Portugal"/>
        <s v="Italia"/>
        <s v="Francia"/>
        <s v="España"/>
      </sharedItems>
    </cacheField>
    <cacheField name="Marca" numFmtId="0">
      <sharedItems count="5">
        <s v="Renault"/>
        <s v="Toyota"/>
        <s v="Ford"/>
        <s v="BMW"/>
        <s v="Volkswagen"/>
      </sharedItems>
    </cacheField>
    <cacheField name="Modelo" numFmtId="0">
      <sharedItems count="5">
        <s v="Hybrid One"/>
        <s v="Compact Z"/>
        <s v="SUV Pro"/>
        <s v="Sedan X"/>
        <s v="Electric Plus"/>
      </sharedItems>
    </cacheField>
    <cacheField name="Tipo_Vehículo" numFmtId="0">
      <sharedItems count="5">
        <s v="Sedán"/>
        <s v="Eléctrico"/>
        <s v="Hatchback"/>
        <s v="SUV"/>
        <s v="Híbrido"/>
      </sharedItems>
    </cacheField>
    <cacheField name="Canal_Venta" numFmtId="0">
      <sharedItems count="3">
        <s v="Flotas"/>
        <s v="Concesionario"/>
        <s v="Online"/>
      </sharedItems>
    </cacheField>
    <cacheField name="Unidades_Vendidas" numFmtId="0">
      <sharedItems containsSemiMixedTypes="0" containsString="0" containsNumber="1" containsInteger="1" minValue="1" maxValue="20"/>
    </cacheField>
    <cacheField name="Precio_Unitario" numFmtId="0">
      <sharedItems containsSemiMixedTypes="0" containsString="0" containsNumber="1" containsInteger="1" minValue="15047" maxValue="59994"/>
    </cacheField>
    <cacheField name="Ingreso_Total" numFmtId="0">
      <sharedItems containsSemiMixedTypes="0" containsString="0" containsNumber="1" containsInteger="1" minValue="15307" maxValue="1199880"/>
    </cacheField>
    <cacheField name="Vendedor" numFmtId="0">
      <sharedItems count="4">
        <s v="Dealer C"/>
        <s v="Dealer A"/>
        <s v="Dealer D"/>
        <s v="Dealer B"/>
      </sharedItems>
    </cacheField>
  </cacheFields>
  <extLst>
    <ext xmlns:x14="http://schemas.microsoft.com/office/spreadsheetml/2009/9/main" uri="{725AE2AE-9491-48be-B2B4-4EB974FC3084}">
      <x14:pivotCacheDefinition pivotCacheId="746365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2024-07-09"/>
    <s v="martes"/>
    <x v="0"/>
    <s v="2024"/>
    <x v="0"/>
    <x v="0"/>
    <x v="0"/>
    <x v="0"/>
    <x v="0"/>
    <n v="4"/>
    <n v="25219"/>
    <n v="100876"/>
    <x v="0"/>
  </r>
  <r>
    <s v="2024-09-02"/>
    <s v="lunes"/>
    <x v="1"/>
    <s v="2024"/>
    <x v="1"/>
    <x v="0"/>
    <x v="0"/>
    <x v="1"/>
    <x v="0"/>
    <n v="13"/>
    <n v="57839"/>
    <n v="751907"/>
    <x v="1"/>
  </r>
  <r>
    <s v="2024-09-30"/>
    <s v="lunes"/>
    <x v="1"/>
    <s v="2024"/>
    <x v="2"/>
    <x v="1"/>
    <x v="1"/>
    <x v="2"/>
    <x v="1"/>
    <n v="7"/>
    <n v="44293"/>
    <n v="310051"/>
    <x v="2"/>
  </r>
  <r>
    <s v="2024-08-08"/>
    <s v="jueves"/>
    <x v="2"/>
    <s v="2024"/>
    <x v="0"/>
    <x v="2"/>
    <x v="0"/>
    <x v="3"/>
    <x v="1"/>
    <n v="1"/>
    <n v="41792"/>
    <n v="41792"/>
    <x v="2"/>
  </r>
  <r>
    <s v="2024-04-10"/>
    <s v="miércoles"/>
    <x v="3"/>
    <s v="2024"/>
    <x v="0"/>
    <x v="1"/>
    <x v="1"/>
    <x v="2"/>
    <x v="1"/>
    <n v="15"/>
    <n v="52774"/>
    <n v="791610"/>
    <x v="0"/>
  </r>
  <r>
    <s v="2024-05-31"/>
    <s v="viernes"/>
    <x v="4"/>
    <s v="2024"/>
    <x v="3"/>
    <x v="3"/>
    <x v="1"/>
    <x v="4"/>
    <x v="1"/>
    <n v="12"/>
    <n v="22482"/>
    <n v="269784"/>
    <x v="3"/>
  </r>
  <r>
    <s v="2024-11-08"/>
    <s v="viernes"/>
    <x v="5"/>
    <s v="2024"/>
    <x v="2"/>
    <x v="4"/>
    <x v="2"/>
    <x v="4"/>
    <x v="2"/>
    <n v="4"/>
    <n v="53850"/>
    <n v="215400"/>
    <x v="3"/>
  </r>
  <r>
    <s v="2024-03-06"/>
    <s v="miércoles"/>
    <x v="6"/>
    <s v="2024"/>
    <x v="4"/>
    <x v="1"/>
    <x v="1"/>
    <x v="4"/>
    <x v="0"/>
    <n v="11"/>
    <n v="16085"/>
    <n v="176935"/>
    <x v="3"/>
  </r>
  <r>
    <s v="2024-03-12"/>
    <s v="martes"/>
    <x v="6"/>
    <s v="2024"/>
    <x v="3"/>
    <x v="2"/>
    <x v="3"/>
    <x v="1"/>
    <x v="1"/>
    <n v="8"/>
    <n v="17272"/>
    <n v="138176"/>
    <x v="0"/>
  </r>
  <r>
    <s v="2024-07-09"/>
    <s v="martes"/>
    <x v="0"/>
    <s v="2024"/>
    <x v="0"/>
    <x v="2"/>
    <x v="0"/>
    <x v="2"/>
    <x v="0"/>
    <n v="18"/>
    <n v="48746"/>
    <n v="877428"/>
    <x v="0"/>
  </r>
  <r>
    <s v="2024-12-15"/>
    <s v="domingo"/>
    <x v="7"/>
    <s v="2024"/>
    <x v="2"/>
    <x v="1"/>
    <x v="1"/>
    <x v="3"/>
    <x v="0"/>
    <n v="10"/>
    <n v="40118"/>
    <n v="401180"/>
    <x v="2"/>
  </r>
  <r>
    <s v="2024-03-27"/>
    <s v="miércoles"/>
    <x v="6"/>
    <s v="2024"/>
    <x v="0"/>
    <x v="3"/>
    <x v="0"/>
    <x v="1"/>
    <x v="0"/>
    <n v="6"/>
    <n v="36009"/>
    <n v="216054"/>
    <x v="2"/>
  </r>
  <r>
    <s v="2024-09-04"/>
    <s v="miércoles"/>
    <x v="1"/>
    <s v="2024"/>
    <x v="3"/>
    <x v="1"/>
    <x v="4"/>
    <x v="0"/>
    <x v="0"/>
    <n v="6"/>
    <n v="54461"/>
    <n v="326766"/>
    <x v="2"/>
  </r>
  <r>
    <s v="2024-05-13"/>
    <s v="lunes"/>
    <x v="4"/>
    <s v="2024"/>
    <x v="3"/>
    <x v="2"/>
    <x v="3"/>
    <x v="4"/>
    <x v="0"/>
    <n v="19"/>
    <n v="24275"/>
    <n v="461225"/>
    <x v="0"/>
  </r>
  <r>
    <s v="2024-08-09"/>
    <s v="viernes"/>
    <x v="2"/>
    <s v="2024"/>
    <x v="1"/>
    <x v="3"/>
    <x v="1"/>
    <x v="1"/>
    <x v="0"/>
    <n v="14"/>
    <n v="54738"/>
    <n v="766332"/>
    <x v="3"/>
  </r>
  <r>
    <s v="2024-10-16"/>
    <s v="miércoles"/>
    <x v="8"/>
    <s v="2024"/>
    <x v="0"/>
    <x v="2"/>
    <x v="0"/>
    <x v="4"/>
    <x v="0"/>
    <n v="8"/>
    <n v="31396"/>
    <n v="251168"/>
    <x v="3"/>
  </r>
  <r>
    <s v="2024-12-26"/>
    <s v="jueves"/>
    <x v="7"/>
    <s v="2024"/>
    <x v="4"/>
    <x v="1"/>
    <x v="0"/>
    <x v="2"/>
    <x v="1"/>
    <n v="20"/>
    <n v="21854"/>
    <n v="437080"/>
    <x v="2"/>
  </r>
  <r>
    <s v="2024-05-16"/>
    <s v="jueves"/>
    <x v="4"/>
    <s v="2024"/>
    <x v="2"/>
    <x v="1"/>
    <x v="3"/>
    <x v="4"/>
    <x v="1"/>
    <n v="3"/>
    <n v="33825"/>
    <n v="101475"/>
    <x v="2"/>
  </r>
  <r>
    <s v="2024-03-09"/>
    <s v="sábado"/>
    <x v="6"/>
    <s v="2024"/>
    <x v="1"/>
    <x v="3"/>
    <x v="1"/>
    <x v="3"/>
    <x v="0"/>
    <n v="7"/>
    <n v="45748"/>
    <n v="320236"/>
    <x v="3"/>
  </r>
  <r>
    <s v="2024-12-22"/>
    <s v="domingo"/>
    <x v="7"/>
    <s v="2024"/>
    <x v="3"/>
    <x v="2"/>
    <x v="1"/>
    <x v="4"/>
    <x v="0"/>
    <n v="13"/>
    <n v="17202"/>
    <n v="223626"/>
    <x v="2"/>
  </r>
  <r>
    <s v="2024-09-28"/>
    <s v="sábado"/>
    <x v="1"/>
    <s v="2024"/>
    <x v="2"/>
    <x v="3"/>
    <x v="2"/>
    <x v="2"/>
    <x v="0"/>
    <n v="6"/>
    <n v="28242"/>
    <n v="169452"/>
    <x v="2"/>
  </r>
  <r>
    <s v="2024-06-10"/>
    <s v="lunes"/>
    <x v="9"/>
    <s v="2024"/>
    <x v="0"/>
    <x v="3"/>
    <x v="2"/>
    <x v="4"/>
    <x v="1"/>
    <n v="13"/>
    <n v="15999"/>
    <n v="207987"/>
    <x v="1"/>
  </r>
  <r>
    <s v="2024-10-07"/>
    <s v="lunes"/>
    <x v="8"/>
    <s v="2024"/>
    <x v="1"/>
    <x v="4"/>
    <x v="2"/>
    <x v="1"/>
    <x v="0"/>
    <n v="20"/>
    <n v="47914"/>
    <n v="958280"/>
    <x v="0"/>
  </r>
  <r>
    <s v="2024-10-05"/>
    <s v="sábado"/>
    <x v="8"/>
    <s v="2024"/>
    <x v="3"/>
    <x v="0"/>
    <x v="2"/>
    <x v="1"/>
    <x v="0"/>
    <n v="2"/>
    <n v="28132"/>
    <n v="56264"/>
    <x v="0"/>
  </r>
  <r>
    <s v="2024-06-24"/>
    <s v="lunes"/>
    <x v="9"/>
    <s v="2024"/>
    <x v="3"/>
    <x v="0"/>
    <x v="4"/>
    <x v="3"/>
    <x v="1"/>
    <n v="8"/>
    <n v="56427"/>
    <n v="451416"/>
    <x v="1"/>
  </r>
  <r>
    <s v="2024-04-28"/>
    <s v="domingo"/>
    <x v="3"/>
    <s v="2024"/>
    <x v="3"/>
    <x v="2"/>
    <x v="0"/>
    <x v="1"/>
    <x v="0"/>
    <n v="11"/>
    <n v="15688"/>
    <n v="172568"/>
    <x v="2"/>
  </r>
  <r>
    <s v="2024-12-26"/>
    <s v="jueves"/>
    <x v="7"/>
    <s v="2024"/>
    <x v="0"/>
    <x v="3"/>
    <x v="3"/>
    <x v="0"/>
    <x v="2"/>
    <n v="13"/>
    <n v="15854"/>
    <n v="206102"/>
    <x v="1"/>
  </r>
  <r>
    <s v="2024-05-18"/>
    <s v="sábado"/>
    <x v="4"/>
    <s v="2024"/>
    <x v="3"/>
    <x v="3"/>
    <x v="3"/>
    <x v="0"/>
    <x v="2"/>
    <n v="18"/>
    <n v="20973"/>
    <n v="377514"/>
    <x v="2"/>
  </r>
  <r>
    <s v="2024-10-21"/>
    <s v="lunes"/>
    <x v="8"/>
    <s v="2024"/>
    <x v="4"/>
    <x v="0"/>
    <x v="0"/>
    <x v="3"/>
    <x v="1"/>
    <n v="13"/>
    <n v="24001"/>
    <n v="312013"/>
    <x v="1"/>
  </r>
  <r>
    <s v="2024-10-01"/>
    <s v="martes"/>
    <x v="8"/>
    <s v="2024"/>
    <x v="2"/>
    <x v="1"/>
    <x v="3"/>
    <x v="1"/>
    <x v="2"/>
    <n v="11"/>
    <n v="19001"/>
    <n v="209011"/>
    <x v="3"/>
  </r>
  <r>
    <s v="2024-10-05"/>
    <s v="sábado"/>
    <x v="8"/>
    <s v="2024"/>
    <x v="1"/>
    <x v="4"/>
    <x v="4"/>
    <x v="3"/>
    <x v="0"/>
    <n v="19"/>
    <n v="58650"/>
    <n v="1114350"/>
    <x v="0"/>
  </r>
  <r>
    <s v="2024-04-12"/>
    <s v="viernes"/>
    <x v="3"/>
    <s v="2024"/>
    <x v="2"/>
    <x v="0"/>
    <x v="2"/>
    <x v="2"/>
    <x v="1"/>
    <n v="17"/>
    <n v="25152"/>
    <n v="427584"/>
    <x v="3"/>
  </r>
  <r>
    <s v="2024-05-06"/>
    <s v="lunes"/>
    <x v="4"/>
    <s v="2024"/>
    <x v="4"/>
    <x v="1"/>
    <x v="3"/>
    <x v="2"/>
    <x v="0"/>
    <n v="13"/>
    <n v="39995"/>
    <n v="519935"/>
    <x v="3"/>
  </r>
  <r>
    <s v="2024-08-29"/>
    <s v="jueves"/>
    <x v="2"/>
    <s v="2024"/>
    <x v="3"/>
    <x v="2"/>
    <x v="2"/>
    <x v="1"/>
    <x v="1"/>
    <n v="8"/>
    <n v="23069"/>
    <n v="184552"/>
    <x v="3"/>
  </r>
  <r>
    <s v="2024-12-13"/>
    <s v="viernes"/>
    <x v="7"/>
    <s v="2024"/>
    <x v="1"/>
    <x v="4"/>
    <x v="2"/>
    <x v="4"/>
    <x v="1"/>
    <n v="16"/>
    <n v="20386"/>
    <n v="326176"/>
    <x v="2"/>
  </r>
  <r>
    <s v="2024-04-01"/>
    <s v="lunes"/>
    <x v="3"/>
    <s v="2024"/>
    <x v="3"/>
    <x v="1"/>
    <x v="3"/>
    <x v="3"/>
    <x v="0"/>
    <n v="16"/>
    <n v="22504"/>
    <n v="360064"/>
    <x v="0"/>
  </r>
  <r>
    <s v="2024-07-23"/>
    <s v="martes"/>
    <x v="0"/>
    <s v="2024"/>
    <x v="2"/>
    <x v="1"/>
    <x v="0"/>
    <x v="2"/>
    <x v="2"/>
    <n v="13"/>
    <n v="30123"/>
    <n v="391599"/>
    <x v="2"/>
  </r>
  <r>
    <s v="2024-07-30"/>
    <s v="martes"/>
    <x v="0"/>
    <s v="2024"/>
    <x v="4"/>
    <x v="1"/>
    <x v="4"/>
    <x v="4"/>
    <x v="2"/>
    <n v="16"/>
    <n v="51959"/>
    <n v="831344"/>
    <x v="2"/>
  </r>
  <r>
    <s v="2024-09-07"/>
    <s v="sábado"/>
    <x v="1"/>
    <s v="2024"/>
    <x v="3"/>
    <x v="3"/>
    <x v="2"/>
    <x v="2"/>
    <x v="1"/>
    <n v="20"/>
    <n v="42230"/>
    <n v="844600"/>
    <x v="1"/>
  </r>
  <r>
    <s v="2024-02-08"/>
    <s v="jueves"/>
    <x v="10"/>
    <s v="2024"/>
    <x v="3"/>
    <x v="4"/>
    <x v="2"/>
    <x v="4"/>
    <x v="0"/>
    <n v="19"/>
    <n v="18713"/>
    <n v="355547"/>
    <x v="1"/>
  </r>
  <r>
    <s v="2024-01-26"/>
    <s v="viernes"/>
    <x v="11"/>
    <s v="2024"/>
    <x v="2"/>
    <x v="2"/>
    <x v="1"/>
    <x v="3"/>
    <x v="2"/>
    <n v="19"/>
    <n v="53198"/>
    <n v="1010762"/>
    <x v="3"/>
  </r>
  <r>
    <s v="2024-12-23"/>
    <s v="lunes"/>
    <x v="7"/>
    <s v="2024"/>
    <x v="2"/>
    <x v="4"/>
    <x v="0"/>
    <x v="2"/>
    <x v="2"/>
    <n v="5"/>
    <n v="22796"/>
    <n v="113980"/>
    <x v="3"/>
  </r>
  <r>
    <s v="2024-04-11"/>
    <s v="jueves"/>
    <x v="3"/>
    <s v="2024"/>
    <x v="0"/>
    <x v="0"/>
    <x v="4"/>
    <x v="4"/>
    <x v="2"/>
    <n v="17"/>
    <n v="42578"/>
    <n v="723826"/>
    <x v="0"/>
  </r>
  <r>
    <s v="2024-06-06"/>
    <s v="jueves"/>
    <x v="9"/>
    <s v="2024"/>
    <x v="2"/>
    <x v="1"/>
    <x v="3"/>
    <x v="4"/>
    <x v="1"/>
    <n v="8"/>
    <n v="19511"/>
    <n v="156088"/>
    <x v="1"/>
  </r>
  <r>
    <s v="2024-10-08"/>
    <s v="martes"/>
    <x v="8"/>
    <s v="2024"/>
    <x v="4"/>
    <x v="0"/>
    <x v="2"/>
    <x v="2"/>
    <x v="1"/>
    <n v="5"/>
    <n v="37505"/>
    <n v="187525"/>
    <x v="2"/>
  </r>
  <r>
    <s v="2024-12-30"/>
    <s v="lunes"/>
    <x v="7"/>
    <s v="2024"/>
    <x v="4"/>
    <x v="1"/>
    <x v="1"/>
    <x v="0"/>
    <x v="1"/>
    <n v="10"/>
    <n v="31826"/>
    <n v="318260"/>
    <x v="1"/>
  </r>
  <r>
    <s v="2024-10-05"/>
    <s v="sábado"/>
    <x v="8"/>
    <s v="2024"/>
    <x v="0"/>
    <x v="0"/>
    <x v="1"/>
    <x v="4"/>
    <x v="0"/>
    <n v="19"/>
    <n v="21839"/>
    <n v="414941"/>
    <x v="0"/>
  </r>
  <r>
    <s v="2024-05-29"/>
    <s v="miércoles"/>
    <x v="4"/>
    <s v="2024"/>
    <x v="4"/>
    <x v="0"/>
    <x v="4"/>
    <x v="1"/>
    <x v="1"/>
    <n v="15"/>
    <n v="49785"/>
    <n v="746775"/>
    <x v="3"/>
  </r>
  <r>
    <s v="2024-12-07"/>
    <s v="sábado"/>
    <x v="7"/>
    <s v="2024"/>
    <x v="4"/>
    <x v="4"/>
    <x v="2"/>
    <x v="1"/>
    <x v="2"/>
    <n v="7"/>
    <n v="43487"/>
    <n v="304409"/>
    <x v="2"/>
  </r>
  <r>
    <s v="2024-06-21"/>
    <s v="viernes"/>
    <x v="9"/>
    <s v="2024"/>
    <x v="1"/>
    <x v="2"/>
    <x v="3"/>
    <x v="0"/>
    <x v="0"/>
    <n v="6"/>
    <n v="26498"/>
    <n v="158988"/>
    <x v="1"/>
  </r>
  <r>
    <s v="2024-11-11"/>
    <s v="lunes"/>
    <x v="5"/>
    <s v="2024"/>
    <x v="0"/>
    <x v="2"/>
    <x v="2"/>
    <x v="1"/>
    <x v="2"/>
    <n v="11"/>
    <n v="30624"/>
    <n v="336864"/>
    <x v="2"/>
  </r>
  <r>
    <s v="2024-02-07"/>
    <s v="miércoles"/>
    <x v="10"/>
    <s v="2024"/>
    <x v="0"/>
    <x v="3"/>
    <x v="1"/>
    <x v="1"/>
    <x v="0"/>
    <n v="17"/>
    <n v="29697"/>
    <n v="504849"/>
    <x v="2"/>
  </r>
  <r>
    <s v="2024-07-20"/>
    <s v="sábado"/>
    <x v="0"/>
    <s v="2024"/>
    <x v="1"/>
    <x v="0"/>
    <x v="2"/>
    <x v="1"/>
    <x v="0"/>
    <n v="6"/>
    <n v="39894"/>
    <n v="239364"/>
    <x v="3"/>
  </r>
  <r>
    <s v="2024-07-17"/>
    <s v="miércoles"/>
    <x v="0"/>
    <s v="2024"/>
    <x v="1"/>
    <x v="3"/>
    <x v="0"/>
    <x v="0"/>
    <x v="1"/>
    <n v="9"/>
    <n v="34757"/>
    <n v="312813"/>
    <x v="3"/>
  </r>
  <r>
    <s v="2024-11-19"/>
    <s v="martes"/>
    <x v="5"/>
    <s v="2024"/>
    <x v="2"/>
    <x v="2"/>
    <x v="3"/>
    <x v="0"/>
    <x v="2"/>
    <n v="17"/>
    <n v="32883"/>
    <n v="559011"/>
    <x v="0"/>
  </r>
  <r>
    <s v="2024-01-31"/>
    <s v="miércoles"/>
    <x v="11"/>
    <s v="2024"/>
    <x v="1"/>
    <x v="2"/>
    <x v="4"/>
    <x v="1"/>
    <x v="2"/>
    <n v="6"/>
    <n v="33703"/>
    <n v="202218"/>
    <x v="3"/>
  </r>
  <r>
    <s v="2024-08-05"/>
    <s v="lunes"/>
    <x v="2"/>
    <s v="2024"/>
    <x v="1"/>
    <x v="3"/>
    <x v="0"/>
    <x v="3"/>
    <x v="2"/>
    <n v="6"/>
    <n v="17726"/>
    <n v="106356"/>
    <x v="3"/>
  </r>
  <r>
    <s v="2024-01-17"/>
    <s v="miércoles"/>
    <x v="11"/>
    <s v="2024"/>
    <x v="0"/>
    <x v="1"/>
    <x v="3"/>
    <x v="4"/>
    <x v="1"/>
    <n v="17"/>
    <n v="32569"/>
    <n v="553673"/>
    <x v="2"/>
  </r>
  <r>
    <s v="2024-08-05"/>
    <s v="lunes"/>
    <x v="2"/>
    <s v="2024"/>
    <x v="1"/>
    <x v="3"/>
    <x v="2"/>
    <x v="1"/>
    <x v="1"/>
    <n v="18"/>
    <n v="39218"/>
    <n v="705924"/>
    <x v="1"/>
  </r>
  <r>
    <s v="2024-09-05"/>
    <s v="jueves"/>
    <x v="1"/>
    <s v="2024"/>
    <x v="1"/>
    <x v="2"/>
    <x v="2"/>
    <x v="0"/>
    <x v="1"/>
    <n v="3"/>
    <n v="24050"/>
    <n v="72150"/>
    <x v="1"/>
  </r>
  <r>
    <s v="2024-08-08"/>
    <s v="jueves"/>
    <x v="2"/>
    <s v="2024"/>
    <x v="4"/>
    <x v="2"/>
    <x v="2"/>
    <x v="2"/>
    <x v="0"/>
    <n v="1"/>
    <n v="26544"/>
    <n v="26544"/>
    <x v="3"/>
  </r>
  <r>
    <s v="2024-07-05"/>
    <s v="viernes"/>
    <x v="0"/>
    <s v="2024"/>
    <x v="4"/>
    <x v="2"/>
    <x v="4"/>
    <x v="2"/>
    <x v="0"/>
    <n v="17"/>
    <n v="28648"/>
    <n v="487016"/>
    <x v="3"/>
  </r>
  <r>
    <s v="2024-08-05"/>
    <s v="lunes"/>
    <x v="2"/>
    <s v="2024"/>
    <x v="0"/>
    <x v="2"/>
    <x v="1"/>
    <x v="2"/>
    <x v="0"/>
    <n v="4"/>
    <n v="30145"/>
    <n v="120580"/>
    <x v="1"/>
  </r>
  <r>
    <s v="2024-03-30"/>
    <s v="sábado"/>
    <x v="6"/>
    <s v="2024"/>
    <x v="2"/>
    <x v="3"/>
    <x v="1"/>
    <x v="3"/>
    <x v="1"/>
    <n v="18"/>
    <n v="31250"/>
    <n v="562500"/>
    <x v="3"/>
  </r>
  <r>
    <s v="2024-05-22"/>
    <s v="miércoles"/>
    <x v="4"/>
    <s v="2024"/>
    <x v="3"/>
    <x v="3"/>
    <x v="4"/>
    <x v="3"/>
    <x v="2"/>
    <n v="19"/>
    <n v="57227"/>
    <n v="1087313"/>
    <x v="0"/>
  </r>
  <r>
    <s v="2024-08-05"/>
    <s v="lunes"/>
    <x v="2"/>
    <s v="2024"/>
    <x v="1"/>
    <x v="3"/>
    <x v="4"/>
    <x v="1"/>
    <x v="1"/>
    <n v="1"/>
    <n v="29951"/>
    <n v="29951"/>
    <x v="0"/>
  </r>
  <r>
    <s v="2024-04-04"/>
    <s v="jueves"/>
    <x v="3"/>
    <s v="2024"/>
    <x v="2"/>
    <x v="0"/>
    <x v="4"/>
    <x v="1"/>
    <x v="1"/>
    <n v="10"/>
    <n v="32728"/>
    <n v="327280"/>
    <x v="0"/>
  </r>
  <r>
    <s v="2024-08-04"/>
    <s v="domingo"/>
    <x v="2"/>
    <s v="2024"/>
    <x v="4"/>
    <x v="2"/>
    <x v="0"/>
    <x v="4"/>
    <x v="0"/>
    <n v="14"/>
    <n v="49766"/>
    <n v="696724"/>
    <x v="2"/>
  </r>
  <r>
    <s v="2024-07-15"/>
    <s v="lunes"/>
    <x v="0"/>
    <s v="2024"/>
    <x v="1"/>
    <x v="4"/>
    <x v="4"/>
    <x v="2"/>
    <x v="1"/>
    <n v="7"/>
    <n v="21425"/>
    <n v="149975"/>
    <x v="1"/>
  </r>
  <r>
    <s v="2024-05-08"/>
    <s v="miércoles"/>
    <x v="4"/>
    <s v="2024"/>
    <x v="2"/>
    <x v="0"/>
    <x v="2"/>
    <x v="2"/>
    <x v="2"/>
    <n v="18"/>
    <n v="39067"/>
    <n v="703206"/>
    <x v="0"/>
  </r>
  <r>
    <s v="2024-04-30"/>
    <s v="martes"/>
    <x v="3"/>
    <s v="2024"/>
    <x v="1"/>
    <x v="0"/>
    <x v="0"/>
    <x v="0"/>
    <x v="2"/>
    <n v="11"/>
    <n v="40720"/>
    <n v="447920"/>
    <x v="2"/>
  </r>
  <r>
    <s v="2024-06-27"/>
    <s v="jueves"/>
    <x v="9"/>
    <s v="2024"/>
    <x v="4"/>
    <x v="3"/>
    <x v="2"/>
    <x v="2"/>
    <x v="0"/>
    <n v="19"/>
    <n v="19603"/>
    <n v="372457"/>
    <x v="3"/>
  </r>
  <r>
    <s v="2024-12-11"/>
    <s v="miércoles"/>
    <x v="7"/>
    <s v="2024"/>
    <x v="0"/>
    <x v="3"/>
    <x v="1"/>
    <x v="4"/>
    <x v="0"/>
    <n v="20"/>
    <n v="17880"/>
    <n v="357600"/>
    <x v="1"/>
  </r>
  <r>
    <s v="2024-11-22"/>
    <s v="viernes"/>
    <x v="5"/>
    <s v="2024"/>
    <x v="1"/>
    <x v="2"/>
    <x v="3"/>
    <x v="2"/>
    <x v="2"/>
    <n v="18"/>
    <n v="40428"/>
    <n v="727704"/>
    <x v="3"/>
  </r>
  <r>
    <s v="2024-02-27"/>
    <s v="martes"/>
    <x v="10"/>
    <s v="2024"/>
    <x v="1"/>
    <x v="1"/>
    <x v="0"/>
    <x v="3"/>
    <x v="0"/>
    <n v="8"/>
    <n v="42707"/>
    <n v="341656"/>
    <x v="1"/>
  </r>
  <r>
    <s v="2024-10-27"/>
    <s v="domingo"/>
    <x v="8"/>
    <s v="2024"/>
    <x v="3"/>
    <x v="3"/>
    <x v="0"/>
    <x v="2"/>
    <x v="2"/>
    <n v="4"/>
    <n v="54728"/>
    <n v="218912"/>
    <x v="0"/>
  </r>
  <r>
    <s v="2024-01-30"/>
    <s v="martes"/>
    <x v="11"/>
    <s v="2024"/>
    <x v="3"/>
    <x v="2"/>
    <x v="0"/>
    <x v="3"/>
    <x v="0"/>
    <n v="8"/>
    <n v="48522"/>
    <n v="388176"/>
    <x v="2"/>
  </r>
  <r>
    <s v="2024-12-01"/>
    <s v="domingo"/>
    <x v="7"/>
    <s v="2024"/>
    <x v="0"/>
    <x v="4"/>
    <x v="4"/>
    <x v="3"/>
    <x v="2"/>
    <n v="6"/>
    <n v="35637"/>
    <n v="213822"/>
    <x v="3"/>
  </r>
  <r>
    <s v="2024-12-18"/>
    <s v="miércoles"/>
    <x v="7"/>
    <s v="2024"/>
    <x v="0"/>
    <x v="0"/>
    <x v="3"/>
    <x v="3"/>
    <x v="2"/>
    <n v="2"/>
    <n v="37526"/>
    <n v="75052"/>
    <x v="2"/>
  </r>
  <r>
    <s v="2024-03-08"/>
    <s v="viernes"/>
    <x v="6"/>
    <s v="2024"/>
    <x v="2"/>
    <x v="4"/>
    <x v="3"/>
    <x v="2"/>
    <x v="0"/>
    <n v="7"/>
    <n v="16124"/>
    <n v="112868"/>
    <x v="3"/>
  </r>
  <r>
    <s v="2024-05-01"/>
    <s v="miércoles"/>
    <x v="4"/>
    <s v="2024"/>
    <x v="2"/>
    <x v="0"/>
    <x v="2"/>
    <x v="2"/>
    <x v="1"/>
    <n v="15"/>
    <n v="36949"/>
    <n v="554235"/>
    <x v="2"/>
  </r>
  <r>
    <s v="2024-01-02"/>
    <s v="martes"/>
    <x v="11"/>
    <s v="2024"/>
    <x v="0"/>
    <x v="3"/>
    <x v="0"/>
    <x v="2"/>
    <x v="0"/>
    <n v="2"/>
    <n v="25558"/>
    <n v="51116"/>
    <x v="3"/>
  </r>
  <r>
    <s v="2024-04-18"/>
    <s v="jueves"/>
    <x v="3"/>
    <s v="2024"/>
    <x v="1"/>
    <x v="2"/>
    <x v="2"/>
    <x v="2"/>
    <x v="0"/>
    <n v="10"/>
    <n v="35045"/>
    <n v="350450"/>
    <x v="1"/>
  </r>
  <r>
    <s v="2024-09-06"/>
    <s v="viernes"/>
    <x v="1"/>
    <s v="2024"/>
    <x v="2"/>
    <x v="0"/>
    <x v="0"/>
    <x v="3"/>
    <x v="0"/>
    <n v="5"/>
    <n v="49985"/>
    <n v="249925"/>
    <x v="1"/>
  </r>
  <r>
    <s v="2024-03-15"/>
    <s v="viernes"/>
    <x v="6"/>
    <s v="2024"/>
    <x v="1"/>
    <x v="0"/>
    <x v="1"/>
    <x v="3"/>
    <x v="0"/>
    <n v="7"/>
    <n v="32031"/>
    <n v="224217"/>
    <x v="0"/>
  </r>
  <r>
    <s v="2024-06-09"/>
    <s v="domingo"/>
    <x v="9"/>
    <s v="2024"/>
    <x v="3"/>
    <x v="2"/>
    <x v="4"/>
    <x v="0"/>
    <x v="2"/>
    <n v="1"/>
    <n v="55584"/>
    <n v="55584"/>
    <x v="0"/>
  </r>
  <r>
    <s v="2024-08-19"/>
    <s v="lunes"/>
    <x v="2"/>
    <s v="2024"/>
    <x v="4"/>
    <x v="1"/>
    <x v="3"/>
    <x v="1"/>
    <x v="2"/>
    <n v="8"/>
    <n v="56825"/>
    <n v="454600"/>
    <x v="3"/>
  </r>
  <r>
    <s v="2024-05-28"/>
    <s v="martes"/>
    <x v="4"/>
    <s v="2024"/>
    <x v="2"/>
    <x v="4"/>
    <x v="4"/>
    <x v="3"/>
    <x v="2"/>
    <n v="13"/>
    <n v="24871"/>
    <n v="323323"/>
    <x v="3"/>
  </r>
  <r>
    <s v="2024-01-07"/>
    <s v="domingo"/>
    <x v="11"/>
    <s v="2024"/>
    <x v="4"/>
    <x v="3"/>
    <x v="2"/>
    <x v="1"/>
    <x v="1"/>
    <n v="1"/>
    <n v="37138"/>
    <n v="37138"/>
    <x v="3"/>
  </r>
  <r>
    <s v="2024-01-04"/>
    <s v="jueves"/>
    <x v="11"/>
    <s v="2024"/>
    <x v="4"/>
    <x v="2"/>
    <x v="1"/>
    <x v="4"/>
    <x v="2"/>
    <n v="18"/>
    <n v="44145"/>
    <n v="794610"/>
    <x v="2"/>
  </r>
  <r>
    <s v="2024-03-09"/>
    <s v="sábado"/>
    <x v="6"/>
    <s v="2024"/>
    <x v="0"/>
    <x v="1"/>
    <x v="1"/>
    <x v="2"/>
    <x v="0"/>
    <n v="14"/>
    <n v="27663"/>
    <n v="387282"/>
    <x v="1"/>
  </r>
  <r>
    <s v="2024-07-03"/>
    <s v="miércoles"/>
    <x v="0"/>
    <s v="2024"/>
    <x v="3"/>
    <x v="1"/>
    <x v="0"/>
    <x v="4"/>
    <x v="1"/>
    <n v="13"/>
    <n v="58976"/>
    <n v="766688"/>
    <x v="0"/>
  </r>
  <r>
    <s v="2024-03-25"/>
    <s v="lunes"/>
    <x v="6"/>
    <s v="2024"/>
    <x v="2"/>
    <x v="0"/>
    <x v="3"/>
    <x v="2"/>
    <x v="1"/>
    <n v="19"/>
    <n v="42012"/>
    <n v="798228"/>
    <x v="3"/>
  </r>
  <r>
    <s v="2024-08-26"/>
    <s v="lunes"/>
    <x v="2"/>
    <s v="2024"/>
    <x v="4"/>
    <x v="4"/>
    <x v="2"/>
    <x v="3"/>
    <x v="0"/>
    <n v="17"/>
    <n v="18660"/>
    <n v="317220"/>
    <x v="1"/>
  </r>
  <r>
    <s v="2024-01-12"/>
    <s v="viernes"/>
    <x v="11"/>
    <s v="2024"/>
    <x v="2"/>
    <x v="2"/>
    <x v="4"/>
    <x v="4"/>
    <x v="1"/>
    <n v="8"/>
    <n v="59405"/>
    <n v="475240"/>
    <x v="3"/>
  </r>
  <r>
    <s v="2024-04-15"/>
    <s v="lunes"/>
    <x v="3"/>
    <s v="2024"/>
    <x v="4"/>
    <x v="0"/>
    <x v="4"/>
    <x v="1"/>
    <x v="1"/>
    <n v="1"/>
    <n v="23213"/>
    <n v="23213"/>
    <x v="2"/>
  </r>
  <r>
    <s v="2024-12-07"/>
    <s v="sábado"/>
    <x v="7"/>
    <s v="2024"/>
    <x v="4"/>
    <x v="3"/>
    <x v="3"/>
    <x v="2"/>
    <x v="0"/>
    <n v="10"/>
    <n v="35343"/>
    <n v="353430"/>
    <x v="0"/>
  </r>
  <r>
    <s v="2024-04-15"/>
    <s v="lunes"/>
    <x v="3"/>
    <s v="2024"/>
    <x v="1"/>
    <x v="4"/>
    <x v="1"/>
    <x v="0"/>
    <x v="0"/>
    <n v="13"/>
    <n v="37599"/>
    <n v="488787"/>
    <x v="1"/>
  </r>
  <r>
    <s v="2024-06-08"/>
    <s v="sábado"/>
    <x v="9"/>
    <s v="2024"/>
    <x v="4"/>
    <x v="2"/>
    <x v="4"/>
    <x v="2"/>
    <x v="0"/>
    <n v="20"/>
    <n v="59994"/>
    <n v="1199880"/>
    <x v="0"/>
  </r>
  <r>
    <s v="2024-05-01"/>
    <s v="miércoles"/>
    <x v="4"/>
    <s v="2024"/>
    <x v="4"/>
    <x v="0"/>
    <x v="2"/>
    <x v="2"/>
    <x v="1"/>
    <n v="2"/>
    <n v="59533"/>
    <n v="119066"/>
    <x v="1"/>
  </r>
  <r>
    <s v="2024-09-10"/>
    <s v="martes"/>
    <x v="1"/>
    <s v="2024"/>
    <x v="2"/>
    <x v="0"/>
    <x v="0"/>
    <x v="2"/>
    <x v="1"/>
    <n v="9"/>
    <n v="29728"/>
    <n v="267552"/>
    <x v="2"/>
  </r>
  <r>
    <s v="2024-11-18"/>
    <s v="lunes"/>
    <x v="5"/>
    <s v="2024"/>
    <x v="0"/>
    <x v="2"/>
    <x v="1"/>
    <x v="4"/>
    <x v="0"/>
    <n v="14"/>
    <n v="33586"/>
    <n v="470204"/>
    <x v="2"/>
  </r>
  <r>
    <s v="2024-09-14"/>
    <s v="sábado"/>
    <x v="1"/>
    <s v="2024"/>
    <x v="1"/>
    <x v="1"/>
    <x v="4"/>
    <x v="0"/>
    <x v="1"/>
    <n v="6"/>
    <n v="20356"/>
    <n v="122136"/>
    <x v="1"/>
  </r>
  <r>
    <s v="2024-02-21"/>
    <s v="miércoles"/>
    <x v="10"/>
    <s v="2024"/>
    <x v="3"/>
    <x v="1"/>
    <x v="1"/>
    <x v="4"/>
    <x v="0"/>
    <n v="12"/>
    <n v="48402"/>
    <n v="580824"/>
    <x v="3"/>
  </r>
  <r>
    <s v="2024-12-13"/>
    <s v="viernes"/>
    <x v="7"/>
    <s v="2024"/>
    <x v="4"/>
    <x v="0"/>
    <x v="4"/>
    <x v="3"/>
    <x v="0"/>
    <n v="1"/>
    <n v="16938"/>
    <n v="16938"/>
    <x v="1"/>
  </r>
  <r>
    <s v="2024-05-17"/>
    <s v="viernes"/>
    <x v="4"/>
    <s v="2024"/>
    <x v="2"/>
    <x v="2"/>
    <x v="0"/>
    <x v="0"/>
    <x v="0"/>
    <n v="13"/>
    <n v="57731"/>
    <n v="750503"/>
    <x v="0"/>
  </r>
  <r>
    <s v="2024-08-01"/>
    <s v="jueves"/>
    <x v="2"/>
    <s v="2024"/>
    <x v="1"/>
    <x v="4"/>
    <x v="0"/>
    <x v="0"/>
    <x v="0"/>
    <n v="1"/>
    <n v="50925"/>
    <n v="50925"/>
    <x v="2"/>
  </r>
  <r>
    <s v="2024-10-14"/>
    <s v="lunes"/>
    <x v="8"/>
    <s v="2024"/>
    <x v="4"/>
    <x v="3"/>
    <x v="4"/>
    <x v="3"/>
    <x v="1"/>
    <n v="6"/>
    <n v="53839"/>
    <n v="323034"/>
    <x v="0"/>
  </r>
  <r>
    <s v="2024-01-11"/>
    <s v="jueves"/>
    <x v="11"/>
    <s v="2024"/>
    <x v="0"/>
    <x v="1"/>
    <x v="3"/>
    <x v="1"/>
    <x v="0"/>
    <n v="7"/>
    <n v="21053"/>
    <n v="147371"/>
    <x v="0"/>
  </r>
  <r>
    <s v="2024-10-21"/>
    <s v="lunes"/>
    <x v="8"/>
    <s v="2024"/>
    <x v="4"/>
    <x v="2"/>
    <x v="0"/>
    <x v="1"/>
    <x v="1"/>
    <n v="18"/>
    <n v="57153"/>
    <n v="1028754"/>
    <x v="2"/>
  </r>
  <r>
    <s v="2024-01-07"/>
    <s v="domingo"/>
    <x v="11"/>
    <s v="2024"/>
    <x v="3"/>
    <x v="3"/>
    <x v="1"/>
    <x v="1"/>
    <x v="1"/>
    <n v="17"/>
    <n v="56627"/>
    <n v="962659"/>
    <x v="2"/>
  </r>
  <r>
    <s v="2024-06-07"/>
    <s v="viernes"/>
    <x v="9"/>
    <s v="2024"/>
    <x v="4"/>
    <x v="3"/>
    <x v="3"/>
    <x v="1"/>
    <x v="2"/>
    <n v="9"/>
    <n v="58676"/>
    <n v="528084"/>
    <x v="1"/>
  </r>
  <r>
    <s v="2024-10-10"/>
    <s v="jueves"/>
    <x v="8"/>
    <s v="2024"/>
    <x v="0"/>
    <x v="1"/>
    <x v="2"/>
    <x v="3"/>
    <x v="0"/>
    <n v="15"/>
    <n v="23478"/>
    <n v="352170"/>
    <x v="3"/>
  </r>
  <r>
    <s v="2024-06-19"/>
    <s v="miércoles"/>
    <x v="9"/>
    <s v="2024"/>
    <x v="4"/>
    <x v="0"/>
    <x v="3"/>
    <x v="2"/>
    <x v="1"/>
    <n v="8"/>
    <n v="33263"/>
    <n v="266104"/>
    <x v="3"/>
  </r>
  <r>
    <s v="2024-11-10"/>
    <s v="domingo"/>
    <x v="5"/>
    <s v="2024"/>
    <x v="0"/>
    <x v="4"/>
    <x v="1"/>
    <x v="4"/>
    <x v="1"/>
    <n v="3"/>
    <n v="26400"/>
    <n v="79200"/>
    <x v="1"/>
  </r>
  <r>
    <s v="2024-05-11"/>
    <s v="sábado"/>
    <x v="4"/>
    <s v="2024"/>
    <x v="0"/>
    <x v="2"/>
    <x v="0"/>
    <x v="2"/>
    <x v="0"/>
    <n v="9"/>
    <n v="29092"/>
    <n v="261828"/>
    <x v="2"/>
  </r>
  <r>
    <s v="2024-11-17"/>
    <s v="domingo"/>
    <x v="5"/>
    <s v="2024"/>
    <x v="4"/>
    <x v="1"/>
    <x v="2"/>
    <x v="4"/>
    <x v="1"/>
    <n v="8"/>
    <n v="41246"/>
    <n v="329968"/>
    <x v="1"/>
  </r>
  <r>
    <s v="2024-05-23"/>
    <s v="jueves"/>
    <x v="4"/>
    <s v="2024"/>
    <x v="3"/>
    <x v="3"/>
    <x v="3"/>
    <x v="1"/>
    <x v="1"/>
    <n v="6"/>
    <n v="55363"/>
    <n v="332178"/>
    <x v="1"/>
  </r>
  <r>
    <s v="2024-10-24"/>
    <s v="jueves"/>
    <x v="8"/>
    <s v="2024"/>
    <x v="3"/>
    <x v="1"/>
    <x v="3"/>
    <x v="0"/>
    <x v="0"/>
    <n v="19"/>
    <n v="17206"/>
    <n v="326914"/>
    <x v="3"/>
  </r>
  <r>
    <s v="2024-09-09"/>
    <s v="lunes"/>
    <x v="1"/>
    <s v="2024"/>
    <x v="0"/>
    <x v="4"/>
    <x v="4"/>
    <x v="0"/>
    <x v="1"/>
    <n v="13"/>
    <n v="27116"/>
    <n v="352508"/>
    <x v="3"/>
  </r>
  <r>
    <s v="2024-07-25"/>
    <s v="jueves"/>
    <x v="0"/>
    <s v="2024"/>
    <x v="0"/>
    <x v="3"/>
    <x v="4"/>
    <x v="1"/>
    <x v="2"/>
    <n v="16"/>
    <n v="25922"/>
    <n v="414752"/>
    <x v="1"/>
  </r>
  <r>
    <s v="2024-12-15"/>
    <s v="domingo"/>
    <x v="7"/>
    <s v="2024"/>
    <x v="2"/>
    <x v="4"/>
    <x v="1"/>
    <x v="1"/>
    <x v="2"/>
    <n v="13"/>
    <n v="59388"/>
    <n v="772044"/>
    <x v="3"/>
  </r>
  <r>
    <s v="2024-01-21"/>
    <s v="domingo"/>
    <x v="11"/>
    <s v="2024"/>
    <x v="4"/>
    <x v="0"/>
    <x v="3"/>
    <x v="4"/>
    <x v="1"/>
    <n v="8"/>
    <n v="37444"/>
    <n v="299552"/>
    <x v="3"/>
  </r>
  <r>
    <s v="2024-04-06"/>
    <s v="sábado"/>
    <x v="3"/>
    <s v="2024"/>
    <x v="3"/>
    <x v="0"/>
    <x v="2"/>
    <x v="4"/>
    <x v="2"/>
    <n v="5"/>
    <n v="54888"/>
    <n v="274440"/>
    <x v="0"/>
  </r>
  <r>
    <s v="2024-05-31"/>
    <s v="viernes"/>
    <x v="4"/>
    <s v="2024"/>
    <x v="1"/>
    <x v="0"/>
    <x v="1"/>
    <x v="0"/>
    <x v="0"/>
    <n v="13"/>
    <n v="38263"/>
    <n v="497419"/>
    <x v="2"/>
  </r>
  <r>
    <s v="2024-04-10"/>
    <s v="miércoles"/>
    <x v="3"/>
    <s v="2024"/>
    <x v="3"/>
    <x v="2"/>
    <x v="4"/>
    <x v="1"/>
    <x v="0"/>
    <n v="15"/>
    <n v="17853"/>
    <n v="267795"/>
    <x v="3"/>
  </r>
  <r>
    <s v="2024-12-05"/>
    <s v="jueves"/>
    <x v="7"/>
    <s v="2024"/>
    <x v="3"/>
    <x v="0"/>
    <x v="0"/>
    <x v="3"/>
    <x v="0"/>
    <n v="13"/>
    <n v="39574"/>
    <n v="514462"/>
    <x v="2"/>
  </r>
  <r>
    <s v="2024-06-10"/>
    <s v="lunes"/>
    <x v="9"/>
    <s v="2024"/>
    <x v="4"/>
    <x v="4"/>
    <x v="0"/>
    <x v="3"/>
    <x v="2"/>
    <n v="2"/>
    <n v="57630"/>
    <n v="115260"/>
    <x v="0"/>
  </r>
  <r>
    <s v="2024-10-19"/>
    <s v="sábado"/>
    <x v="8"/>
    <s v="2024"/>
    <x v="1"/>
    <x v="3"/>
    <x v="0"/>
    <x v="1"/>
    <x v="2"/>
    <n v="6"/>
    <n v="26253"/>
    <n v="157518"/>
    <x v="2"/>
  </r>
  <r>
    <s v="2024-08-05"/>
    <s v="lunes"/>
    <x v="2"/>
    <s v="2024"/>
    <x v="3"/>
    <x v="4"/>
    <x v="2"/>
    <x v="1"/>
    <x v="1"/>
    <n v="18"/>
    <n v="33208"/>
    <n v="597744"/>
    <x v="0"/>
  </r>
  <r>
    <s v="2024-11-28"/>
    <s v="jueves"/>
    <x v="5"/>
    <s v="2024"/>
    <x v="4"/>
    <x v="4"/>
    <x v="2"/>
    <x v="3"/>
    <x v="1"/>
    <n v="12"/>
    <n v="47984"/>
    <n v="575808"/>
    <x v="2"/>
  </r>
  <r>
    <s v="2024-07-22"/>
    <s v="lunes"/>
    <x v="0"/>
    <s v="2024"/>
    <x v="2"/>
    <x v="0"/>
    <x v="1"/>
    <x v="0"/>
    <x v="2"/>
    <n v="1"/>
    <n v="17721"/>
    <n v="17721"/>
    <x v="2"/>
  </r>
  <r>
    <s v="2024-07-01"/>
    <s v="lunes"/>
    <x v="0"/>
    <s v="2024"/>
    <x v="0"/>
    <x v="0"/>
    <x v="0"/>
    <x v="0"/>
    <x v="1"/>
    <n v="5"/>
    <n v="39704"/>
    <n v="198520"/>
    <x v="1"/>
  </r>
  <r>
    <s v="2024-08-10"/>
    <s v="sábado"/>
    <x v="2"/>
    <s v="2024"/>
    <x v="0"/>
    <x v="1"/>
    <x v="1"/>
    <x v="2"/>
    <x v="2"/>
    <n v="13"/>
    <n v="39187"/>
    <n v="509431"/>
    <x v="1"/>
  </r>
  <r>
    <s v="2024-05-12"/>
    <s v="domingo"/>
    <x v="4"/>
    <s v="2024"/>
    <x v="4"/>
    <x v="3"/>
    <x v="4"/>
    <x v="0"/>
    <x v="1"/>
    <n v="4"/>
    <n v="27408"/>
    <n v="109632"/>
    <x v="2"/>
  </r>
  <r>
    <s v="2024-02-12"/>
    <s v="lunes"/>
    <x v="10"/>
    <s v="2024"/>
    <x v="3"/>
    <x v="1"/>
    <x v="0"/>
    <x v="4"/>
    <x v="0"/>
    <n v="3"/>
    <n v="31535"/>
    <n v="94605"/>
    <x v="0"/>
  </r>
  <r>
    <s v="2024-01-08"/>
    <s v="lunes"/>
    <x v="11"/>
    <s v="2024"/>
    <x v="1"/>
    <x v="1"/>
    <x v="1"/>
    <x v="3"/>
    <x v="2"/>
    <n v="8"/>
    <n v="48205"/>
    <n v="385640"/>
    <x v="1"/>
  </r>
  <r>
    <s v="2024-11-28"/>
    <s v="jueves"/>
    <x v="5"/>
    <s v="2024"/>
    <x v="0"/>
    <x v="4"/>
    <x v="2"/>
    <x v="0"/>
    <x v="1"/>
    <n v="10"/>
    <n v="28175"/>
    <n v="281750"/>
    <x v="1"/>
  </r>
  <r>
    <s v="2024-11-17"/>
    <s v="domingo"/>
    <x v="5"/>
    <s v="2024"/>
    <x v="3"/>
    <x v="1"/>
    <x v="2"/>
    <x v="2"/>
    <x v="0"/>
    <n v="9"/>
    <n v="15143"/>
    <n v="136287"/>
    <x v="2"/>
  </r>
  <r>
    <s v="2024-11-09"/>
    <s v="sábado"/>
    <x v="5"/>
    <s v="2024"/>
    <x v="2"/>
    <x v="4"/>
    <x v="2"/>
    <x v="0"/>
    <x v="0"/>
    <n v="2"/>
    <n v="37032"/>
    <n v="74064"/>
    <x v="1"/>
  </r>
  <r>
    <s v="2024-12-22"/>
    <s v="domingo"/>
    <x v="7"/>
    <s v="2024"/>
    <x v="0"/>
    <x v="1"/>
    <x v="1"/>
    <x v="1"/>
    <x v="0"/>
    <n v="10"/>
    <n v="59246"/>
    <n v="592460"/>
    <x v="2"/>
  </r>
  <r>
    <s v="2024-12-03"/>
    <s v="martes"/>
    <x v="7"/>
    <s v="2024"/>
    <x v="0"/>
    <x v="0"/>
    <x v="4"/>
    <x v="1"/>
    <x v="2"/>
    <n v="2"/>
    <n v="44615"/>
    <n v="89230"/>
    <x v="3"/>
  </r>
  <r>
    <s v="2024-05-11"/>
    <s v="sábado"/>
    <x v="4"/>
    <s v="2024"/>
    <x v="1"/>
    <x v="0"/>
    <x v="0"/>
    <x v="4"/>
    <x v="0"/>
    <n v="20"/>
    <n v="34008"/>
    <n v="680160"/>
    <x v="2"/>
  </r>
  <r>
    <s v="2024-03-14"/>
    <s v="jueves"/>
    <x v="6"/>
    <s v="2024"/>
    <x v="2"/>
    <x v="4"/>
    <x v="1"/>
    <x v="4"/>
    <x v="0"/>
    <n v="11"/>
    <n v="49260"/>
    <n v="541860"/>
    <x v="2"/>
  </r>
  <r>
    <s v="2024-09-20"/>
    <s v="viernes"/>
    <x v="1"/>
    <s v="2024"/>
    <x v="1"/>
    <x v="4"/>
    <x v="2"/>
    <x v="0"/>
    <x v="0"/>
    <n v="19"/>
    <n v="55055"/>
    <n v="1046045"/>
    <x v="0"/>
  </r>
  <r>
    <s v="2024-01-05"/>
    <s v="viernes"/>
    <x v="11"/>
    <s v="2024"/>
    <x v="0"/>
    <x v="0"/>
    <x v="3"/>
    <x v="0"/>
    <x v="2"/>
    <n v="2"/>
    <n v="16677"/>
    <n v="33354"/>
    <x v="0"/>
  </r>
  <r>
    <s v="2024-02-01"/>
    <s v="jueves"/>
    <x v="10"/>
    <s v="2024"/>
    <x v="4"/>
    <x v="4"/>
    <x v="3"/>
    <x v="3"/>
    <x v="2"/>
    <n v="8"/>
    <n v="15816"/>
    <n v="126528"/>
    <x v="3"/>
  </r>
  <r>
    <s v="2024-09-09"/>
    <s v="lunes"/>
    <x v="1"/>
    <s v="2024"/>
    <x v="4"/>
    <x v="4"/>
    <x v="3"/>
    <x v="0"/>
    <x v="0"/>
    <n v="6"/>
    <n v="55423"/>
    <n v="332538"/>
    <x v="2"/>
  </r>
  <r>
    <s v="2024-02-15"/>
    <s v="jueves"/>
    <x v="10"/>
    <s v="2024"/>
    <x v="4"/>
    <x v="1"/>
    <x v="3"/>
    <x v="3"/>
    <x v="1"/>
    <n v="1"/>
    <n v="39064"/>
    <n v="39064"/>
    <x v="2"/>
  </r>
  <r>
    <s v="2024-10-21"/>
    <s v="lunes"/>
    <x v="8"/>
    <s v="2024"/>
    <x v="2"/>
    <x v="0"/>
    <x v="1"/>
    <x v="2"/>
    <x v="2"/>
    <n v="3"/>
    <n v="21366"/>
    <n v="64098"/>
    <x v="2"/>
  </r>
  <r>
    <s v="2024-12-24"/>
    <s v="martes"/>
    <x v="7"/>
    <s v="2024"/>
    <x v="2"/>
    <x v="0"/>
    <x v="0"/>
    <x v="2"/>
    <x v="0"/>
    <n v="2"/>
    <n v="41682"/>
    <n v="83364"/>
    <x v="1"/>
  </r>
  <r>
    <s v="2024-05-24"/>
    <s v="viernes"/>
    <x v="4"/>
    <s v="2024"/>
    <x v="4"/>
    <x v="0"/>
    <x v="0"/>
    <x v="0"/>
    <x v="2"/>
    <n v="13"/>
    <n v="48846"/>
    <n v="634998"/>
    <x v="3"/>
  </r>
  <r>
    <s v="2024-10-23"/>
    <s v="miércoles"/>
    <x v="8"/>
    <s v="2024"/>
    <x v="3"/>
    <x v="0"/>
    <x v="1"/>
    <x v="2"/>
    <x v="1"/>
    <n v="11"/>
    <n v="25360"/>
    <n v="278960"/>
    <x v="1"/>
  </r>
  <r>
    <s v="2024-06-02"/>
    <s v="domingo"/>
    <x v="9"/>
    <s v="2024"/>
    <x v="1"/>
    <x v="2"/>
    <x v="0"/>
    <x v="1"/>
    <x v="2"/>
    <n v="17"/>
    <n v="35635"/>
    <n v="605795"/>
    <x v="1"/>
  </r>
  <r>
    <s v="2024-11-30"/>
    <s v="sábado"/>
    <x v="5"/>
    <s v="2024"/>
    <x v="3"/>
    <x v="0"/>
    <x v="4"/>
    <x v="4"/>
    <x v="1"/>
    <n v="15"/>
    <n v="24676"/>
    <n v="370140"/>
    <x v="0"/>
  </r>
  <r>
    <s v="2024-01-15"/>
    <s v="lunes"/>
    <x v="11"/>
    <s v="2024"/>
    <x v="4"/>
    <x v="2"/>
    <x v="1"/>
    <x v="0"/>
    <x v="1"/>
    <n v="3"/>
    <n v="22556"/>
    <n v="67668"/>
    <x v="3"/>
  </r>
  <r>
    <s v="2024-08-18"/>
    <s v="domingo"/>
    <x v="2"/>
    <s v="2024"/>
    <x v="1"/>
    <x v="3"/>
    <x v="0"/>
    <x v="0"/>
    <x v="2"/>
    <n v="1"/>
    <n v="45978"/>
    <n v="45978"/>
    <x v="3"/>
  </r>
  <r>
    <s v="2024-01-09"/>
    <s v="martes"/>
    <x v="11"/>
    <s v="2024"/>
    <x v="4"/>
    <x v="1"/>
    <x v="1"/>
    <x v="4"/>
    <x v="2"/>
    <n v="12"/>
    <n v="31477"/>
    <n v="377724"/>
    <x v="2"/>
  </r>
  <r>
    <s v="2024-08-29"/>
    <s v="jueves"/>
    <x v="2"/>
    <s v="2024"/>
    <x v="2"/>
    <x v="0"/>
    <x v="1"/>
    <x v="1"/>
    <x v="2"/>
    <n v="13"/>
    <n v="22430"/>
    <n v="291590"/>
    <x v="3"/>
  </r>
  <r>
    <s v="2024-02-09"/>
    <s v="viernes"/>
    <x v="10"/>
    <s v="2024"/>
    <x v="4"/>
    <x v="1"/>
    <x v="2"/>
    <x v="2"/>
    <x v="0"/>
    <n v="5"/>
    <n v="38108"/>
    <n v="190540"/>
    <x v="3"/>
  </r>
  <r>
    <s v="2024-08-02"/>
    <s v="viernes"/>
    <x v="2"/>
    <s v="2024"/>
    <x v="3"/>
    <x v="2"/>
    <x v="1"/>
    <x v="0"/>
    <x v="0"/>
    <n v="19"/>
    <n v="27082"/>
    <n v="514558"/>
    <x v="0"/>
  </r>
  <r>
    <s v="2024-11-27"/>
    <s v="miércoles"/>
    <x v="5"/>
    <s v="2024"/>
    <x v="4"/>
    <x v="3"/>
    <x v="3"/>
    <x v="3"/>
    <x v="2"/>
    <n v="10"/>
    <n v="53813"/>
    <n v="538130"/>
    <x v="2"/>
  </r>
  <r>
    <s v="2024-03-03"/>
    <s v="domingo"/>
    <x v="6"/>
    <s v="2024"/>
    <x v="0"/>
    <x v="4"/>
    <x v="1"/>
    <x v="2"/>
    <x v="2"/>
    <n v="9"/>
    <n v="49875"/>
    <n v="448875"/>
    <x v="3"/>
  </r>
  <r>
    <s v="2024-04-24"/>
    <s v="miércoles"/>
    <x v="3"/>
    <s v="2024"/>
    <x v="4"/>
    <x v="2"/>
    <x v="1"/>
    <x v="4"/>
    <x v="0"/>
    <n v="1"/>
    <n v="32297"/>
    <n v="32297"/>
    <x v="2"/>
  </r>
  <r>
    <s v="2024-01-17"/>
    <s v="miércoles"/>
    <x v="11"/>
    <s v="2024"/>
    <x v="0"/>
    <x v="1"/>
    <x v="3"/>
    <x v="3"/>
    <x v="0"/>
    <n v="12"/>
    <n v="39710"/>
    <n v="476520"/>
    <x v="1"/>
  </r>
  <r>
    <s v="2024-02-19"/>
    <s v="lunes"/>
    <x v="10"/>
    <s v="2024"/>
    <x v="0"/>
    <x v="0"/>
    <x v="1"/>
    <x v="0"/>
    <x v="0"/>
    <n v="11"/>
    <n v="27334"/>
    <n v="300674"/>
    <x v="1"/>
  </r>
  <r>
    <s v="2024-02-25"/>
    <s v="domingo"/>
    <x v="10"/>
    <s v="2024"/>
    <x v="2"/>
    <x v="1"/>
    <x v="4"/>
    <x v="1"/>
    <x v="0"/>
    <n v="3"/>
    <n v="22760"/>
    <n v="68280"/>
    <x v="3"/>
  </r>
  <r>
    <s v="2024-09-22"/>
    <s v="domingo"/>
    <x v="1"/>
    <s v="2024"/>
    <x v="4"/>
    <x v="1"/>
    <x v="4"/>
    <x v="3"/>
    <x v="0"/>
    <n v="15"/>
    <n v="30645"/>
    <n v="459675"/>
    <x v="1"/>
  </r>
  <r>
    <s v="2024-04-06"/>
    <s v="sábado"/>
    <x v="3"/>
    <s v="2024"/>
    <x v="1"/>
    <x v="1"/>
    <x v="1"/>
    <x v="2"/>
    <x v="2"/>
    <n v="4"/>
    <n v="55336"/>
    <n v="221344"/>
    <x v="0"/>
  </r>
  <r>
    <s v="2024-04-09"/>
    <s v="martes"/>
    <x v="3"/>
    <s v="2024"/>
    <x v="2"/>
    <x v="3"/>
    <x v="3"/>
    <x v="1"/>
    <x v="1"/>
    <n v="10"/>
    <n v="46579"/>
    <n v="465790"/>
    <x v="0"/>
  </r>
  <r>
    <s v="2024-01-17"/>
    <s v="miércoles"/>
    <x v="11"/>
    <s v="2024"/>
    <x v="0"/>
    <x v="1"/>
    <x v="4"/>
    <x v="2"/>
    <x v="0"/>
    <n v="13"/>
    <n v="54958"/>
    <n v="714454"/>
    <x v="3"/>
  </r>
  <r>
    <s v="2024-07-11"/>
    <s v="jueves"/>
    <x v="0"/>
    <s v="2024"/>
    <x v="2"/>
    <x v="1"/>
    <x v="0"/>
    <x v="4"/>
    <x v="2"/>
    <n v="19"/>
    <n v="53506"/>
    <n v="1016614"/>
    <x v="1"/>
  </r>
  <r>
    <s v="2024-02-29"/>
    <s v="jueves"/>
    <x v="10"/>
    <s v="2024"/>
    <x v="1"/>
    <x v="4"/>
    <x v="0"/>
    <x v="3"/>
    <x v="1"/>
    <n v="16"/>
    <n v="47165"/>
    <n v="754640"/>
    <x v="2"/>
  </r>
  <r>
    <s v="2024-03-01"/>
    <s v="viernes"/>
    <x v="6"/>
    <s v="2024"/>
    <x v="0"/>
    <x v="4"/>
    <x v="1"/>
    <x v="2"/>
    <x v="1"/>
    <n v="7"/>
    <n v="17402"/>
    <n v="121814"/>
    <x v="2"/>
  </r>
  <r>
    <s v="2024-08-16"/>
    <s v="viernes"/>
    <x v="2"/>
    <s v="2024"/>
    <x v="4"/>
    <x v="1"/>
    <x v="3"/>
    <x v="1"/>
    <x v="2"/>
    <n v="2"/>
    <n v="17121"/>
    <n v="34242"/>
    <x v="2"/>
  </r>
  <r>
    <s v="2024-12-17"/>
    <s v="martes"/>
    <x v="7"/>
    <s v="2024"/>
    <x v="1"/>
    <x v="4"/>
    <x v="2"/>
    <x v="4"/>
    <x v="1"/>
    <n v="9"/>
    <n v="50343"/>
    <n v="453087"/>
    <x v="3"/>
  </r>
  <r>
    <s v="2024-11-16"/>
    <s v="sábado"/>
    <x v="5"/>
    <s v="2024"/>
    <x v="4"/>
    <x v="3"/>
    <x v="3"/>
    <x v="1"/>
    <x v="0"/>
    <n v="1"/>
    <n v="51300"/>
    <n v="51300"/>
    <x v="0"/>
  </r>
  <r>
    <s v="2024-09-01"/>
    <s v="domingo"/>
    <x v="1"/>
    <s v="2024"/>
    <x v="3"/>
    <x v="3"/>
    <x v="2"/>
    <x v="2"/>
    <x v="1"/>
    <n v="16"/>
    <n v="33026"/>
    <n v="528416"/>
    <x v="2"/>
  </r>
  <r>
    <s v="2024-04-28"/>
    <s v="domingo"/>
    <x v="3"/>
    <s v="2024"/>
    <x v="4"/>
    <x v="0"/>
    <x v="3"/>
    <x v="0"/>
    <x v="2"/>
    <n v="2"/>
    <n v="46008"/>
    <n v="92016"/>
    <x v="3"/>
  </r>
  <r>
    <s v="2024-11-24"/>
    <s v="domingo"/>
    <x v="5"/>
    <s v="2024"/>
    <x v="2"/>
    <x v="2"/>
    <x v="3"/>
    <x v="2"/>
    <x v="0"/>
    <n v="6"/>
    <n v="36913"/>
    <n v="221478"/>
    <x v="3"/>
  </r>
  <r>
    <s v="2024-03-07"/>
    <s v="jueves"/>
    <x v="6"/>
    <s v="2024"/>
    <x v="1"/>
    <x v="0"/>
    <x v="4"/>
    <x v="3"/>
    <x v="2"/>
    <n v="17"/>
    <n v="44130"/>
    <n v="750210"/>
    <x v="3"/>
  </r>
  <r>
    <s v="2024-05-02"/>
    <s v="jueves"/>
    <x v="4"/>
    <s v="2024"/>
    <x v="3"/>
    <x v="0"/>
    <x v="0"/>
    <x v="4"/>
    <x v="2"/>
    <n v="2"/>
    <n v="22956"/>
    <n v="45912"/>
    <x v="0"/>
  </r>
  <r>
    <s v="2024-01-10"/>
    <s v="miércoles"/>
    <x v="11"/>
    <s v="2024"/>
    <x v="4"/>
    <x v="2"/>
    <x v="1"/>
    <x v="4"/>
    <x v="0"/>
    <n v="8"/>
    <n v="40805"/>
    <n v="326440"/>
    <x v="1"/>
  </r>
  <r>
    <s v="2024-04-20"/>
    <s v="sábado"/>
    <x v="3"/>
    <s v="2024"/>
    <x v="0"/>
    <x v="0"/>
    <x v="1"/>
    <x v="4"/>
    <x v="1"/>
    <n v="12"/>
    <n v="45674"/>
    <n v="548088"/>
    <x v="3"/>
  </r>
  <r>
    <s v="2024-08-31"/>
    <s v="sábado"/>
    <x v="2"/>
    <s v="2024"/>
    <x v="0"/>
    <x v="3"/>
    <x v="4"/>
    <x v="4"/>
    <x v="1"/>
    <n v="14"/>
    <n v="19795"/>
    <n v="277130"/>
    <x v="2"/>
  </r>
  <r>
    <s v="2024-03-23"/>
    <s v="sábado"/>
    <x v="6"/>
    <s v="2024"/>
    <x v="3"/>
    <x v="3"/>
    <x v="1"/>
    <x v="2"/>
    <x v="0"/>
    <n v="20"/>
    <n v="45348"/>
    <n v="906960"/>
    <x v="1"/>
  </r>
  <r>
    <s v="2024-09-03"/>
    <s v="martes"/>
    <x v="1"/>
    <s v="2024"/>
    <x v="2"/>
    <x v="2"/>
    <x v="3"/>
    <x v="4"/>
    <x v="1"/>
    <n v="1"/>
    <n v="50520"/>
    <n v="50520"/>
    <x v="3"/>
  </r>
  <r>
    <s v="2024-06-05"/>
    <s v="miércoles"/>
    <x v="9"/>
    <s v="2024"/>
    <x v="4"/>
    <x v="2"/>
    <x v="2"/>
    <x v="0"/>
    <x v="2"/>
    <n v="4"/>
    <n v="57994"/>
    <n v="231976"/>
    <x v="3"/>
  </r>
  <r>
    <s v="2024-03-03"/>
    <s v="domingo"/>
    <x v="6"/>
    <s v="2024"/>
    <x v="4"/>
    <x v="4"/>
    <x v="1"/>
    <x v="0"/>
    <x v="0"/>
    <n v="1"/>
    <n v="44593"/>
    <n v="44593"/>
    <x v="0"/>
  </r>
  <r>
    <s v="2024-08-18"/>
    <s v="domingo"/>
    <x v="2"/>
    <s v="2024"/>
    <x v="1"/>
    <x v="1"/>
    <x v="4"/>
    <x v="0"/>
    <x v="0"/>
    <n v="9"/>
    <n v="52141"/>
    <n v="469269"/>
    <x v="3"/>
  </r>
  <r>
    <s v="2024-11-21"/>
    <s v="jueves"/>
    <x v="5"/>
    <s v="2024"/>
    <x v="3"/>
    <x v="2"/>
    <x v="0"/>
    <x v="2"/>
    <x v="1"/>
    <n v="7"/>
    <n v="45905"/>
    <n v="321335"/>
    <x v="0"/>
  </r>
  <r>
    <s v="2024-08-08"/>
    <s v="jueves"/>
    <x v="2"/>
    <s v="2024"/>
    <x v="3"/>
    <x v="1"/>
    <x v="4"/>
    <x v="4"/>
    <x v="1"/>
    <n v="17"/>
    <n v="17233"/>
    <n v="292961"/>
    <x v="2"/>
  </r>
  <r>
    <s v="2024-01-16"/>
    <s v="martes"/>
    <x v="11"/>
    <s v="2024"/>
    <x v="4"/>
    <x v="2"/>
    <x v="4"/>
    <x v="0"/>
    <x v="0"/>
    <n v="19"/>
    <n v="33676"/>
    <n v="639844"/>
    <x v="3"/>
  </r>
  <r>
    <s v="2024-06-03"/>
    <s v="lunes"/>
    <x v="9"/>
    <s v="2024"/>
    <x v="4"/>
    <x v="2"/>
    <x v="3"/>
    <x v="2"/>
    <x v="0"/>
    <n v="14"/>
    <n v="46586"/>
    <n v="652204"/>
    <x v="3"/>
  </r>
  <r>
    <s v="2024-06-12"/>
    <s v="miércoles"/>
    <x v="9"/>
    <s v="2024"/>
    <x v="3"/>
    <x v="3"/>
    <x v="3"/>
    <x v="1"/>
    <x v="2"/>
    <n v="17"/>
    <n v="40192"/>
    <n v="683264"/>
    <x v="1"/>
  </r>
  <r>
    <s v="2024-02-25"/>
    <s v="domingo"/>
    <x v="10"/>
    <s v="2024"/>
    <x v="0"/>
    <x v="0"/>
    <x v="4"/>
    <x v="1"/>
    <x v="1"/>
    <n v="17"/>
    <n v="21868"/>
    <n v="371756"/>
    <x v="3"/>
  </r>
  <r>
    <s v="2024-12-01"/>
    <s v="domingo"/>
    <x v="7"/>
    <s v="2024"/>
    <x v="2"/>
    <x v="2"/>
    <x v="2"/>
    <x v="1"/>
    <x v="1"/>
    <n v="10"/>
    <n v="15448"/>
    <n v="154480"/>
    <x v="1"/>
  </r>
  <r>
    <s v="2024-05-08"/>
    <s v="miércoles"/>
    <x v="4"/>
    <s v="2024"/>
    <x v="1"/>
    <x v="3"/>
    <x v="0"/>
    <x v="3"/>
    <x v="0"/>
    <n v="17"/>
    <n v="17640"/>
    <n v="299880"/>
    <x v="0"/>
  </r>
  <r>
    <s v="2024-03-22"/>
    <s v="viernes"/>
    <x v="6"/>
    <s v="2024"/>
    <x v="2"/>
    <x v="1"/>
    <x v="2"/>
    <x v="3"/>
    <x v="1"/>
    <n v="6"/>
    <n v="19483"/>
    <n v="116898"/>
    <x v="2"/>
  </r>
  <r>
    <s v="2024-06-20"/>
    <s v="jueves"/>
    <x v="9"/>
    <s v="2024"/>
    <x v="1"/>
    <x v="2"/>
    <x v="4"/>
    <x v="3"/>
    <x v="2"/>
    <n v="12"/>
    <n v="21327"/>
    <n v="255924"/>
    <x v="0"/>
  </r>
  <r>
    <s v="2024-10-12"/>
    <s v="sábado"/>
    <x v="8"/>
    <s v="2024"/>
    <x v="4"/>
    <x v="0"/>
    <x v="1"/>
    <x v="3"/>
    <x v="0"/>
    <n v="4"/>
    <n v="38977"/>
    <n v="155908"/>
    <x v="3"/>
  </r>
  <r>
    <s v="2024-12-03"/>
    <s v="martes"/>
    <x v="7"/>
    <s v="2024"/>
    <x v="4"/>
    <x v="0"/>
    <x v="0"/>
    <x v="4"/>
    <x v="2"/>
    <n v="1"/>
    <n v="56245"/>
    <n v="56245"/>
    <x v="0"/>
  </r>
  <r>
    <s v="2024-05-31"/>
    <s v="viernes"/>
    <x v="4"/>
    <s v="2024"/>
    <x v="3"/>
    <x v="0"/>
    <x v="4"/>
    <x v="3"/>
    <x v="0"/>
    <n v="4"/>
    <n v="58544"/>
    <n v="234176"/>
    <x v="1"/>
  </r>
  <r>
    <s v="2024-10-13"/>
    <s v="domingo"/>
    <x v="8"/>
    <s v="2024"/>
    <x v="3"/>
    <x v="1"/>
    <x v="4"/>
    <x v="0"/>
    <x v="1"/>
    <n v="18"/>
    <n v="35559"/>
    <n v="640062"/>
    <x v="1"/>
  </r>
  <r>
    <s v="2024-10-18"/>
    <s v="viernes"/>
    <x v="8"/>
    <s v="2024"/>
    <x v="0"/>
    <x v="1"/>
    <x v="3"/>
    <x v="3"/>
    <x v="1"/>
    <n v="20"/>
    <n v="28702"/>
    <n v="574040"/>
    <x v="3"/>
  </r>
  <r>
    <s v="2024-01-04"/>
    <s v="jueves"/>
    <x v="11"/>
    <s v="2024"/>
    <x v="1"/>
    <x v="4"/>
    <x v="3"/>
    <x v="2"/>
    <x v="2"/>
    <n v="11"/>
    <n v="18146"/>
    <n v="199606"/>
    <x v="1"/>
  </r>
  <r>
    <s v="2024-05-24"/>
    <s v="viernes"/>
    <x v="4"/>
    <s v="2024"/>
    <x v="3"/>
    <x v="1"/>
    <x v="3"/>
    <x v="3"/>
    <x v="1"/>
    <n v="4"/>
    <n v="31127"/>
    <n v="124508"/>
    <x v="0"/>
  </r>
  <r>
    <s v="2024-06-25"/>
    <s v="martes"/>
    <x v="9"/>
    <s v="2024"/>
    <x v="3"/>
    <x v="2"/>
    <x v="2"/>
    <x v="0"/>
    <x v="1"/>
    <n v="5"/>
    <n v="35310"/>
    <n v="176550"/>
    <x v="1"/>
  </r>
  <r>
    <s v="2024-08-16"/>
    <s v="viernes"/>
    <x v="2"/>
    <s v="2024"/>
    <x v="2"/>
    <x v="4"/>
    <x v="2"/>
    <x v="1"/>
    <x v="0"/>
    <n v="10"/>
    <n v="32145"/>
    <n v="321450"/>
    <x v="1"/>
  </r>
  <r>
    <s v="2024-07-17"/>
    <s v="miércoles"/>
    <x v="0"/>
    <s v="2024"/>
    <x v="2"/>
    <x v="1"/>
    <x v="0"/>
    <x v="3"/>
    <x v="0"/>
    <n v="6"/>
    <n v="53845"/>
    <n v="323070"/>
    <x v="1"/>
  </r>
  <r>
    <s v="2024-01-01"/>
    <s v="lunes"/>
    <x v="11"/>
    <s v="2024"/>
    <x v="3"/>
    <x v="3"/>
    <x v="3"/>
    <x v="0"/>
    <x v="0"/>
    <n v="4"/>
    <n v="57686"/>
    <n v="230744"/>
    <x v="2"/>
  </r>
  <r>
    <s v="2024-03-16"/>
    <s v="sábado"/>
    <x v="6"/>
    <s v="2024"/>
    <x v="2"/>
    <x v="1"/>
    <x v="0"/>
    <x v="4"/>
    <x v="2"/>
    <n v="3"/>
    <n v="33191"/>
    <n v="99573"/>
    <x v="2"/>
  </r>
  <r>
    <s v="2024-02-23"/>
    <s v="viernes"/>
    <x v="10"/>
    <s v="2024"/>
    <x v="3"/>
    <x v="4"/>
    <x v="1"/>
    <x v="1"/>
    <x v="0"/>
    <n v="10"/>
    <n v="56791"/>
    <n v="567910"/>
    <x v="3"/>
  </r>
  <r>
    <s v="2024-02-01"/>
    <s v="jueves"/>
    <x v="10"/>
    <s v="2024"/>
    <x v="3"/>
    <x v="0"/>
    <x v="1"/>
    <x v="0"/>
    <x v="2"/>
    <n v="1"/>
    <n v="24718"/>
    <n v="24718"/>
    <x v="0"/>
  </r>
  <r>
    <s v="2024-04-27"/>
    <s v="sábado"/>
    <x v="3"/>
    <s v="2024"/>
    <x v="1"/>
    <x v="1"/>
    <x v="4"/>
    <x v="0"/>
    <x v="0"/>
    <n v="13"/>
    <n v="30760"/>
    <n v="399880"/>
    <x v="0"/>
  </r>
  <r>
    <s v="2024-06-17"/>
    <s v="lunes"/>
    <x v="9"/>
    <s v="2024"/>
    <x v="4"/>
    <x v="0"/>
    <x v="0"/>
    <x v="4"/>
    <x v="0"/>
    <n v="5"/>
    <n v="39913"/>
    <n v="199565"/>
    <x v="1"/>
  </r>
  <r>
    <s v="2024-03-25"/>
    <s v="lunes"/>
    <x v="6"/>
    <s v="2024"/>
    <x v="0"/>
    <x v="3"/>
    <x v="3"/>
    <x v="0"/>
    <x v="0"/>
    <n v="5"/>
    <n v="33576"/>
    <n v="167880"/>
    <x v="0"/>
  </r>
  <r>
    <s v="2024-05-22"/>
    <s v="miércoles"/>
    <x v="4"/>
    <s v="2024"/>
    <x v="3"/>
    <x v="2"/>
    <x v="3"/>
    <x v="0"/>
    <x v="2"/>
    <n v="12"/>
    <n v="53993"/>
    <n v="647916"/>
    <x v="0"/>
  </r>
  <r>
    <s v="2024-12-15"/>
    <s v="domingo"/>
    <x v="7"/>
    <s v="2024"/>
    <x v="1"/>
    <x v="4"/>
    <x v="4"/>
    <x v="4"/>
    <x v="2"/>
    <n v="2"/>
    <n v="37469"/>
    <n v="74938"/>
    <x v="0"/>
  </r>
  <r>
    <s v="2024-09-24"/>
    <s v="martes"/>
    <x v="1"/>
    <s v="2024"/>
    <x v="0"/>
    <x v="0"/>
    <x v="4"/>
    <x v="2"/>
    <x v="2"/>
    <n v="2"/>
    <n v="42156"/>
    <n v="84312"/>
    <x v="0"/>
  </r>
  <r>
    <s v="2024-08-24"/>
    <s v="sábado"/>
    <x v="2"/>
    <s v="2024"/>
    <x v="2"/>
    <x v="0"/>
    <x v="4"/>
    <x v="3"/>
    <x v="1"/>
    <n v="14"/>
    <n v="17597"/>
    <n v="246358"/>
    <x v="1"/>
  </r>
  <r>
    <s v="2024-03-17"/>
    <s v="domingo"/>
    <x v="6"/>
    <s v="2024"/>
    <x v="0"/>
    <x v="0"/>
    <x v="1"/>
    <x v="1"/>
    <x v="0"/>
    <n v="18"/>
    <n v="20770"/>
    <n v="373860"/>
    <x v="1"/>
  </r>
  <r>
    <s v="2024-07-11"/>
    <s v="jueves"/>
    <x v="0"/>
    <s v="2024"/>
    <x v="3"/>
    <x v="0"/>
    <x v="4"/>
    <x v="1"/>
    <x v="2"/>
    <n v="10"/>
    <n v="48538"/>
    <n v="485380"/>
    <x v="2"/>
  </r>
  <r>
    <s v="2024-08-07"/>
    <s v="miércoles"/>
    <x v="2"/>
    <s v="2024"/>
    <x v="2"/>
    <x v="4"/>
    <x v="0"/>
    <x v="3"/>
    <x v="1"/>
    <n v="17"/>
    <n v="55174"/>
    <n v="937958"/>
    <x v="1"/>
  </r>
  <r>
    <s v="2024-10-21"/>
    <s v="lunes"/>
    <x v="8"/>
    <s v="2024"/>
    <x v="1"/>
    <x v="0"/>
    <x v="4"/>
    <x v="3"/>
    <x v="2"/>
    <n v="11"/>
    <n v="50687"/>
    <n v="557557"/>
    <x v="0"/>
  </r>
  <r>
    <s v="2024-09-18"/>
    <s v="miércoles"/>
    <x v="1"/>
    <s v="2024"/>
    <x v="1"/>
    <x v="2"/>
    <x v="1"/>
    <x v="2"/>
    <x v="2"/>
    <n v="14"/>
    <n v="33301"/>
    <n v="466214"/>
    <x v="3"/>
  </r>
  <r>
    <s v="2024-02-21"/>
    <s v="miércoles"/>
    <x v="10"/>
    <s v="2024"/>
    <x v="0"/>
    <x v="1"/>
    <x v="4"/>
    <x v="4"/>
    <x v="0"/>
    <n v="14"/>
    <n v="42029"/>
    <n v="588406"/>
    <x v="3"/>
  </r>
  <r>
    <s v="2024-01-30"/>
    <s v="martes"/>
    <x v="11"/>
    <s v="2024"/>
    <x v="0"/>
    <x v="1"/>
    <x v="4"/>
    <x v="1"/>
    <x v="0"/>
    <n v="12"/>
    <n v="26261"/>
    <n v="315132"/>
    <x v="3"/>
  </r>
  <r>
    <s v="2024-06-19"/>
    <s v="miércoles"/>
    <x v="9"/>
    <s v="2024"/>
    <x v="0"/>
    <x v="3"/>
    <x v="4"/>
    <x v="2"/>
    <x v="2"/>
    <n v="3"/>
    <n v="20045"/>
    <n v="60135"/>
    <x v="2"/>
  </r>
  <r>
    <s v="2024-11-04"/>
    <s v="lunes"/>
    <x v="5"/>
    <s v="2024"/>
    <x v="3"/>
    <x v="0"/>
    <x v="3"/>
    <x v="2"/>
    <x v="1"/>
    <n v="15"/>
    <n v="41341"/>
    <n v="620115"/>
    <x v="1"/>
  </r>
  <r>
    <s v="2024-12-24"/>
    <s v="martes"/>
    <x v="7"/>
    <s v="2024"/>
    <x v="4"/>
    <x v="3"/>
    <x v="4"/>
    <x v="2"/>
    <x v="2"/>
    <n v="12"/>
    <n v="32169"/>
    <n v="386028"/>
    <x v="2"/>
  </r>
  <r>
    <s v="2024-05-05"/>
    <s v="domingo"/>
    <x v="4"/>
    <s v="2024"/>
    <x v="4"/>
    <x v="3"/>
    <x v="4"/>
    <x v="1"/>
    <x v="2"/>
    <n v="8"/>
    <n v="58307"/>
    <n v="466456"/>
    <x v="3"/>
  </r>
  <r>
    <s v="2024-07-09"/>
    <s v="martes"/>
    <x v="0"/>
    <s v="2024"/>
    <x v="3"/>
    <x v="4"/>
    <x v="2"/>
    <x v="4"/>
    <x v="2"/>
    <n v="1"/>
    <n v="55186"/>
    <n v="55186"/>
    <x v="3"/>
  </r>
  <r>
    <s v="2024-05-14"/>
    <s v="martes"/>
    <x v="4"/>
    <s v="2024"/>
    <x v="4"/>
    <x v="0"/>
    <x v="3"/>
    <x v="4"/>
    <x v="1"/>
    <n v="14"/>
    <n v="30511"/>
    <n v="427154"/>
    <x v="1"/>
  </r>
  <r>
    <s v="2024-12-21"/>
    <s v="sábado"/>
    <x v="7"/>
    <s v="2024"/>
    <x v="2"/>
    <x v="1"/>
    <x v="1"/>
    <x v="0"/>
    <x v="0"/>
    <n v="9"/>
    <n v="16836"/>
    <n v="151524"/>
    <x v="0"/>
  </r>
  <r>
    <s v="2024-03-04"/>
    <s v="lunes"/>
    <x v="6"/>
    <s v="2024"/>
    <x v="4"/>
    <x v="2"/>
    <x v="4"/>
    <x v="1"/>
    <x v="2"/>
    <n v="10"/>
    <n v="26178"/>
    <n v="261780"/>
    <x v="2"/>
  </r>
  <r>
    <s v="2024-11-19"/>
    <s v="martes"/>
    <x v="5"/>
    <s v="2024"/>
    <x v="4"/>
    <x v="2"/>
    <x v="3"/>
    <x v="4"/>
    <x v="1"/>
    <n v="3"/>
    <n v="32525"/>
    <n v="97575"/>
    <x v="2"/>
  </r>
  <r>
    <s v="2024-07-27"/>
    <s v="sábado"/>
    <x v="0"/>
    <s v="2024"/>
    <x v="1"/>
    <x v="0"/>
    <x v="1"/>
    <x v="1"/>
    <x v="2"/>
    <n v="1"/>
    <n v="40508"/>
    <n v="40508"/>
    <x v="2"/>
  </r>
  <r>
    <s v="2024-01-29"/>
    <s v="lunes"/>
    <x v="11"/>
    <s v="2024"/>
    <x v="3"/>
    <x v="3"/>
    <x v="4"/>
    <x v="3"/>
    <x v="0"/>
    <n v="18"/>
    <n v="53017"/>
    <n v="954306"/>
    <x v="3"/>
  </r>
  <r>
    <s v="2024-11-15"/>
    <s v="viernes"/>
    <x v="5"/>
    <s v="2024"/>
    <x v="4"/>
    <x v="1"/>
    <x v="4"/>
    <x v="0"/>
    <x v="0"/>
    <n v="3"/>
    <n v="38989"/>
    <n v="116967"/>
    <x v="1"/>
  </r>
  <r>
    <s v="2024-04-18"/>
    <s v="jueves"/>
    <x v="3"/>
    <s v="2024"/>
    <x v="3"/>
    <x v="2"/>
    <x v="3"/>
    <x v="2"/>
    <x v="1"/>
    <n v="16"/>
    <n v="54520"/>
    <n v="872320"/>
    <x v="2"/>
  </r>
  <r>
    <s v="2024-02-03"/>
    <s v="sábado"/>
    <x v="10"/>
    <s v="2024"/>
    <x v="3"/>
    <x v="0"/>
    <x v="2"/>
    <x v="0"/>
    <x v="2"/>
    <n v="4"/>
    <n v="43315"/>
    <n v="173260"/>
    <x v="3"/>
  </r>
  <r>
    <s v="2024-11-11"/>
    <s v="lunes"/>
    <x v="5"/>
    <s v="2024"/>
    <x v="4"/>
    <x v="3"/>
    <x v="1"/>
    <x v="4"/>
    <x v="1"/>
    <n v="20"/>
    <n v="52096"/>
    <n v="1041920"/>
    <x v="2"/>
  </r>
  <r>
    <s v="2024-09-27"/>
    <s v="viernes"/>
    <x v="1"/>
    <s v="2024"/>
    <x v="2"/>
    <x v="4"/>
    <x v="4"/>
    <x v="0"/>
    <x v="1"/>
    <n v="8"/>
    <n v="55956"/>
    <n v="447648"/>
    <x v="0"/>
  </r>
  <r>
    <s v="2024-08-12"/>
    <s v="lunes"/>
    <x v="2"/>
    <s v="2024"/>
    <x v="2"/>
    <x v="2"/>
    <x v="4"/>
    <x v="2"/>
    <x v="2"/>
    <n v="1"/>
    <n v="38755"/>
    <n v="38755"/>
    <x v="1"/>
  </r>
  <r>
    <s v="2024-03-13"/>
    <s v="miércoles"/>
    <x v="6"/>
    <s v="2024"/>
    <x v="1"/>
    <x v="1"/>
    <x v="3"/>
    <x v="0"/>
    <x v="1"/>
    <n v="11"/>
    <n v="33507"/>
    <n v="368577"/>
    <x v="1"/>
  </r>
  <r>
    <s v="2024-05-20"/>
    <s v="lunes"/>
    <x v="4"/>
    <s v="2024"/>
    <x v="4"/>
    <x v="4"/>
    <x v="1"/>
    <x v="3"/>
    <x v="2"/>
    <n v="11"/>
    <n v="39254"/>
    <n v="431794"/>
    <x v="2"/>
  </r>
  <r>
    <s v="2024-01-18"/>
    <s v="jueves"/>
    <x v="11"/>
    <s v="2024"/>
    <x v="0"/>
    <x v="2"/>
    <x v="4"/>
    <x v="3"/>
    <x v="0"/>
    <n v="17"/>
    <n v="15919"/>
    <n v="270623"/>
    <x v="3"/>
  </r>
  <r>
    <s v="2024-08-06"/>
    <s v="martes"/>
    <x v="2"/>
    <s v="2024"/>
    <x v="3"/>
    <x v="3"/>
    <x v="4"/>
    <x v="2"/>
    <x v="2"/>
    <n v="17"/>
    <n v="21449"/>
    <n v="364633"/>
    <x v="3"/>
  </r>
  <r>
    <s v="2024-08-30"/>
    <s v="viernes"/>
    <x v="2"/>
    <s v="2024"/>
    <x v="3"/>
    <x v="0"/>
    <x v="4"/>
    <x v="0"/>
    <x v="0"/>
    <n v="14"/>
    <n v="39040"/>
    <n v="546560"/>
    <x v="1"/>
  </r>
  <r>
    <s v="2024-03-04"/>
    <s v="lunes"/>
    <x v="6"/>
    <s v="2024"/>
    <x v="1"/>
    <x v="1"/>
    <x v="0"/>
    <x v="4"/>
    <x v="1"/>
    <n v="1"/>
    <n v="19870"/>
    <n v="19870"/>
    <x v="0"/>
  </r>
  <r>
    <s v="2024-06-05"/>
    <s v="miércoles"/>
    <x v="9"/>
    <s v="2024"/>
    <x v="4"/>
    <x v="3"/>
    <x v="2"/>
    <x v="2"/>
    <x v="2"/>
    <n v="5"/>
    <n v="37662"/>
    <n v="188310"/>
    <x v="3"/>
  </r>
  <r>
    <s v="2024-03-11"/>
    <s v="lunes"/>
    <x v="6"/>
    <s v="2024"/>
    <x v="2"/>
    <x v="2"/>
    <x v="1"/>
    <x v="0"/>
    <x v="1"/>
    <n v="11"/>
    <n v="22293"/>
    <n v="245223"/>
    <x v="2"/>
  </r>
  <r>
    <s v="2024-05-04"/>
    <s v="sábado"/>
    <x v="4"/>
    <s v="2024"/>
    <x v="2"/>
    <x v="3"/>
    <x v="2"/>
    <x v="2"/>
    <x v="0"/>
    <n v="2"/>
    <n v="19594"/>
    <n v="39188"/>
    <x v="3"/>
  </r>
  <r>
    <s v="2024-10-26"/>
    <s v="sábado"/>
    <x v="8"/>
    <s v="2024"/>
    <x v="2"/>
    <x v="3"/>
    <x v="1"/>
    <x v="4"/>
    <x v="0"/>
    <n v="6"/>
    <n v="33099"/>
    <n v="198594"/>
    <x v="0"/>
  </r>
  <r>
    <s v="2024-04-02"/>
    <s v="martes"/>
    <x v="3"/>
    <s v="2024"/>
    <x v="1"/>
    <x v="0"/>
    <x v="1"/>
    <x v="1"/>
    <x v="1"/>
    <n v="9"/>
    <n v="40869"/>
    <n v="367821"/>
    <x v="0"/>
  </r>
  <r>
    <s v="2024-02-26"/>
    <s v="lunes"/>
    <x v="10"/>
    <s v="2024"/>
    <x v="3"/>
    <x v="4"/>
    <x v="0"/>
    <x v="4"/>
    <x v="0"/>
    <n v="19"/>
    <n v="54038"/>
    <n v="1026722"/>
    <x v="0"/>
  </r>
  <r>
    <s v="2024-12-19"/>
    <s v="jueves"/>
    <x v="7"/>
    <s v="2024"/>
    <x v="0"/>
    <x v="0"/>
    <x v="3"/>
    <x v="3"/>
    <x v="2"/>
    <n v="7"/>
    <n v="45043"/>
    <n v="315301"/>
    <x v="0"/>
  </r>
  <r>
    <s v="2024-03-28"/>
    <s v="jueves"/>
    <x v="6"/>
    <s v="2024"/>
    <x v="3"/>
    <x v="4"/>
    <x v="4"/>
    <x v="4"/>
    <x v="1"/>
    <n v="3"/>
    <n v="24014"/>
    <n v="72042"/>
    <x v="3"/>
  </r>
  <r>
    <s v="2024-11-03"/>
    <s v="domingo"/>
    <x v="5"/>
    <s v="2024"/>
    <x v="1"/>
    <x v="2"/>
    <x v="2"/>
    <x v="0"/>
    <x v="0"/>
    <n v="10"/>
    <n v="20410"/>
    <n v="204100"/>
    <x v="3"/>
  </r>
  <r>
    <s v="2024-11-24"/>
    <s v="domingo"/>
    <x v="5"/>
    <s v="2024"/>
    <x v="0"/>
    <x v="0"/>
    <x v="4"/>
    <x v="1"/>
    <x v="2"/>
    <n v="9"/>
    <n v="26658"/>
    <n v="239922"/>
    <x v="3"/>
  </r>
  <r>
    <s v="2024-01-16"/>
    <s v="martes"/>
    <x v="11"/>
    <s v="2024"/>
    <x v="2"/>
    <x v="4"/>
    <x v="2"/>
    <x v="3"/>
    <x v="1"/>
    <n v="13"/>
    <n v="55930"/>
    <n v="727090"/>
    <x v="0"/>
  </r>
  <r>
    <s v="2024-09-14"/>
    <s v="sábado"/>
    <x v="1"/>
    <s v="2024"/>
    <x v="2"/>
    <x v="3"/>
    <x v="3"/>
    <x v="2"/>
    <x v="0"/>
    <n v="17"/>
    <n v="41658"/>
    <n v="708186"/>
    <x v="1"/>
  </r>
  <r>
    <s v="2024-08-18"/>
    <s v="domingo"/>
    <x v="2"/>
    <s v="2024"/>
    <x v="1"/>
    <x v="1"/>
    <x v="4"/>
    <x v="1"/>
    <x v="2"/>
    <n v="17"/>
    <n v="23829"/>
    <n v="405093"/>
    <x v="0"/>
  </r>
  <r>
    <s v="2024-06-27"/>
    <s v="jueves"/>
    <x v="9"/>
    <s v="2024"/>
    <x v="0"/>
    <x v="4"/>
    <x v="3"/>
    <x v="4"/>
    <x v="2"/>
    <n v="16"/>
    <n v="32424"/>
    <n v="518784"/>
    <x v="1"/>
  </r>
  <r>
    <s v="2024-01-05"/>
    <s v="viernes"/>
    <x v="11"/>
    <s v="2024"/>
    <x v="3"/>
    <x v="2"/>
    <x v="3"/>
    <x v="2"/>
    <x v="0"/>
    <n v="6"/>
    <n v="44702"/>
    <n v="268212"/>
    <x v="2"/>
  </r>
  <r>
    <s v="2024-11-20"/>
    <s v="miércoles"/>
    <x v="5"/>
    <s v="2024"/>
    <x v="1"/>
    <x v="3"/>
    <x v="4"/>
    <x v="3"/>
    <x v="2"/>
    <n v="19"/>
    <n v="25898"/>
    <n v="492062"/>
    <x v="3"/>
  </r>
  <r>
    <s v="2024-03-02"/>
    <s v="sábado"/>
    <x v="6"/>
    <s v="2024"/>
    <x v="2"/>
    <x v="1"/>
    <x v="1"/>
    <x v="3"/>
    <x v="2"/>
    <n v="4"/>
    <n v="27544"/>
    <n v="110176"/>
    <x v="1"/>
  </r>
  <r>
    <s v="2024-07-30"/>
    <s v="martes"/>
    <x v="0"/>
    <s v="2024"/>
    <x v="2"/>
    <x v="3"/>
    <x v="2"/>
    <x v="1"/>
    <x v="0"/>
    <n v="10"/>
    <n v="29279"/>
    <n v="292790"/>
    <x v="0"/>
  </r>
  <r>
    <s v="2024-02-21"/>
    <s v="miércoles"/>
    <x v="10"/>
    <s v="2024"/>
    <x v="2"/>
    <x v="4"/>
    <x v="0"/>
    <x v="1"/>
    <x v="1"/>
    <n v="5"/>
    <n v="35343"/>
    <n v="176715"/>
    <x v="3"/>
  </r>
  <r>
    <s v="2024-06-17"/>
    <s v="lunes"/>
    <x v="9"/>
    <s v="2024"/>
    <x v="3"/>
    <x v="1"/>
    <x v="3"/>
    <x v="1"/>
    <x v="1"/>
    <n v="14"/>
    <n v="34867"/>
    <n v="488138"/>
    <x v="2"/>
  </r>
  <r>
    <s v="2024-09-07"/>
    <s v="sábado"/>
    <x v="1"/>
    <s v="2024"/>
    <x v="1"/>
    <x v="2"/>
    <x v="2"/>
    <x v="3"/>
    <x v="1"/>
    <n v="1"/>
    <n v="52999"/>
    <n v="52999"/>
    <x v="2"/>
  </r>
  <r>
    <s v="2024-12-17"/>
    <s v="martes"/>
    <x v="7"/>
    <s v="2024"/>
    <x v="4"/>
    <x v="1"/>
    <x v="0"/>
    <x v="1"/>
    <x v="1"/>
    <n v="10"/>
    <n v="31550"/>
    <n v="315500"/>
    <x v="1"/>
  </r>
  <r>
    <s v="2024-12-02"/>
    <s v="lunes"/>
    <x v="7"/>
    <s v="2024"/>
    <x v="3"/>
    <x v="1"/>
    <x v="0"/>
    <x v="4"/>
    <x v="0"/>
    <n v="3"/>
    <n v="23829"/>
    <n v="71487"/>
    <x v="0"/>
  </r>
  <r>
    <s v="2024-09-01"/>
    <s v="domingo"/>
    <x v="1"/>
    <s v="2024"/>
    <x v="1"/>
    <x v="0"/>
    <x v="2"/>
    <x v="2"/>
    <x v="2"/>
    <n v="9"/>
    <n v="42233"/>
    <n v="380097"/>
    <x v="1"/>
  </r>
  <r>
    <s v="2024-09-02"/>
    <s v="lunes"/>
    <x v="1"/>
    <s v="2024"/>
    <x v="1"/>
    <x v="3"/>
    <x v="0"/>
    <x v="4"/>
    <x v="0"/>
    <n v="8"/>
    <n v="40992"/>
    <n v="327936"/>
    <x v="0"/>
  </r>
  <r>
    <s v="2024-07-20"/>
    <s v="sábado"/>
    <x v="0"/>
    <s v="2024"/>
    <x v="3"/>
    <x v="1"/>
    <x v="2"/>
    <x v="3"/>
    <x v="2"/>
    <n v="9"/>
    <n v="26501"/>
    <n v="238509"/>
    <x v="3"/>
  </r>
  <r>
    <s v="2024-02-11"/>
    <s v="domingo"/>
    <x v="10"/>
    <s v="2024"/>
    <x v="2"/>
    <x v="4"/>
    <x v="2"/>
    <x v="3"/>
    <x v="0"/>
    <n v="15"/>
    <n v="20376"/>
    <n v="305640"/>
    <x v="1"/>
  </r>
  <r>
    <s v="2024-07-06"/>
    <s v="sábado"/>
    <x v="0"/>
    <s v="2024"/>
    <x v="1"/>
    <x v="0"/>
    <x v="2"/>
    <x v="1"/>
    <x v="0"/>
    <n v="9"/>
    <n v="59454"/>
    <n v="535086"/>
    <x v="1"/>
  </r>
  <r>
    <s v="2024-07-09"/>
    <s v="martes"/>
    <x v="0"/>
    <s v="2024"/>
    <x v="2"/>
    <x v="4"/>
    <x v="2"/>
    <x v="3"/>
    <x v="0"/>
    <n v="19"/>
    <n v="16315"/>
    <n v="309985"/>
    <x v="1"/>
  </r>
  <r>
    <s v="2024-03-18"/>
    <s v="lunes"/>
    <x v="6"/>
    <s v="2024"/>
    <x v="1"/>
    <x v="1"/>
    <x v="4"/>
    <x v="0"/>
    <x v="2"/>
    <n v="13"/>
    <n v="57705"/>
    <n v="750165"/>
    <x v="3"/>
  </r>
  <r>
    <s v="2024-05-04"/>
    <s v="sábado"/>
    <x v="4"/>
    <s v="2024"/>
    <x v="2"/>
    <x v="4"/>
    <x v="4"/>
    <x v="1"/>
    <x v="1"/>
    <n v="8"/>
    <n v="27687"/>
    <n v="221496"/>
    <x v="3"/>
  </r>
  <r>
    <s v="2024-03-23"/>
    <s v="sábado"/>
    <x v="6"/>
    <s v="2024"/>
    <x v="1"/>
    <x v="3"/>
    <x v="2"/>
    <x v="2"/>
    <x v="2"/>
    <n v="7"/>
    <n v="50762"/>
    <n v="355334"/>
    <x v="0"/>
  </r>
  <r>
    <s v="2024-05-19"/>
    <s v="domingo"/>
    <x v="4"/>
    <s v="2024"/>
    <x v="2"/>
    <x v="1"/>
    <x v="3"/>
    <x v="4"/>
    <x v="1"/>
    <n v="5"/>
    <n v="15954"/>
    <n v="79770"/>
    <x v="3"/>
  </r>
  <r>
    <s v="2024-07-14"/>
    <s v="domingo"/>
    <x v="0"/>
    <s v="2024"/>
    <x v="0"/>
    <x v="4"/>
    <x v="3"/>
    <x v="3"/>
    <x v="2"/>
    <n v="2"/>
    <n v="21857"/>
    <n v="43714"/>
    <x v="0"/>
  </r>
  <r>
    <s v="2024-11-26"/>
    <s v="martes"/>
    <x v="5"/>
    <s v="2024"/>
    <x v="2"/>
    <x v="4"/>
    <x v="1"/>
    <x v="0"/>
    <x v="1"/>
    <n v="16"/>
    <n v="47501"/>
    <n v="760016"/>
    <x v="1"/>
  </r>
  <r>
    <s v="2024-01-08"/>
    <s v="lunes"/>
    <x v="11"/>
    <s v="2024"/>
    <x v="4"/>
    <x v="0"/>
    <x v="4"/>
    <x v="2"/>
    <x v="0"/>
    <n v="14"/>
    <n v="44999"/>
    <n v="629986"/>
    <x v="3"/>
  </r>
  <r>
    <s v="2024-12-19"/>
    <s v="jueves"/>
    <x v="7"/>
    <s v="2024"/>
    <x v="0"/>
    <x v="1"/>
    <x v="1"/>
    <x v="4"/>
    <x v="1"/>
    <n v="13"/>
    <n v="31983"/>
    <n v="415779"/>
    <x v="3"/>
  </r>
  <r>
    <s v="2024-01-15"/>
    <s v="lunes"/>
    <x v="11"/>
    <s v="2024"/>
    <x v="2"/>
    <x v="1"/>
    <x v="2"/>
    <x v="0"/>
    <x v="1"/>
    <n v="10"/>
    <n v="30473"/>
    <n v="304730"/>
    <x v="3"/>
  </r>
  <r>
    <s v="2024-10-16"/>
    <s v="miércoles"/>
    <x v="8"/>
    <s v="2024"/>
    <x v="2"/>
    <x v="1"/>
    <x v="1"/>
    <x v="0"/>
    <x v="1"/>
    <n v="10"/>
    <n v="25347"/>
    <n v="253470"/>
    <x v="3"/>
  </r>
  <r>
    <s v="2024-03-02"/>
    <s v="sábado"/>
    <x v="6"/>
    <s v="2024"/>
    <x v="4"/>
    <x v="4"/>
    <x v="1"/>
    <x v="2"/>
    <x v="2"/>
    <n v="12"/>
    <n v="20436"/>
    <n v="245232"/>
    <x v="3"/>
  </r>
  <r>
    <s v="2024-02-14"/>
    <s v="miércoles"/>
    <x v="10"/>
    <s v="2024"/>
    <x v="4"/>
    <x v="2"/>
    <x v="1"/>
    <x v="1"/>
    <x v="0"/>
    <n v="1"/>
    <n v="49144"/>
    <n v="49144"/>
    <x v="0"/>
  </r>
  <r>
    <s v="2024-03-03"/>
    <s v="domingo"/>
    <x v="6"/>
    <s v="2024"/>
    <x v="3"/>
    <x v="4"/>
    <x v="1"/>
    <x v="1"/>
    <x v="2"/>
    <n v="16"/>
    <n v="48194"/>
    <n v="771104"/>
    <x v="3"/>
  </r>
  <r>
    <s v="2024-11-07"/>
    <s v="jueves"/>
    <x v="5"/>
    <s v="2024"/>
    <x v="0"/>
    <x v="0"/>
    <x v="4"/>
    <x v="2"/>
    <x v="2"/>
    <n v="1"/>
    <n v="17088"/>
    <n v="17088"/>
    <x v="2"/>
  </r>
  <r>
    <s v="2024-08-10"/>
    <s v="sábado"/>
    <x v="2"/>
    <s v="2024"/>
    <x v="1"/>
    <x v="0"/>
    <x v="2"/>
    <x v="4"/>
    <x v="0"/>
    <n v="2"/>
    <n v="36151"/>
    <n v="72302"/>
    <x v="2"/>
  </r>
  <r>
    <s v="2024-04-02"/>
    <s v="martes"/>
    <x v="3"/>
    <s v="2024"/>
    <x v="4"/>
    <x v="2"/>
    <x v="0"/>
    <x v="0"/>
    <x v="0"/>
    <n v="20"/>
    <n v="48022"/>
    <n v="960440"/>
    <x v="1"/>
  </r>
  <r>
    <s v="2024-05-25"/>
    <s v="sábado"/>
    <x v="4"/>
    <s v="2024"/>
    <x v="0"/>
    <x v="0"/>
    <x v="4"/>
    <x v="3"/>
    <x v="1"/>
    <n v="1"/>
    <n v="48577"/>
    <n v="48577"/>
    <x v="3"/>
  </r>
  <r>
    <s v="2024-10-15"/>
    <s v="martes"/>
    <x v="8"/>
    <s v="2024"/>
    <x v="4"/>
    <x v="0"/>
    <x v="1"/>
    <x v="4"/>
    <x v="1"/>
    <n v="7"/>
    <n v="26713"/>
    <n v="186991"/>
    <x v="1"/>
  </r>
  <r>
    <s v="2024-02-18"/>
    <s v="domingo"/>
    <x v="10"/>
    <s v="2024"/>
    <x v="4"/>
    <x v="1"/>
    <x v="2"/>
    <x v="2"/>
    <x v="1"/>
    <n v="19"/>
    <n v="16391"/>
    <n v="311429"/>
    <x v="0"/>
  </r>
  <r>
    <s v="2024-08-16"/>
    <s v="viernes"/>
    <x v="2"/>
    <s v="2024"/>
    <x v="4"/>
    <x v="4"/>
    <x v="3"/>
    <x v="3"/>
    <x v="2"/>
    <n v="10"/>
    <n v="52970"/>
    <n v="529700"/>
    <x v="1"/>
  </r>
  <r>
    <s v="2024-05-10"/>
    <s v="viernes"/>
    <x v="4"/>
    <s v="2024"/>
    <x v="3"/>
    <x v="2"/>
    <x v="3"/>
    <x v="1"/>
    <x v="2"/>
    <n v="11"/>
    <n v="58268"/>
    <n v="640948"/>
    <x v="2"/>
  </r>
  <r>
    <s v="2024-10-15"/>
    <s v="martes"/>
    <x v="8"/>
    <s v="2024"/>
    <x v="2"/>
    <x v="1"/>
    <x v="1"/>
    <x v="4"/>
    <x v="0"/>
    <n v="6"/>
    <n v="28862"/>
    <n v="173172"/>
    <x v="3"/>
  </r>
  <r>
    <s v="2024-06-08"/>
    <s v="sábado"/>
    <x v="9"/>
    <s v="2024"/>
    <x v="0"/>
    <x v="1"/>
    <x v="1"/>
    <x v="4"/>
    <x v="0"/>
    <n v="15"/>
    <n v="30918"/>
    <n v="463770"/>
    <x v="1"/>
  </r>
  <r>
    <s v="2024-04-02"/>
    <s v="martes"/>
    <x v="3"/>
    <s v="2024"/>
    <x v="0"/>
    <x v="0"/>
    <x v="4"/>
    <x v="3"/>
    <x v="2"/>
    <n v="3"/>
    <n v="28059"/>
    <n v="84177"/>
    <x v="0"/>
  </r>
  <r>
    <s v="2024-03-21"/>
    <s v="jueves"/>
    <x v="6"/>
    <s v="2024"/>
    <x v="3"/>
    <x v="4"/>
    <x v="1"/>
    <x v="3"/>
    <x v="0"/>
    <n v="18"/>
    <n v="46527"/>
    <n v="837486"/>
    <x v="0"/>
  </r>
  <r>
    <s v="2024-09-18"/>
    <s v="miércoles"/>
    <x v="1"/>
    <s v="2024"/>
    <x v="0"/>
    <x v="2"/>
    <x v="0"/>
    <x v="3"/>
    <x v="0"/>
    <n v="9"/>
    <n v="58261"/>
    <n v="524349"/>
    <x v="1"/>
  </r>
  <r>
    <s v="2024-11-26"/>
    <s v="martes"/>
    <x v="5"/>
    <s v="2024"/>
    <x v="4"/>
    <x v="4"/>
    <x v="3"/>
    <x v="0"/>
    <x v="1"/>
    <n v="1"/>
    <n v="49036"/>
    <n v="49036"/>
    <x v="3"/>
  </r>
  <r>
    <s v="2024-01-13"/>
    <s v="sábado"/>
    <x v="11"/>
    <s v="2024"/>
    <x v="3"/>
    <x v="2"/>
    <x v="4"/>
    <x v="4"/>
    <x v="1"/>
    <n v="13"/>
    <n v="17625"/>
    <n v="229125"/>
    <x v="0"/>
  </r>
  <r>
    <s v="2024-05-01"/>
    <s v="miércoles"/>
    <x v="4"/>
    <s v="2024"/>
    <x v="1"/>
    <x v="0"/>
    <x v="4"/>
    <x v="2"/>
    <x v="0"/>
    <n v="13"/>
    <n v="17796"/>
    <n v="231348"/>
    <x v="2"/>
  </r>
  <r>
    <s v="2024-07-25"/>
    <s v="jueves"/>
    <x v="0"/>
    <s v="2024"/>
    <x v="0"/>
    <x v="0"/>
    <x v="2"/>
    <x v="0"/>
    <x v="0"/>
    <n v="16"/>
    <n v="46519"/>
    <n v="744304"/>
    <x v="3"/>
  </r>
  <r>
    <s v="2024-05-20"/>
    <s v="lunes"/>
    <x v="4"/>
    <s v="2024"/>
    <x v="0"/>
    <x v="2"/>
    <x v="2"/>
    <x v="3"/>
    <x v="0"/>
    <n v="1"/>
    <n v="16573"/>
    <n v="16573"/>
    <x v="3"/>
  </r>
  <r>
    <s v="2024-01-14"/>
    <s v="domingo"/>
    <x v="11"/>
    <s v="2024"/>
    <x v="1"/>
    <x v="4"/>
    <x v="0"/>
    <x v="1"/>
    <x v="0"/>
    <n v="13"/>
    <n v="36251"/>
    <n v="471263"/>
    <x v="1"/>
  </r>
  <r>
    <s v="2024-10-18"/>
    <s v="viernes"/>
    <x v="8"/>
    <s v="2024"/>
    <x v="3"/>
    <x v="1"/>
    <x v="1"/>
    <x v="3"/>
    <x v="1"/>
    <n v="2"/>
    <n v="55068"/>
    <n v="110136"/>
    <x v="0"/>
  </r>
  <r>
    <s v="2024-08-29"/>
    <s v="jueves"/>
    <x v="2"/>
    <s v="2024"/>
    <x v="4"/>
    <x v="4"/>
    <x v="3"/>
    <x v="4"/>
    <x v="1"/>
    <n v="13"/>
    <n v="46187"/>
    <n v="600431"/>
    <x v="2"/>
  </r>
  <r>
    <s v="2024-03-16"/>
    <s v="sábado"/>
    <x v="6"/>
    <s v="2024"/>
    <x v="2"/>
    <x v="3"/>
    <x v="2"/>
    <x v="4"/>
    <x v="2"/>
    <n v="19"/>
    <n v="25779"/>
    <n v="489801"/>
    <x v="0"/>
  </r>
  <r>
    <s v="2024-11-10"/>
    <s v="domingo"/>
    <x v="5"/>
    <s v="2024"/>
    <x v="3"/>
    <x v="2"/>
    <x v="3"/>
    <x v="3"/>
    <x v="0"/>
    <n v="14"/>
    <n v="37387"/>
    <n v="523418"/>
    <x v="1"/>
  </r>
  <r>
    <s v="2024-11-12"/>
    <s v="martes"/>
    <x v="5"/>
    <s v="2024"/>
    <x v="2"/>
    <x v="3"/>
    <x v="3"/>
    <x v="0"/>
    <x v="0"/>
    <n v="4"/>
    <n v="41493"/>
    <n v="165972"/>
    <x v="1"/>
  </r>
  <r>
    <s v="2024-01-02"/>
    <s v="martes"/>
    <x v="11"/>
    <s v="2024"/>
    <x v="4"/>
    <x v="0"/>
    <x v="2"/>
    <x v="2"/>
    <x v="0"/>
    <n v="14"/>
    <n v="49376"/>
    <n v="691264"/>
    <x v="0"/>
  </r>
  <r>
    <s v="2024-06-20"/>
    <s v="jueves"/>
    <x v="9"/>
    <s v="2024"/>
    <x v="4"/>
    <x v="3"/>
    <x v="3"/>
    <x v="0"/>
    <x v="2"/>
    <n v="7"/>
    <n v="25231"/>
    <n v="176617"/>
    <x v="1"/>
  </r>
  <r>
    <s v="2024-07-17"/>
    <s v="miércoles"/>
    <x v="0"/>
    <s v="2024"/>
    <x v="3"/>
    <x v="3"/>
    <x v="0"/>
    <x v="4"/>
    <x v="1"/>
    <n v="16"/>
    <n v="28484"/>
    <n v="455744"/>
    <x v="3"/>
  </r>
  <r>
    <s v="2024-03-15"/>
    <s v="viernes"/>
    <x v="6"/>
    <s v="2024"/>
    <x v="0"/>
    <x v="3"/>
    <x v="4"/>
    <x v="2"/>
    <x v="0"/>
    <n v="2"/>
    <n v="32319"/>
    <n v="64638"/>
    <x v="1"/>
  </r>
  <r>
    <s v="2024-09-27"/>
    <s v="viernes"/>
    <x v="1"/>
    <s v="2024"/>
    <x v="4"/>
    <x v="0"/>
    <x v="2"/>
    <x v="0"/>
    <x v="1"/>
    <n v="9"/>
    <n v="38262"/>
    <n v="344358"/>
    <x v="3"/>
  </r>
  <r>
    <s v="2024-05-28"/>
    <s v="martes"/>
    <x v="4"/>
    <s v="2024"/>
    <x v="0"/>
    <x v="3"/>
    <x v="4"/>
    <x v="1"/>
    <x v="1"/>
    <n v="5"/>
    <n v="17181"/>
    <n v="85905"/>
    <x v="1"/>
  </r>
  <r>
    <s v="2024-03-29"/>
    <s v="viernes"/>
    <x v="6"/>
    <s v="2024"/>
    <x v="2"/>
    <x v="2"/>
    <x v="3"/>
    <x v="2"/>
    <x v="0"/>
    <n v="10"/>
    <n v="20371"/>
    <n v="203710"/>
    <x v="0"/>
  </r>
  <r>
    <s v="2024-03-19"/>
    <s v="martes"/>
    <x v="6"/>
    <s v="2024"/>
    <x v="1"/>
    <x v="2"/>
    <x v="4"/>
    <x v="0"/>
    <x v="2"/>
    <n v="11"/>
    <n v="49835"/>
    <n v="548185"/>
    <x v="3"/>
  </r>
  <r>
    <s v="2024-07-22"/>
    <s v="lunes"/>
    <x v="0"/>
    <s v="2024"/>
    <x v="4"/>
    <x v="1"/>
    <x v="4"/>
    <x v="1"/>
    <x v="2"/>
    <n v="17"/>
    <n v="32653"/>
    <n v="555101"/>
    <x v="3"/>
  </r>
  <r>
    <s v="2024-05-14"/>
    <s v="martes"/>
    <x v="4"/>
    <s v="2024"/>
    <x v="2"/>
    <x v="1"/>
    <x v="0"/>
    <x v="2"/>
    <x v="2"/>
    <n v="19"/>
    <n v="55668"/>
    <n v="1057692"/>
    <x v="1"/>
  </r>
  <r>
    <s v="2024-11-25"/>
    <s v="lunes"/>
    <x v="5"/>
    <s v="2024"/>
    <x v="3"/>
    <x v="4"/>
    <x v="4"/>
    <x v="3"/>
    <x v="0"/>
    <n v="10"/>
    <n v="15543"/>
    <n v="155430"/>
    <x v="3"/>
  </r>
  <r>
    <s v="2024-11-29"/>
    <s v="viernes"/>
    <x v="5"/>
    <s v="2024"/>
    <x v="1"/>
    <x v="3"/>
    <x v="1"/>
    <x v="3"/>
    <x v="1"/>
    <n v="18"/>
    <n v="38970"/>
    <n v="701460"/>
    <x v="1"/>
  </r>
  <r>
    <s v="2024-12-29"/>
    <s v="domingo"/>
    <x v="7"/>
    <s v="2024"/>
    <x v="3"/>
    <x v="3"/>
    <x v="4"/>
    <x v="0"/>
    <x v="1"/>
    <n v="17"/>
    <n v="51831"/>
    <n v="881127"/>
    <x v="1"/>
  </r>
  <r>
    <s v="2024-01-19"/>
    <s v="viernes"/>
    <x v="11"/>
    <s v="2024"/>
    <x v="4"/>
    <x v="0"/>
    <x v="1"/>
    <x v="0"/>
    <x v="1"/>
    <n v="20"/>
    <n v="31783"/>
    <n v="635660"/>
    <x v="3"/>
  </r>
  <r>
    <s v="2024-11-06"/>
    <s v="miércoles"/>
    <x v="5"/>
    <s v="2024"/>
    <x v="4"/>
    <x v="4"/>
    <x v="2"/>
    <x v="2"/>
    <x v="1"/>
    <n v="1"/>
    <n v="53480"/>
    <n v="53480"/>
    <x v="2"/>
  </r>
  <r>
    <s v="2024-05-17"/>
    <s v="viernes"/>
    <x v="4"/>
    <s v="2024"/>
    <x v="1"/>
    <x v="4"/>
    <x v="3"/>
    <x v="3"/>
    <x v="2"/>
    <n v="2"/>
    <n v="33850"/>
    <n v="67700"/>
    <x v="3"/>
  </r>
  <r>
    <s v="2024-04-01"/>
    <s v="lunes"/>
    <x v="3"/>
    <s v="2024"/>
    <x v="1"/>
    <x v="2"/>
    <x v="0"/>
    <x v="3"/>
    <x v="1"/>
    <n v="13"/>
    <n v="22202"/>
    <n v="288626"/>
    <x v="0"/>
  </r>
  <r>
    <s v="2024-12-09"/>
    <s v="lunes"/>
    <x v="7"/>
    <s v="2024"/>
    <x v="4"/>
    <x v="1"/>
    <x v="4"/>
    <x v="2"/>
    <x v="1"/>
    <n v="18"/>
    <n v="27649"/>
    <n v="497682"/>
    <x v="3"/>
  </r>
  <r>
    <s v="2024-04-18"/>
    <s v="jueves"/>
    <x v="3"/>
    <s v="2024"/>
    <x v="4"/>
    <x v="2"/>
    <x v="0"/>
    <x v="0"/>
    <x v="0"/>
    <n v="6"/>
    <n v="44995"/>
    <n v="269970"/>
    <x v="3"/>
  </r>
  <r>
    <s v="2024-06-21"/>
    <s v="viernes"/>
    <x v="9"/>
    <s v="2024"/>
    <x v="3"/>
    <x v="4"/>
    <x v="3"/>
    <x v="3"/>
    <x v="1"/>
    <n v="6"/>
    <n v="18377"/>
    <n v="110262"/>
    <x v="2"/>
  </r>
  <r>
    <s v="2024-11-30"/>
    <s v="sábado"/>
    <x v="5"/>
    <s v="2024"/>
    <x v="3"/>
    <x v="3"/>
    <x v="4"/>
    <x v="0"/>
    <x v="0"/>
    <n v="15"/>
    <n v="42440"/>
    <n v="636600"/>
    <x v="1"/>
  </r>
  <r>
    <s v="2024-11-11"/>
    <s v="lunes"/>
    <x v="5"/>
    <s v="2024"/>
    <x v="1"/>
    <x v="0"/>
    <x v="2"/>
    <x v="2"/>
    <x v="2"/>
    <n v="17"/>
    <n v="31099"/>
    <n v="528683"/>
    <x v="0"/>
  </r>
  <r>
    <s v="2024-02-29"/>
    <s v="jueves"/>
    <x v="10"/>
    <s v="2024"/>
    <x v="3"/>
    <x v="3"/>
    <x v="1"/>
    <x v="0"/>
    <x v="1"/>
    <n v="15"/>
    <n v="51858"/>
    <n v="777870"/>
    <x v="0"/>
  </r>
  <r>
    <s v="2024-05-24"/>
    <s v="viernes"/>
    <x v="4"/>
    <s v="2024"/>
    <x v="0"/>
    <x v="2"/>
    <x v="2"/>
    <x v="0"/>
    <x v="0"/>
    <n v="15"/>
    <n v="56005"/>
    <n v="840075"/>
    <x v="0"/>
  </r>
  <r>
    <s v="2024-08-20"/>
    <s v="martes"/>
    <x v="2"/>
    <s v="2024"/>
    <x v="1"/>
    <x v="2"/>
    <x v="4"/>
    <x v="4"/>
    <x v="2"/>
    <n v="7"/>
    <n v="42409"/>
    <n v="296863"/>
    <x v="3"/>
  </r>
  <r>
    <s v="2024-09-28"/>
    <s v="sábado"/>
    <x v="1"/>
    <s v="2024"/>
    <x v="4"/>
    <x v="4"/>
    <x v="4"/>
    <x v="0"/>
    <x v="2"/>
    <n v="2"/>
    <n v="33363"/>
    <n v="66726"/>
    <x v="0"/>
  </r>
  <r>
    <s v="2024-10-09"/>
    <s v="miércoles"/>
    <x v="8"/>
    <s v="2024"/>
    <x v="4"/>
    <x v="2"/>
    <x v="2"/>
    <x v="1"/>
    <x v="1"/>
    <n v="15"/>
    <n v="57161"/>
    <n v="857415"/>
    <x v="0"/>
  </r>
  <r>
    <s v="2024-04-28"/>
    <s v="domingo"/>
    <x v="3"/>
    <s v="2024"/>
    <x v="2"/>
    <x v="4"/>
    <x v="3"/>
    <x v="1"/>
    <x v="1"/>
    <n v="7"/>
    <n v="22533"/>
    <n v="157731"/>
    <x v="2"/>
  </r>
  <r>
    <s v="2024-02-20"/>
    <s v="martes"/>
    <x v="10"/>
    <s v="2024"/>
    <x v="4"/>
    <x v="4"/>
    <x v="1"/>
    <x v="2"/>
    <x v="2"/>
    <n v="3"/>
    <n v="30099"/>
    <n v="90297"/>
    <x v="2"/>
  </r>
  <r>
    <s v="2024-05-14"/>
    <s v="martes"/>
    <x v="4"/>
    <s v="2024"/>
    <x v="1"/>
    <x v="3"/>
    <x v="2"/>
    <x v="0"/>
    <x v="1"/>
    <n v="12"/>
    <n v="22795"/>
    <n v="273540"/>
    <x v="1"/>
  </r>
  <r>
    <s v="2024-08-12"/>
    <s v="lunes"/>
    <x v="2"/>
    <s v="2024"/>
    <x v="2"/>
    <x v="4"/>
    <x v="3"/>
    <x v="2"/>
    <x v="1"/>
    <n v="6"/>
    <n v="33422"/>
    <n v="200532"/>
    <x v="2"/>
  </r>
  <r>
    <s v="2024-10-25"/>
    <s v="viernes"/>
    <x v="8"/>
    <s v="2024"/>
    <x v="2"/>
    <x v="4"/>
    <x v="4"/>
    <x v="3"/>
    <x v="0"/>
    <n v="4"/>
    <n v="29516"/>
    <n v="118064"/>
    <x v="3"/>
  </r>
  <r>
    <s v="2024-10-05"/>
    <s v="sábado"/>
    <x v="8"/>
    <s v="2024"/>
    <x v="4"/>
    <x v="1"/>
    <x v="4"/>
    <x v="0"/>
    <x v="2"/>
    <n v="3"/>
    <n v="44344"/>
    <n v="133032"/>
    <x v="1"/>
  </r>
  <r>
    <s v="2024-10-15"/>
    <s v="martes"/>
    <x v="8"/>
    <s v="2024"/>
    <x v="2"/>
    <x v="0"/>
    <x v="1"/>
    <x v="4"/>
    <x v="0"/>
    <n v="3"/>
    <n v="41325"/>
    <n v="123975"/>
    <x v="1"/>
  </r>
  <r>
    <s v="2024-03-05"/>
    <s v="martes"/>
    <x v="6"/>
    <s v="2024"/>
    <x v="3"/>
    <x v="0"/>
    <x v="3"/>
    <x v="4"/>
    <x v="0"/>
    <n v="4"/>
    <n v="50334"/>
    <n v="201336"/>
    <x v="0"/>
  </r>
  <r>
    <s v="2024-12-01"/>
    <s v="domingo"/>
    <x v="7"/>
    <s v="2024"/>
    <x v="1"/>
    <x v="3"/>
    <x v="4"/>
    <x v="4"/>
    <x v="1"/>
    <n v="13"/>
    <n v="22261"/>
    <n v="289393"/>
    <x v="2"/>
  </r>
  <r>
    <s v="2024-10-04"/>
    <s v="viernes"/>
    <x v="8"/>
    <s v="2024"/>
    <x v="2"/>
    <x v="2"/>
    <x v="0"/>
    <x v="2"/>
    <x v="2"/>
    <n v="18"/>
    <n v="33039"/>
    <n v="594702"/>
    <x v="2"/>
  </r>
  <r>
    <s v="2024-06-04"/>
    <s v="martes"/>
    <x v="9"/>
    <s v="2024"/>
    <x v="2"/>
    <x v="4"/>
    <x v="1"/>
    <x v="1"/>
    <x v="1"/>
    <n v="3"/>
    <n v="16185"/>
    <n v="48555"/>
    <x v="3"/>
  </r>
  <r>
    <s v="2024-11-29"/>
    <s v="viernes"/>
    <x v="5"/>
    <s v="2024"/>
    <x v="3"/>
    <x v="0"/>
    <x v="3"/>
    <x v="0"/>
    <x v="1"/>
    <n v="14"/>
    <n v="18977"/>
    <n v="265678"/>
    <x v="1"/>
  </r>
  <r>
    <s v="2024-04-08"/>
    <s v="lunes"/>
    <x v="3"/>
    <s v="2024"/>
    <x v="4"/>
    <x v="4"/>
    <x v="0"/>
    <x v="2"/>
    <x v="1"/>
    <n v="1"/>
    <n v="21628"/>
    <n v="21628"/>
    <x v="3"/>
  </r>
  <r>
    <s v="2024-07-08"/>
    <s v="lunes"/>
    <x v="0"/>
    <s v="2024"/>
    <x v="1"/>
    <x v="0"/>
    <x v="3"/>
    <x v="3"/>
    <x v="0"/>
    <n v="13"/>
    <n v="23184"/>
    <n v="301392"/>
    <x v="3"/>
  </r>
  <r>
    <s v="2024-09-20"/>
    <s v="viernes"/>
    <x v="1"/>
    <s v="2024"/>
    <x v="1"/>
    <x v="3"/>
    <x v="2"/>
    <x v="2"/>
    <x v="0"/>
    <n v="7"/>
    <n v="46473"/>
    <n v="325311"/>
    <x v="1"/>
  </r>
  <r>
    <s v="2024-01-06"/>
    <s v="sábado"/>
    <x v="11"/>
    <s v="2024"/>
    <x v="2"/>
    <x v="3"/>
    <x v="3"/>
    <x v="4"/>
    <x v="2"/>
    <n v="4"/>
    <n v="40537"/>
    <n v="162148"/>
    <x v="2"/>
  </r>
  <r>
    <s v="2024-07-31"/>
    <s v="miércoles"/>
    <x v="0"/>
    <s v="2024"/>
    <x v="2"/>
    <x v="3"/>
    <x v="0"/>
    <x v="4"/>
    <x v="1"/>
    <n v="11"/>
    <n v="24481"/>
    <n v="269291"/>
    <x v="1"/>
  </r>
  <r>
    <s v="2024-07-31"/>
    <s v="miércoles"/>
    <x v="0"/>
    <s v="2024"/>
    <x v="3"/>
    <x v="1"/>
    <x v="3"/>
    <x v="3"/>
    <x v="0"/>
    <n v="1"/>
    <n v="34753"/>
    <n v="34753"/>
    <x v="2"/>
  </r>
  <r>
    <s v="2024-03-24"/>
    <s v="domingo"/>
    <x v="6"/>
    <s v="2024"/>
    <x v="1"/>
    <x v="2"/>
    <x v="3"/>
    <x v="3"/>
    <x v="1"/>
    <n v="16"/>
    <n v="42547"/>
    <n v="680752"/>
    <x v="2"/>
  </r>
  <r>
    <s v="2024-10-23"/>
    <s v="miércoles"/>
    <x v="8"/>
    <s v="2024"/>
    <x v="0"/>
    <x v="2"/>
    <x v="1"/>
    <x v="3"/>
    <x v="1"/>
    <n v="12"/>
    <n v="29750"/>
    <n v="357000"/>
    <x v="2"/>
  </r>
  <r>
    <s v="2024-02-27"/>
    <s v="martes"/>
    <x v="10"/>
    <s v="2024"/>
    <x v="4"/>
    <x v="3"/>
    <x v="1"/>
    <x v="3"/>
    <x v="1"/>
    <n v="15"/>
    <n v="50401"/>
    <n v="756015"/>
    <x v="0"/>
  </r>
  <r>
    <s v="2024-08-28"/>
    <s v="miércoles"/>
    <x v="2"/>
    <s v="2024"/>
    <x v="2"/>
    <x v="0"/>
    <x v="0"/>
    <x v="1"/>
    <x v="1"/>
    <n v="18"/>
    <n v="51147"/>
    <n v="920646"/>
    <x v="3"/>
  </r>
  <r>
    <s v="2024-10-01"/>
    <s v="martes"/>
    <x v="8"/>
    <s v="2024"/>
    <x v="3"/>
    <x v="3"/>
    <x v="4"/>
    <x v="1"/>
    <x v="2"/>
    <n v="14"/>
    <n v="54276"/>
    <n v="759864"/>
    <x v="0"/>
  </r>
  <r>
    <s v="2024-03-11"/>
    <s v="lunes"/>
    <x v="6"/>
    <s v="2024"/>
    <x v="2"/>
    <x v="4"/>
    <x v="4"/>
    <x v="3"/>
    <x v="0"/>
    <n v="6"/>
    <n v="36188"/>
    <n v="217128"/>
    <x v="2"/>
  </r>
  <r>
    <s v="2024-12-23"/>
    <s v="lunes"/>
    <x v="7"/>
    <s v="2024"/>
    <x v="4"/>
    <x v="4"/>
    <x v="4"/>
    <x v="4"/>
    <x v="2"/>
    <n v="16"/>
    <n v="49238"/>
    <n v="787808"/>
    <x v="1"/>
  </r>
  <r>
    <s v="2024-08-06"/>
    <s v="martes"/>
    <x v="2"/>
    <s v="2024"/>
    <x v="3"/>
    <x v="1"/>
    <x v="0"/>
    <x v="2"/>
    <x v="1"/>
    <n v="9"/>
    <n v="43765"/>
    <n v="393885"/>
    <x v="0"/>
  </r>
  <r>
    <s v="2024-02-09"/>
    <s v="viernes"/>
    <x v="10"/>
    <s v="2024"/>
    <x v="0"/>
    <x v="4"/>
    <x v="1"/>
    <x v="0"/>
    <x v="1"/>
    <n v="18"/>
    <n v="25029"/>
    <n v="450522"/>
    <x v="1"/>
  </r>
  <r>
    <s v="2024-07-24"/>
    <s v="miércoles"/>
    <x v="0"/>
    <s v="2024"/>
    <x v="4"/>
    <x v="1"/>
    <x v="4"/>
    <x v="3"/>
    <x v="2"/>
    <n v="13"/>
    <n v="32288"/>
    <n v="419744"/>
    <x v="3"/>
  </r>
  <r>
    <s v="2024-03-20"/>
    <s v="miércoles"/>
    <x v="6"/>
    <s v="2024"/>
    <x v="3"/>
    <x v="0"/>
    <x v="3"/>
    <x v="2"/>
    <x v="2"/>
    <n v="3"/>
    <n v="57307"/>
    <n v="171921"/>
    <x v="0"/>
  </r>
  <r>
    <s v="2024-09-17"/>
    <s v="martes"/>
    <x v="1"/>
    <s v="2024"/>
    <x v="4"/>
    <x v="3"/>
    <x v="4"/>
    <x v="0"/>
    <x v="2"/>
    <n v="15"/>
    <n v="55662"/>
    <n v="834930"/>
    <x v="2"/>
  </r>
  <r>
    <s v="2024-03-13"/>
    <s v="miércoles"/>
    <x v="6"/>
    <s v="2024"/>
    <x v="0"/>
    <x v="3"/>
    <x v="0"/>
    <x v="0"/>
    <x v="2"/>
    <n v="10"/>
    <n v="29366"/>
    <n v="293660"/>
    <x v="1"/>
  </r>
  <r>
    <s v="2024-03-17"/>
    <s v="domingo"/>
    <x v="6"/>
    <s v="2024"/>
    <x v="3"/>
    <x v="2"/>
    <x v="0"/>
    <x v="4"/>
    <x v="0"/>
    <n v="2"/>
    <n v="41638"/>
    <n v="83276"/>
    <x v="3"/>
  </r>
  <r>
    <s v="2024-01-27"/>
    <s v="sábado"/>
    <x v="11"/>
    <s v="2024"/>
    <x v="1"/>
    <x v="2"/>
    <x v="0"/>
    <x v="4"/>
    <x v="1"/>
    <n v="18"/>
    <n v="28688"/>
    <n v="516384"/>
    <x v="1"/>
  </r>
  <r>
    <s v="2024-12-29"/>
    <s v="domingo"/>
    <x v="7"/>
    <s v="2024"/>
    <x v="3"/>
    <x v="1"/>
    <x v="3"/>
    <x v="3"/>
    <x v="0"/>
    <n v="19"/>
    <n v="32385"/>
    <n v="615315"/>
    <x v="3"/>
  </r>
  <r>
    <s v="2024-05-19"/>
    <s v="domingo"/>
    <x v="4"/>
    <s v="2024"/>
    <x v="3"/>
    <x v="0"/>
    <x v="0"/>
    <x v="2"/>
    <x v="1"/>
    <n v="8"/>
    <n v="33998"/>
    <n v="271984"/>
    <x v="2"/>
  </r>
  <r>
    <s v="2024-06-16"/>
    <s v="domingo"/>
    <x v="9"/>
    <s v="2024"/>
    <x v="2"/>
    <x v="0"/>
    <x v="4"/>
    <x v="3"/>
    <x v="1"/>
    <n v="7"/>
    <n v="51615"/>
    <n v="361305"/>
    <x v="1"/>
  </r>
  <r>
    <s v="2024-01-23"/>
    <s v="martes"/>
    <x v="11"/>
    <s v="2024"/>
    <x v="3"/>
    <x v="4"/>
    <x v="4"/>
    <x v="3"/>
    <x v="2"/>
    <n v="8"/>
    <n v="30784"/>
    <n v="246272"/>
    <x v="2"/>
  </r>
  <r>
    <s v="2024-11-18"/>
    <s v="lunes"/>
    <x v="5"/>
    <s v="2024"/>
    <x v="1"/>
    <x v="1"/>
    <x v="1"/>
    <x v="0"/>
    <x v="1"/>
    <n v="8"/>
    <n v="22989"/>
    <n v="183912"/>
    <x v="0"/>
  </r>
  <r>
    <s v="2024-12-07"/>
    <s v="sábado"/>
    <x v="7"/>
    <s v="2024"/>
    <x v="3"/>
    <x v="1"/>
    <x v="4"/>
    <x v="0"/>
    <x v="2"/>
    <n v="17"/>
    <n v="53553"/>
    <n v="910401"/>
    <x v="1"/>
  </r>
  <r>
    <s v="2024-01-30"/>
    <s v="martes"/>
    <x v="11"/>
    <s v="2024"/>
    <x v="4"/>
    <x v="2"/>
    <x v="2"/>
    <x v="0"/>
    <x v="2"/>
    <n v="8"/>
    <n v="50432"/>
    <n v="403456"/>
    <x v="2"/>
  </r>
  <r>
    <s v="2024-11-05"/>
    <s v="martes"/>
    <x v="5"/>
    <s v="2024"/>
    <x v="4"/>
    <x v="3"/>
    <x v="0"/>
    <x v="3"/>
    <x v="2"/>
    <n v="6"/>
    <n v="32256"/>
    <n v="193536"/>
    <x v="2"/>
  </r>
  <r>
    <s v="2024-09-05"/>
    <s v="jueves"/>
    <x v="1"/>
    <s v="2024"/>
    <x v="2"/>
    <x v="1"/>
    <x v="0"/>
    <x v="4"/>
    <x v="0"/>
    <n v="5"/>
    <n v="26412"/>
    <n v="132060"/>
    <x v="2"/>
  </r>
  <r>
    <s v="2024-05-16"/>
    <s v="jueves"/>
    <x v="4"/>
    <s v="2024"/>
    <x v="1"/>
    <x v="2"/>
    <x v="1"/>
    <x v="1"/>
    <x v="1"/>
    <n v="13"/>
    <n v="26787"/>
    <n v="348231"/>
    <x v="0"/>
  </r>
  <r>
    <s v="2024-10-14"/>
    <s v="lunes"/>
    <x v="8"/>
    <s v="2024"/>
    <x v="4"/>
    <x v="4"/>
    <x v="2"/>
    <x v="1"/>
    <x v="1"/>
    <n v="17"/>
    <n v="38338"/>
    <n v="651746"/>
    <x v="0"/>
  </r>
  <r>
    <s v="2024-05-16"/>
    <s v="jueves"/>
    <x v="4"/>
    <s v="2024"/>
    <x v="3"/>
    <x v="1"/>
    <x v="3"/>
    <x v="0"/>
    <x v="0"/>
    <n v="11"/>
    <n v="36294"/>
    <n v="399234"/>
    <x v="1"/>
  </r>
  <r>
    <s v="2024-10-30"/>
    <s v="miércoles"/>
    <x v="8"/>
    <s v="2024"/>
    <x v="4"/>
    <x v="0"/>
    <x v="4"/>
    <x v="4"/>
    <x v="2"/>
    <n v="16"/>
    <n v="39929"/>
    <n v="638864"/>
    <x v="3"/>
  </r>
  <r>
    <s v="2024-01-14"/>
    <s v="domingo"/>
    <x v="11"/>
    <s v="2024"/>
    <x v="4"/>
    <x v="4"/>
    <x v="0"/>
    <x v="4"/>
    <x v="1"/>
    <n v="16"/>
    <n v="53652"/>
    <n v="858432"/>
    <x v="3"/>
  </r>
  <r>
    <s v="2024-08-25"/>
    <s v="domingo"/>
    <x v="2"/>
    <s v="2024"/>
    <x v="2"/>
    <x v="2"/>
    <x v="1"/>
    <x v="4"/>
    <x v="2"/>
    <n v="12"/>
    <n v="53268"/>
    <n v="639216"/>
    <x v="0"/>
  </r>
  <r>
    <s v="2024-02-28"/>
    <s v="miércoles"/>
    <x v="10"/>
    <s v="2024"/>
    <x v="4"/>
    <x v="0"/>
    <x v="3"/>
    <x v="0"/>
    <x v="0"/>
    <n v="2"/>
    <n v="21162"/>
    <n v="42324"/>
    <x v="2"/>
  </r>
  <r>
    <s v="2024-06-14"/>
    <s v="viernes"/>
    <x v="9"/>
    <s v="2024"/>
    <x v="1"/>
    <x v="3"/>
    <x v="1"/>
    <x v="3"/>
    <x v="2"/>
    <n v="17"/>
    <n v="54987"/>
    <n v="934779"/>
    <x v="2"/>
  </r>
  <r>
    <s v="2024-12-25"/>
    <s v="miércoles"/>
    <x v="7"/>
    <s v="2024"/>
    <x v="0"/>
    <x v="3"/>
    <x v="3"/>
    <x v="1"/>
    <x v="1"/>
    <n v="7"/>
    <n v="16691"/>
    <n v="116837"/>
    <x v="3"/>
  </r>
  <r>
    <s v="2024-07-10"/>
    <s v="miércoles"/>
    <x v="0"/>
    <s v="2024"/>
    <x v="4"/>
    <x v="3"/>
    <x v="4"/>
    <x v="3"/>
    <x v="2"/>
    <n v="3"/>
    <n v="16888"/>
    <n v="50664"/>
    <x v="1"/>
  </r>
  <r>
    <s v="2024-05-05"/>
    <s v="domingo"/>
    <x v="4"/>
    <s v="2024"/>
    <x v="0"/>
    <x v="4"/>
    <x v="4"/>
    <x v="3"/>
    <x v="2"/>
    <n v="15"/>
    <n v="27357"/>
    <n v="410355"/>
    <x v="0"/>
  </r>
  <r>
    <s v="2024-02-05"/>
    <s v="lunes"/>
    <x v="10"/>
    <s v="2024"/>
    <x v="3"/>
    <x v="1"/>
    <x v="2"/>
    <x v="2"/>
    <x v="2"/>
    <n v="8"/>
    <n v="32428"/>
    <n v="259424"/>
    <x v="2"/>
  </r>
  <r>
    <s v="2024-06-24"/>
    <s v="lunes"/>
    <x v="9"/>
    <s v="2024"/>
    <x v="1"/>
    <x v="3"/>
    <x v="1"/>
    <x v="2"/>
    <x v="0"/>
    <n v="18"/>
    <n v="54106"/>
    <n v="973908"/>
    <x v="2"/>
  </r>
  <r>
    <s v="2024-07-30"/>
    <s v="martes"/>
    <x v="0"/>
    <s v="2024"/>
    <x v="1"/>
    <x v="2"/>
    <x v="1"/>
    <x v="4"/>
    <x v="2"/>
    <n v="5"/>
    <n v="51488"/>
    <n v="257440"/>
    <x v="2"/>
  </r>
  <r>
    <s v="2024-01-17"/>
    <s v="miércoles"/>
    <x v="11"/>
    <s v="2024"/>
    <x v="3"/>
    <x v="2"/>
    <x v="3"/>
    <x v="0"/>
    <x v="2"/>
    <n v="11"/>
    <n v="50594"/>
    <n v="556534"/>
    <x v="3"/>
  </r>
  <r>
    <s v="2024-06-22"/>
    <s v="sábado"/>
    <x v="9"/>
    <s v="2024"/>
    <x v="1"/>
    <x v="2"/>
    <x v="4"/>
    <x v="4"/>
    <x v="1"/>
    <n v="19"/>
    <n v="36743"/>
    <n v="698117"/>
    <x v="0"/>
  </r>
  <r>
    <s v="2024-04-12"/>
    <s v="viernes"/>
    <x v="3"/>
    <s v="2024"/>
    <x v="4"/>
    <x v="1"/>
    <x v="0"/>
    <x v="3"/>
    <x v="2"/>
    <n v="6"/>
    <n v="43612"/>
    <n v="261672"/>
    <x v="0"/>
  </r>
  <r>
    <s v="2024-09-22"/>
    <s v="domingo"/>
    <x v="1"/>
    <s v="2024"/>
    <x v="2"/>
    <x v="3"/>
    <x v="3"/>
    <x v="4"/>
    <x v="2"/>
    <n v="7"/>
    <n v="23413"/>
    <n v="163891"/>
    <x v="3"/>
  </r>
  <r>
    <s v="2024-03-22"/>
    <s v="viernes"/>
    <x v="6"/>
    <s v="2024"/>
    <x v="4"/>
    <x v="3"/>
    <x v="0"/>
    <x v="0"/>
    <x v="0"/>
    <n v="6"/>
    <n v="31301"/>
    <n v="187806"/>
    <x v="0"/>
  </r>
  <r>
    <s v="2024-02-20"/>
    <s v="martes"/>
    <x v="10"/>
    <s v="2024"/>
    <x v="2"/>
    <x v="1"/>
    <x v="2"/>
    <x v="3"/>
    <x v="2"/>
    <n v="20"/>
    <n v="31587"/>
    <n v="631740"/>
    <x v="2"/>
  </r>
  <r>
    <s v="2024-07-25"/>
    <s v="jueves"/>
    <x v="0"/>
    <s v="2024"/>
    <x v="2"/>
    <x v="3"/>
    <x v="1"/>
    <x v="0"/>
    <x v="0"/>
    <n v="7"/>
    <n v="42733"/>
    <n v="299131"/>
    <x v="1"/>
  </r>
  <r>
    <s v="2024-04-30"/>
    <s v="martes"/>
    <x v="3"/>
    <s v="2024"/>
    <x v="3"/>
    <x v="4"/>
    <x v="3"/>
    <x v="2"/>
    <x v="2"/>
    <n v="9"/>
    <n v="29502"/>
    <n v="265518"/>
    <x v="1"/>
  </r>
  <r>
    <s v="2024-05-30"/>
    <s v="jueves"/>
    <x v="4"/>
    <s v="2024"/>
    <x v="2"/>
    <x v="0"/>
    <x v="2"/>
    <x v="4"/>
    <x v="0"/>
    <n v="9"/>
    <n v="40629"/>
    <n v="365661"/>
    <x v="3"/>
  </r>
  <r>
    <s v="2024-03-22"/>
    <s v="viernes"/>
    <x v="6"/>
    <s v="2024"/>
    <x v="0"/>
    <x v="4"/>
    <x v="3"/>
    <x v="1"/>
    <x v="0"/>
    <n v="1"/>
    <n v="33510"/>
    <n v="33510"/>
    <x v="1"/>
  </r>
  <r>
    <s v="2024-02-04"/>
    <s v="domingo"/>
    <x v="10"/>
    <s v="2024"/>
    <x v="1"/>
    <x v="2"/>
    <x v="1"/>
    <x v="0"/>
    <x v="1"/>
    <n v="16"/>
    <n v="32262"/>
    <n v="516192"/>
    <x v="1"/>
  </r>
  <r>
    <s v="2024-07-14"/>
    <s v="domingo"/>
    <x v="0"/>
    <s v="2024"/>
    <x v="1"/>
    <x v="4"/>
    <x v="0"/>
    <x v="4"/>
    <x v="2"/>
    <n v="9"/>
    <n v="50685"/>
    <n v="456165"/>
    <x v="0"/>
  </r>
  <r>
    <s v="2024-04-01"/>
    <s v="lunes"/>
    <x v="3"/>
    <s v="2024"/>
    <x v="2"/>
    <x v="0"/>
    <x v="3"/>
    <x v="1"/>
    <x v="0"/>
    <n v="1"/>
    <n v="27813"/>
    <n v="27813"/>
    <x v="2"/>
  </r>
  <r>
    <s v="2024-04-08"/>
    <s v="lunes"/>
    <x v="3"/>
    <s v="2024"/>
    <x v="1"/>
    <x v="4"/>
    <x v="2"/>
    <x v="2"/>
    <x v="1"/>
    <n v="20"/>
    <n v="45540"/>
    <n v="910800"/>
    <x v="0"/>
  </r>
  <r>
    <s v="2024-03-29"/>
    <s v="viernes"/>
    <x v="6"/>
    <s v="2024"/>
    <x v="1"/>
    <x v="1"/>
    <x v="4"/>
    <x v="2"/>
    <x v="1"/>
    <n v="18"/>
    <n v="29335"/>
    <n v="528030"/>
    <x v="3"/>
  </r>
  <r>
    <s v="2024-10-23"/>
    <s v="miércoles"/>
    <x v="8"/>
    <s v="2024"/>
    <x v="0"/>
    <x v="1"/>
    <x v="4"/>
    <x v="4"/>
    <x v="2"/>
    <n v="12"/>
    <n v="55928"/>
    <n v="671136"/>
    <x v="2"/>
  </r>
  <r>
    <s v="2024-04-28"/>
    <s v="domingo"/>
    <x v="3"/>
    <s v="2024"/>
    <x v="3"/>
    <x v="0"/>
    <x v="1"/>
    <x v="1"/>
    <x v="0"/>
    <n v="8"/>
    <n v="31309"/>
    <n v="250472"/>
    <x v="3"/>
  </r>
  <r>
    <s v="2024-09-22"/>
    <s v="domingo"/>
    <x v="1"/>
    <s v="2024"/>
    <x v="0"/>
    <x v="1"/>
    <x v="1"/>
    <x v="1"/>
    <x v="2"/>
    <n v="2"/>
    <n v="15437"/>
    <n v="30874"/>
    <x v="2"/>
  </r>
  <r>
    <s v="2024-04-07"/>
    <s v="domingo"/>
    <x v="3"/>
    <s v="2024"/>
    <x v="4"/>
    <x v="1"/>
    <x v="1"/>
    <x v="4"/>
    <x v="0"/>
    <n v="8"/>
    <n v="46932"/>
    <n v="375456"/>
    <x v="2"/>
  </r>
  <r>
    <s v="2024-01-11"/>
    <s v="jueves"/>
    <x v="11"/>
    <s v="2024"/>
    <x v="3"/>
    <x v="3"/>
    <x v="1"/>
    <x v="4"/>
    <x v="0"/>
    <n v="18"/>
    <n v="23033"/>
    <n v="414594"/>
    <x v="2"/>
  </r>
  <r>
    <s v="2024-04-17"/>
    <s v="miércoles"/>
    <x v="3"/>
    <s v="2024"/>
    <x v="1"/>
    <x v="4"/>
    <x v="1"/>
    <x v="0"/>
    <x v="2"/>
    <n v="4"/>
    <n v="37230"/>
    <n v="148920"/>
    <x v="0"/>
  </r>
  <r>
    <s v="2024-10-30"/>
    <s v="miércoles"/>
    <x v="8"/>
    <s v="2024"/>
    <x v="1"/>
    <x v="0"/>
    <x v="0"/>
    <x v="4"/>
    <x v="0"/>
    <n v="3"/>
    <n v="16902"/>
    <n v="50706"/>
    <x v="2"/>
  </r>
  <r>
    <s v="2024-04-05"/>
    <s v="viernes"/>
    <x v="3"/>
    <s v="2024"/>
    <x v="3"/>
    <x v="2"/>
    <x v="4"/>
    <x v="4"/>
    <x v="0"/>
    <n v="4"/>
    <n v="38101"/>
    <n v="152404"/>
    <x v="1"/>
  </r>
  <r>
    <s v="2024-09-02"/>
    <s v="lunes"/>
    <x v="1"/>
    <s v="2024"/>
    <x v="3"/>
    <x v="2"/>
    <x v="0"/>
    <x v="3"/>
    <x v="0"/>
    <n v="7"/>
    <n v="44605"/>
    <n v="312235"/>
    <x v="2"/>
  </r>
  <r>
    <s v="2024-03-28"/>
    <s v="jueves"/>
    <x v="6"/>
    <s v="2024"/>
    <x v="0"/>
    <x v="0"/>
    <x v="1"/>
    <x v="2"/>
    <x v="0"/>
    <n v="15"/>
    <n v="33232"/>
    <n v="498480"/>
    <x v="3"/>
  </r>
  <r>
    <s v="2024-10-11"/>
    <s v="viernes"/>
    <x v="8"/>
    <s v="2024"/>
    <x v="3"/>
    <x v="4"/>
    <x v="4"/>
    <x v="1"/>
    <x v="1"/>
    <n v="18"/>
    <n v="41634"/>
    <n v="749412"/>
    <x v="3"/>
  </r>
  <r>
    <s v="2024-11-15"/>
    <s v="viernes"/>
    <x v="5"/>
    <s v="2024"/>
    <x v="1"/>
    <x v="3"/>
    <x v="2"/>
    <x v="2"/>
    <x v="1"/>
    <n v="16"/>
    <n v="17422"/>
    <n v="278752"/>
    <x v="1"/>
  </r>
  <r>
    <s v="2024-05-23"/>
    <s v="jueves"/>
    <x v="4"/>
    <s v="2024"/>
    <x v="4"/>
    <x v="1"/>
    <x v="0"/>
    <x v="0"/>
    <x v="1"/>
    <n v="12"/>
    <n v="29536"/>
    <n v="354432"/>
    <x v="1"/>
  </r>
  <r>
    <s v="2024-04-24"/>
    <s v="miércoles"/>
    <x v="3"/>
    <s v="2024"/>
    <x v="1"/>
    <x v="1"/>
    <x v="1"/>
    <x v="0"/>
    <x v="0"/>
    <n v="7"/>
    <n v="26168"/>
    <n v="183176"/>
    <x v="1"/>
  </r>
  <r>
    <s v="2024-02-16"/>
    <s v="viernes"/>
    <x v="10"/>
    <s v="2024"/>
    <x v="2"/>
    <x v="0"/>
    <x v="1"/>
    <x v="3"/>
    <x v="2"/>
    <n v="11"/>
    <n v="51037"/>
    <n v="561407"/>
    <x v="2"/>
  </r>
  <r>
    <s v="2024-02-26"/>
    <s v="lunes"/>
    <x v="10"/>
    <s v="2024"/>
    <x v="0"/>
    <x v="3"/>
    <x v="2"/>
    <x v="2"/>
    <x v="1"/>
    <n v="1"/>
    <n v="36429"/>
    <n v="36429"/>
    <x v="0"/>
  </r>
  <r>
    <s v="2024-10-23"/>
    <s v="miércoles"/>
    <x v="8"/>
    <s v="2024"/>
    <x v="3"/>
    <x v="0"/>
    <x v="1"/>
    <x v="3"/>
    <x v="1"/>
    <n v="20"/>
    <n v="17918"/>
    <n v="358360"/>
    <x v="2"/>
  </r>
  <r>
    <s v="2024-03-06"/>
    <s v="miércoles"/>
    <x v="6"/>
    <s v="2024"/>
    <x v="2"/>
    <x v="4"/>
    <x v="4"/>
    <x v="4"/>
    <x v="2"/>
    <n v="5"/>
    <n v="59222"/>
    <n v="296110"/>
    <x v="1"/>
  </r>
  <r>
    <s v="2024-02-06"/>
    <s v="martes"/>
    <x v="10"/>
    <s v="2024"/>
    <x v="3"/>
    <x v="4"/>
    <x v="3"/>
    <x v="0"/>
    <x v="2"/>
    <n v="3"/>
    <n v="35198"/>
    <n v="105594"/>
    <x v="0"/>
  </r>
  <r>
    <s v="2024-10-28"/>
    <s v="lunes"/>
    <x v="8"/>
    <s v="2024"/>
    <x v="2"/>
    <x v="4"/>
    <x v="0"/>
    <x v="3"/>
    <x v="1"/>
    <n v="17"/>
    <n v="48433"/>
    <n v="823361"/>
    <x v="3"/>
  </r>
  <r>
    <s v="2024-05-28"/>
    <s v="martes"/>
    <x v="4"/>
    <s v="2024"/>
    <x v="4"/>
    <x v="4"/>
    <x v="4"/>
    <x v="2"/>
    <x v="0"/>
    <n v="19"/>
    <n v="35131"/>
    <n v="667489"/>
    <x v="0"/>
  </r>
  <r>
    <s v="2024-07-03"/>
    <s v="miércoles"/>
    <x v="0"/>
    <s v="2024"/>
    <x v="4"/>
    <x v="0"/>
    <x v="2"/>
    <x v="3"/>
    <x v="1"/>
    <n v="16"/>
    <n v="24792"/>
    <n v="396672"/>
    <x v="1"/>
  </r>
  <r>
    <s v="2024-12-06"/>
    <s v="viernes"/>
    <x v="7"/>
    <s v="2024"/>
    <x v="2"/>
    <x v="4"/>
    <x v="3"/>
    <x v="2"/>
    <x v="2"/>
    <n v="16"/>
    <n v="29258"/>
    <n v="468128"/>
    <x v="2"/>
  </r>
  <r>
    <s v="2024-10-02"/>
    <s v="miércoles"/>
    <x v="8"/>
    <s v="2024"/>
    <x v="0"/>
    <x v="4"/>
    <x v="1"/>
    <x v="3"/>
    <x v="2"/>
    <n v="16"/>
    <n v="53142"/>
    <n v="850272"/>
    <x v="3"/>
  </r>
  <r>
    <s v="2024-10-07"/>
    <s v="lunes"/>
    <x v="8"/>
    <s v="2024"/>
    <x v="4"/>
    <x v="0"/>
    <x v="2"/>
    <x v="0"/>
    <x v="1"/>
    <n v="8"/>
    <n v="47112"/>
    <n v="376896"/>
    <x v="2"/>
  </r>
  <r>
    <s v="2024-11-27"/>
    <s v="miércoles"/>
    <x v="5"/>
    <s v="2024"/>
    <x v="2"/>
    <x v="2"/>
    <x v="2"/>
    <x v="4"/>
    <x v="0"/>
    <n v="1"/>
    <n v="27734"/>
    <n v="27734"/>
    <x v="1"/>
  </r>
  <r>
    <s v="2024-11-03"/>
    <s v="domingo"/>
    <x v="5"/>
    <s v="2024"/>
    <x v="1"/>
    <x v="1"/>
    <x v="0"/>
    <x v="4"/>
    <x v="2"/>
    <n v="8"/>
    <n v="38486"/>
    <n v="307888"/>
    <x v="2"/>
  </r>
  <r>
    <s v="2024-05-14"/>
    <s v="martes"/>
    <x v="4"/>
    <s v="2024"/>
    <x v="3"/>
    <x v="0"/>
    <x v="3"/>
    <x v="3"/>
    <x v="1"/>
    <n v="16"/>
    <n v="40071"/>
    <n v="641136"/>
    <x v="1"/>
  </r>
  <r>
    <s v="2024-08-13"/>
    <s v="martes"/>
    <x v="2"/>
    <s v="2024"/>
    <x v="2"/>
    <x v="3"/>
    <x v="2"/>
    <x v="1"/>
    <x v="1"/>
    <n v="11"/>
    <n v="44374"/>
    <n v="488114"/>
    <x v="0"/>
  </r>
  <r>
    <s v="2024-06-04"/>
    <s v="martes"/>
    <x v="9"/>
    <s v="2024"/>
    <x v="2"/>
    <x v="0"/>
    <x v="4"/>
    <x v="0"/>
    <x v="2"/>
    <n v="6"/>
    <n v="44139"/>
    <n v="264834"/>
    <x v="1"/>
  </r>
  <r>
    <s v="2024-06-05"/>
    <s v="miércoles"/>
    <x v="9"/>
    <s v="2024"/>
    <x v="4"/>
    <x v="4"/>
    <x v="2"/>
    <x v="2"/>
    <x v="1"/>
    <n v="17"/>
    <n v="29974"/>
    <n v="509558"/>
    <x v="0"/>
  </r>
  <r>
    <s v="2024-09-13"/>
    <s v="viernes"/>
    <x v="1"/>
    <s v="2024"/>
    <x v="1"/>
    <x v="4"/>
    <x v="1"/>
    <x v="3"/>
    <x v="2"/>
    <n v="11"/>
    <n v="21320"/>
    <n v="234520"/>
    <x v="0"/>
  </r>
  <r>
    <s v="2024-06-23"/>
    <s v="domingo"/>
    <x v="9"/>
    <s v="2024"/>
    <x v="3"/>
    <x v="0"/>
    <x v="2"/>
    <x v="3"/>
    <x v="2"/>
    <n v="18"/>
    <n v="37355"/>
    <n v="672390"/>
    <x v="3"/>
  </r>
  <r>
    <s v="2024-07-11"/>
    <s v="jueves"/>
    <x v="0"/>
    <s v="2024"/>
    <x v="2"/>
    <x v="3"/>
    <x v="2"/>
    <x v="3"/>
    <x v="1"/>
    <n v="3"/>
    <n v="59887"/>
    <n v="179661"/>
    <x v="1"/>
  </r>
  <r>
    <s v="2024-11-09"/>
    <s v="sábado"/>
    <x v="5"/>
    <s v="2024"/>
    <x v="0"/>
    <x v="1"/>
    <x v="0"/>
    <x v="4"/>
    <x v="0"/>
    <n v="17"/>
    <n v="48507"/>
    <n v="824619"/>
    <x v="2"/>
  </r>
  <r>
    <s v="2024-03-08"/>
    <s v="viernes"/>
    <x v="6"/>
    <s v="2024"/>
    <x v="1"/>
    <x v="3"/>
    <x v="2"/>
    <x v="1"/>
    <x v="1"/>
    <n v="8"/>
    <n v="24403"/>
    <n v="195224"/>
    <x v="3"/>
  </r>
  <r>
    <s v="2024-09-19"/>
    <s v="jueves"/>
    <x v="1"/>
    <s v="2024"/>
    <x v="0"/>
    <x v="3"/>
    <x v="3"/>
    <x v="1"/>
    <x v="2"/>
    <n v="3"/>
    <n v="42340"/>
    <n v="127020"/>
    <x v="1"/>
  </r>
  <r>
    <s v="2024-08-27"/>
    <s v="martes"/>
    <x v="2"/>
    <s v="2024"/>
    <x v="2"/>
    <x v="2"/>
    <x v="4"/>
    <x v="4"/>
    <x v="0"/>
    <n v="2"/>
    <n v="42044"/>
    <n v="84088"/>
    <x v="2"/>
  </r>
  <r>
    <s v="2024-09-22"/>
    <s v="domingo"/>
    <x v="1"/>
    <s v="2024"/>
    <x v="2"/>
    <x v="4"/>
    <x v="3"/>
    <x v="3"/>
    <x v="2"/>
    <n v="18"/>
    <n v="23035"/>
    <n v="414630"/>
    <x v="1"/>
  </r>
  <r>
    <s v="2024-04-30"/>
    <s v="martes"/>
    <x v="3"/>
    <s v="2024"/>
    <x v="2"/>
    <x v="3"/>
    <x v="3"/>
    <x v="1"/>
    <x v="2"/>
    <n v="7"/>
    <n v="28363"/>
    <n v="198541"/>
    <x v="1"/>
  </r>
  <r>
    <s v="2024-11-26"/>
    <s v="martes"/>
    <x v="5"/>
    <s v="2024"/>
    <x v="3"/>
    <x v="3"/>
    <x v="1"/>
    <x v="4"/>
    <x v="2"/>
    <n v="20"/>
    <n v="29363"/>
    <n v="587260"/>
    <x v="1"/>
  </r>
  <r>
    <s v="2024-02-03"/>
    <s v="sábado"/>
    <x v="10"/>
    <s v="2024"/>
    <x v="0"/>
    <x v="0"/>
    <x v="4"/>
    <x v="4"/>
    <x v="0"/>
    <n v="16"/>
    <n v="18619"/>
    <n v="297904"/>
    <x v="1"/>
  </r>
  <r>
    <s v="2024-03-14"/>
    <s v="jueves"/>
    <x v="6"/>
    <s v="2024"/>
    <x v="4"/>
    <x v="4"/>
    <x v="4"/>
    <x v="0"/>
    <x v="0"/>
    <n v="8"/>
    <n v="42567"/>
    <n v="340536"/>
    <x v="0"/>
  </r>
  <r>
    <s v="2024-05-26"/>
    <s v="domingo"/>
    <x v="4"/>
    <s v="2024"/>
    <x v="3"/>
    <x v="1"/>
    <x v="1"/>
    <x v="0"/>
    <x v="1"/>
    <n v="17"/>
    <n v="48855"/>
    <n v="830535"/>
    <x v="1"/>
  </r>
  <r>
    <s v="2024-01-17"/>
    <s v="miércoles"/>
    <x v="11"/>
    <s v="2024"/>
    <x v="0"/>
    <x v="2"/>
    <x v="3"/>
    <x v="1"/>
    <x v="0"/>
    <n v="12"/>
    <n v="38319"/>
    <n v="459828"/>
    <x v="2"/>
  </r>
  <r>
    <s v="2024-07-04"/>
    <s v="jueves"/>
    <x v="0"/>
    <s v="2024"/>
    <x v="2"/>
    <x v="0"/>
    <x v="3"/>
    <x v="1"/>
    <x v="2"/>
    <n v="1"/>
    <n v="27894"/>
    <n v="27894"/>
    <x v="0"/>
  </r>
  <r>
    <s v="2024-11-16"/>
    <s v="sábado"/>
    <x v="5"/>
    <s v="2024"/>
    <x v="2"/>
    <x v="3"/>
    <x v="0"/>
    <x v="4"/>
    <x v="1"/>
    <n v="9"/>
    <n v="46863"/>
    <n v="421767"/>
    <x v="2"/>
  </r>
  <r>
    <s v="2024-07-10"/>
    <s v="miércoles"/>
    <x v="0"/>
    <s v="2024"/>
    <x v="0"/>
    <x v="4"/>
    <x v="1"/>
    <x v="1"/>
    <x v="0"/>
    <n v="14"/>
    <n v="34415"/>
    <n v="481810"/>
    <x v="3"/>
  </r>
  <r>
    <s v="2024-03-02"/>
    <s v="sábado"/>
    <x v="6"/>
    <s v="2024"/>
    <x v="0"/>
    <x v="0"/>
    <x v="3"/>
    <x v="0"/>
    <x v="1"/>
    <n v="14"/>
    <n v="28546"/>
    <n v="399644"/>
    <x v="3"/>
  </r>
  <r>
    <s v="2024-12-05"/>
    <s v="jueves"/>
    <x v="7"/>
    <s v="2024"/>
    <x v="4"/>
    <x v="0"/>
    <x v="4"/>
    <x v="2"/>
    <x v="1"/>
    <n v="3"/>
    <n v="50742"/>
    <n v="152226"/>
    <x v="2"/>
  </r>
  <r>
    <s v="2024-12-18"/>
    <s v="miércoles"/>
    <x v="7"/>
    <s v="2024"/>
    <x v="4"/>
    <x v="3"/>
    <x v="1"/>
    <x v="0"/>
    <x v="1"/>
    <n v="20"/>
    <n v="34096"/>
    <n v="681920"/>
    <x v="3"/>
  </r>
  <r>
    <s v="2024-04-12"/>
    <s v="viernes"/>
    <x v="3"/>
    <s v="2024"/>
    <x v="2"/>
    <x v="3"/>
    <x v="0"/>
    <x v="4"/>
    <x v="0"/>
    <n v="16"/>
    <n v="18379"/>
    <n v="294064"/>
    <x v="2"/>
  </r>
  <r>
    <s v="2024-05-05"/>
    <s v="domingo"/>
    <x v="4"/>
    <s v="2024"/>
    <x v="0"/>
    <x v="2"/>
    <x v="4"/>
    <x v="0"/>
    <x v="1"/>
    <n v="14"/>
    <n v="44572"/>
    <n v="624008"/>
    <x v="0"/>
  </r>
  <r>
    <s v="2024-04-03"/>
    <s v="miércoles"/>
    <x v="3"/>
    <s v="2024"/>
    <x v="3"/>
    <x v="3"/>
    <x v="2"/>
    <x v="0"/>
    <x v="2"/>
    <n v="13"/>
    <n v="20708"/>
    <n v="269204"/>
    <x v="1"/>
  </r>
  <r>
    <s v="2024-08-28"/>
    <s v="miércoles"/>
    <x v="2"/>
    <s v="2024"/>
    <x v="0"/>
    <x v="0"/>
    <x v="0"/>
    <x v="3"/>
    <x v="1"/>
    <n v="13"/>
    <n v="51373"/>
    <n v="667849"/>
    <x v="0"/>
  </r>
  <r>
    <s v="2024-06-01"/>
    <s v="sábado"/>
    <x v="9"/>
    <s v="2024"/>
    <x v="1"/>
    <x v="4"/>
    <x v="0"/>
    <x v="4"/>
    <x v="2"/>
    <n v="14"/>
    <n v="57450"/>
    <n v="804300"/>
    <x v="3"/>
  </r>
  <r>
    <s v="2024-10-13"/>
    <s v="domingo"/>
    <x v="8"/>
    <s v="2024"/>
    <x v="3"/>
    <x v="4"/>
    <x v="4"/>
    <x v="1"/>
    <x v="1"/>
    <n v="16"/>
    <n v="33263"/>
    <n v="532208"/>
    <x v="2"/>
  </r>
  <r>
    <s v="2024-10-05"/>
    <s v="sábado"/>
    <x v="8"/>
    <s v="2024"/>
    <x v="0"/>
    <x v="4"/>
    <x v="1"/>
    <x v="4"/>
    <x v="1"/>
    <n v="6"/>
    <n v="56806"/>
    <n v="340836"/>
    <x v="3"/>
  </r>
  <r>
    <s v="2024-10-07"/>
    <s v="lunes"/>
    <x v="8"/>
    <s v="2024"/>
    <x v="3"/>
    <x v="0"/>
    <x v="3"/>
    <x v="2"/>
    <x v="1"/>
    <n v="11"/>
    <n v="42462"/>
    <n v="467082"/>
    <x v="3"/>
  </r>
  <r>
    <s v="2024-12-26"/>
    <s v="jueves"/>
    <x v="7"/>
    <s v="2024"/>
    <x v="1"/>
    <x v="3"/>
    <x v="4"/>
    <x v="4"/>
    <x v="1"/>
    <n v="18"/>
    <n v="24226"/>
    <n v="436068"/>
    <x v="2"/>
  </r>
  <r>
    <s v="2024-05-25"/>
    <s v="sábado"/>
    <x v="4"/>
    <s v="2024"/>
    <x v="2"/>
    <x v="2"/>
    <x v="0"/>
    <x v="3"/>
    <x v="2"/>
    <n v="16"/>
    <n v="36044"/>
    <n v="576704"/>
    <x v="1"/>
  </r>
  <r>
    <s v="2024-01-29"/>
    <s v="lunes"/>
    <x v="11"/>
    <s v="2024"/>
    <x v="3"/>
    <x v="1"/>
    <x v="1"/>
    <x v="1"/>
    <x v="1"/>
    <n v="8"/>
    <n v="44790"/>
    <n v="358320"/>
    <x v="2"/>
  </r>
  <r>
    <s v="2024-06-23"/>
    <s v="domingo"/>
    <x v="9"/>
    <s v="2024"/>
    <x v="2"/>
    <x v="3"/>
    <x v="1"/>
    <x v="2"/>
    <x v="2"/>
    <n v="9"/>
    <n v="58463"/>
    <n v="526167"/>
    <x v="0"/>
  </r>
  <r>
    <s v="2024-07-04"/>
    <s v="jueves"/>
    <x v="0"/>
    <s v="2024"/>
    <x v="1"/>
    <x v="3"/>
    <x v="2"/>
    <x v="2"/>
    <x v="1"/>
    <n v="16"/>
    <n v="40127"/>
    <n v="642032"/>
    <x v="2"/>
  </r>
  <r>
    <s v="2024-09-04"/>
    <s v="miércoles"/>
    <x v="1"/>
    <s v="2024"/>
    <x v="3"/>
    <x v="2"/>
    <x v="4"/>
    <x v="3"/>
    <x v="1"/>
    <n v="5"/>
    <n v="48006"/>
    <n v="240030"/>
    <x v="2"/>
  </r>
  <r>
    <s v="2024-07-30"/>
    <s v="martes"/>
    <x v="0"/>
    <s v="2024"/>
    <x v="4"/>
    <x v="2"/>
    <x v="1"/>
    <x v="1"/>
    <x v="1"/>
    <n v="6"/>
    <n v="58816"/>
    <n v="352896"/>
    <x v="3"/>
  </r>
  <r>
    <s v="2024-07-15"/>
    <s v="lunes"/>
    <x v="0"/>
    <s v="2024"/>
    <x v="4"/>
    <x v="4"/>
    <x v="1"/>
    <x v="3"/>
    <x v="2"/>
    <n v="19"/>
    <n v="25707"/>
    <n v="488433"/>
    <x v="2"/>
  </r>
  <r>
    <s v="2024-10-28"/>
    <s v="lunes"/>
    <x v="8"/>
    <s v="2024"/>
    <x v="0"/>
    <x v="2"/>
    <x v="2"/>
    <x v="2"/>
    <x v="1"/>
    <n v="13"/>
    <n v="46495"/>
    <n v="604435"/>
    <x v="3"/>
  </r>
  <r>
    <s v="2024-08-25"/>
    <s v="domingo"/>
    <x v="2"/>
    <s v="2024"/>
    <x v="1"/>
    <x v="2"/>
    <x v="0"/>
    <x v="2"/>
    <x v="0"/>
    <n v="16"/>
    <n v="38002"/>
    <n v="608032"/>
    <x v="2"/>
  </r>
  <r>
    <s v="2024-08-28"/>
    <s v="miércoles"/>
    <x v="2"/>
    <s v="2024"/>
    <x v="2"/>
    <x v="0"/>
    <x v="1"/>
    <x v="2"/>
    <x v="1"/>
    <n v="5"/>
    <n v="46230"/>
    <n v="231150"/>
    <x v="1"/>
  </r>
  <r>
    <s v="2024-07-01"/>
    <s v="lunes"/>
    <x v="0"/>
    <s v="2024"/>
    <x v="2"/>
    <x v="0"/>
    <x v="3"/>
    <x v="2"/>
    <x v="1"/>
    <n v="19"/>
    <n v="33229"/>
    <n v="631351"/>
    <x v="3"/>
  </r>
  <r>
    <s v="2024-03-01"/>
    <s v="viernes"/>
    <x v="6"/>
    <s v="2024"/>
    <x v="2"/>
    <x v="1"/>
    <x v="1"/>
    <x v="4"/>
    <x v="0"/>
    <n v="3"/>
    <n v="22046"/>
    <n v="66138"/>
    <x v="2"/>
  </r>
  <r>
    <s v="2024-05-01"/>
    <s v="miércoles"/>
    <x v="4"/>
    <s v="2024"/>
    <x v="1"/>
    <x v="1"/>
    <x v="3"/>
    <x v="2"/>
    <x v="2"/>
    <n v="16"/>
    <n v="47044"/>
    <n v="752704"/>
    <x v="1"/>
  </r>
  <r>
    <s v="2024-09-24"/>
    <s v="martes"/>
    <x v="1"/>
    <s v="2024"/>
    <x v="3"/>
    <x v="3"/>
    <x v="3"/>
    <x v="0"/>
    <x v="2"/>
    <n v="13"/>
    <n v="53919"/>
    <n v="700947"/>
    <x v="0"/>
  </r>
  <r>
    <s v="2024-08-22"/>
    <s v="jueves"/>
    <x v="2"/>
    <s v="2024"/>
    <x v="0"/>
    <x v="3"/>
    <x v="3"/>
    <x v="2"/>
    <x v="0"/>
    <n v="20"/>
    <n v="52298"/>
    <n v="1045960"/>
    <x v="1"/>
  </r>
  <r>
    <s v="2024-01-09"/>
    <s v="martes"/>
    <x v="11"/>
    <s v="2024"/>
    <x v="1"/>
    <x v="0"/>
    <x v="4"/>
    <x v="1"/>
    <x v="0"/>
    <n v="5"/>
    <n v="17300"/>
    <n v="86500"/>
    <x v="1"/>
  </r>
  <r>
    <s v="2024-10-01"/>
    <s v="martes"/>
    <x v="8"/>
    <s v="2024"/>
    <x v="0"/>
    <x v="0"/>
    <x v="4"/>
    <x v="0"/>
    <x v="1"/>
    <n v="20"/>
    <n v="44833"/>
    <n v="896660"/>
    <x v="0"/>
  </r>
  <r>
    <s v="2024-03-06"/>
    <s v="miércoles"/>
    <x v="6"/>
    <s v="2024"/>
    <x v="1"/>
    <x v="3"/>
    <x v="0"/>
    <x v="4"/>
    <x v="2"/>
    <n v="20"/>
    <n v="22560"/>
    <n v="451200"/>
    <x v="0"/>
  </r>
  <r>
    <s v="2024-03-24"/>
    <s v="domingo"/>
    <x v="6"/>
    <s v="2024"/>
    <x v="2"/>
    <x v="0"/>
    <x v="4"/>
    <x v="2"/>
    <x v="0"/>
    <n v="3"/>
    <n v="27104"/>
    <n v="81312"/>
    <x v="3"/>
  </r>
  <r>
    <s v="2024-01-26"/>
    <s v="viernes"/>
    <x v="11"/>
    <s v="2024"/>
    <x v="2"/>
    <x v="2"/>
    <x v="2"/>
    <x v="3"/>
    <x v="1"/>
    <n v="3"/>
    <n v="54840"/>
    <n v="164520"/>
    <x v="3"/>
  </r>
  <r>
    <s v="2024-04-28"/>
    <s v="domingo"/>
    <x v="3"/>
    <s v="2024"/>
    <x v="3"/>
    <x v="3"/>
    <x v="2"/>
    <x v="1"/>
    <x v="0"/>
    <n v="1"/>
    <n v="40372"/>
    <n v="40372"/>
    <x v="1"/>
  </r>
  <r>
    <s v="2024-02-08"/>
    <s v="jueves"/>
    <x v="10"/>
    <s v="2024"/>
    <x v="3"/>
    <x v="0"/>
    <x v="2"/>
    <x v="4"/>
    <x v="2"/>
    <n v="11"/>
    <n v="28339"/>
    <n v="311729"/>
    <x v="2"/>
  </r>
  <r>
    <s v="2024-10-22"/>
    <s v="martes"/>
    <x v="8"/>
    <s v="2024"/>
    <x v="0"/>
    <x v="3"/>
    <x v="4"/>
    <x v="4"/>
    <x v="0"/>
    <n v="13"/>
    <n v="50717"/>
    <n v="659321"/>
    <x v="2"/>
  </r>
  <r>
    <s v="2024-12-08"/>
    <s v="domingo"/>
    <x v="7"/>
    <s v="2024"/>
    <x v="4"/>
    <x v="4"/>
    <x v="4"/>
    <x v="3"/>
    <x v="0"/>
    <n v="13"/>
    <n v="19254"/>
    <n v="250302"/>
    <x v="3"/>
  </r>
  <r>
    <s v="2024-08-16"/>
    <s v="viernes"/>
    <x v="2"/>
    <s v="2024"/>
    <x v="3"/>
    <x v="1"/>
    <x v="2"/>
    <x v="4"/>
    <x v="2"/>
    <n v="3"/>
    <n v="46285"/>
    <n v="138855"/>
    <x v="3"/>
  </r>
  <r>
    <s v="2024-03-20"/>
    <s v="miércoles"/>
    <x v="6"/>
    <s v="2024"/>
    <x v="0"/>
    <x v="4"/>
    <x v="0"/>
    <x v="1"/>
    <x v="1"/>
    <n v="16"/>
    <n v="23169"/>
    <n v="370704"/>
    <x v="1"/>
  </r>
  <r>
    <s v="2024-11-27"/>
    <s v="miércoles"/>
    <x v="5"/>
    <s v="2024"/>
    <x v="1"/>
    <x v="3"/>
    <x v="0"/>
    <x v="1"/>
    <x v="0"/>
    <n v="12"/>
    <n v="28788"/>
    <n v="345456"/>
    <x v="3"/>
  </r>
  <r>
    <s v="2024-03-20"/>
    <s v="miércoles"/>
    <x v="6"/>
    <s v="2024"/>
    <x v="3"/>
    <x v="0"/>
    <x v="4"/>
    <x v="0"/>
    <x v="2"/>
    <n v="8"/>
    <n v="27423"/>
    <n v="219384"/>
    <x v="2"/>
  </r>
  <r>
    <s v="2024-04-30"/>
    <s v="martes"/>
    <x v="3"/>
    <s v="2024"/>
    <x v="0"/>
    <x v="4"/>
    <x v="2"/>
    <x v="0"/>
    <x v="1"/>
    <n v="4"/>
    <n v="47200"/>
    <n v="188800"/>
    <x v="2"/>
  </r>
  <r>
    <s v="2024-01-05"/>
    <s v="viernes"/>
    <x v="11"/>
    <s v="2024"/>
    <x v="4"/>
    <x v="3"/>
    <x v="3"/>
    <x v="0"/>
    <x v="2"/>
    <n v="18"/>
    <n v="21197"/>
    <n v="381546"/>
    <x v="2"/>
  </r>
  <r>
    <s v="2024-08-09"/>
    <s v="viernes"/>
    <x v="2"/>
    <s v="2024"/>
    <x v="4"/>
    <x v="2"/>
    <x v="0"/>
    <x v="1"/>
    <x v="2"/>
    <n v="8"/>
    <n v="19579"/>
    <n v="156632"/>
    <x v="0"/>
  </r>
  <r>
    <s v="2024-04-27"/>
    <s v="sábado"/>
    <x v="3"/>
    <s v="2024"/>
    <x v="2"/>
    <x v="0"/>
    <x v="2"/>
    <x v="1"/>
    <x v="1"/>
    <n v="16"/>
    <n v="55856"/>
    <n v="893696"/>
    <x v="1"/>
  </r>
  <r>
    <s v="2024-01-17"/>
    <s v="miércoles"/>
    <x v="11"/>
    <s v="2024"/>
    <x v="1"/>
    <x v="2"/>
    <x v="3"/>
    <x v="2"/>
    <x v="1"/>
    <n v="18"/>
    <n v="16509"/>
    <n v="297162"/>
    <x v="3"/>
  </r>
  <r>
    <s v="2024-01-12"/>
    <s v="viernes"/>
    <x v="11"/>
    <s v="2024"/>
    <x v="2"/>
    <x v="0"/>
    <x v="2"/>
    <x v="4"/>
    <x v="2"/>
    <n v="13"/>
    <n v="17710"/>
    <n v="230230"/>
    <x v="2"/>
  </r>
  <r>
    <s v="2024-02-17"/>
    <s v="sábado"/>
    <x v="10"/>
    <s v="2024"/>
    <x v="0"/>
    <x v="2"/>
    <x v="4"/>
    <x v="4"/>
    <x v="0"/>
    <n v="7"/>
    <n v="16119"/>
    <n v="112833"/>
    <x v="2"/>
  </r>
  <r>
    <s v="2024-02-02"/>
    <s v="viernes"/>
    <x v="10"/>
    <s v="2024"/>
    <x v="2"/>
    <x v="4"/>
    <x v="4"/>
    <x v="1"/>
    <x v="2"/>
    <n v="1"/>
    <n v="56833"/>
    <n v="56833"/>
    <x v="1"/>
  </r>
  <r>
    <s v="2024-03-27"/>
    <s v="miércoles"/>
    <x v="6"/>
    <s v="2024"/>
    <x v="4"/>
    <x v="4"/>
    <x v="1"/>
    <x v="2"/>
    <x v="1"/>
    <n v="14"/>
    <n v="21052"/>
    <n v="294728"/>
    <x v="0"/>
  </r>
  <r>
    <s v="2024-10-24"/>
    <s v="jueves"/>
    <x v="8"/>
    <s v="2024"/>
    <x v="3"/>
    <x v="0"/>
    <x v="4"/>
    <x v="0"/>
    <x v="2"/>
    <n v="19"/>
    <n v="17604"/>
    <n v="334476"/>
    <x v="1"/>
  </r>
  <r>
    <s v="2024-01-11"/>
    <s v="jueves"/>
    <x v="11"/>
    <s v="2024"/>
    <x v="3"/>
    <x v="1"/>
    <x v="0"/>
    <x v="4"/>
    <x v="0"/>
    <n v="9"/>
    <n v="49499"/>
    <n v="445491"/>
    <x v="3"/>
  </r>
  <r>
    <s v="2024-04-04"/>
    <s v="jueves"/>
    <x v="3"/>
    <s v="2024"/>
    <x v="2"/>
    <x v="1"/>
    <x v="2"/>
    <x v="2"/>
    <x v="2"/>
    <n v="13"/>
    <n v="58644"/>
    <n v="762372"/>
    <x v="1"/>
  </r>
  <r>
    <s v="2024-01-26"/>
    <s v="viernes"/>
    <x v="11"/>
    <s v="2024"/>
    <x v="1"/>
    <x v="1"/>
    <x v="0"/>
    <x v="2"/>
    <x v="0"/>
    <n v="16"/>
    <n v="40876"/>
    <n v="654016"/>
    <x v="0"/>
  </r>
  <r>
    <s v="2024-03-29"/>
    <s v="viernes"/>
    <x v="6"/>
    <s v="2024"/>
    <x v="4"/>
    <x v="0"/>
    <x v="1"/>
    <x v="3"/>
    <x v="1"/>
    <n v="11"/>
    <n v="53883"/>
    <n v="592713"/>
    <x v="1"/>
  </r>
  <r>
    <s v="2024-03-29"/>
    <s v="viernes"/>
    <x v="6"/>
    <s v="2024"/>
    <x v="2"/>
    <x v="0"/>
    <x v="0"/>
    <x v="2"/>
    <x v="1"/>
    <n v="16"/>
    <n v="46338"/>
    <n v="741408"/>
    <x v="3"/>
  </r>
  <r>
    <s v="2024-11-01"/>
    <s v="viernes"/>
    <x v="5"/>
    <s v="2024"/>
    <x v="0"/>
    <x v="1"/>
    <x v="3"/>
    <x v="0"/>
    <x v="0"/>
    <n v="15"/>
    <n v="46347"/>
    <n v="695205"/>
    <x v="1"/>
  </r>
  <r>
    <s v="2024-09-22"/>
    <s v="domingo"/>
    <x v="1"/>
    <s v="2024"/>
    <x v="4"/>
    <x v="0"/>
    <x v="1"/>
    <x v="2"/>
    <x v="2"/>
    <n v="11"/>
    <n v="20997"/>
    <n v="230967"/>
    <x v="0"/>
  </r>
  <r>
    <s v="2024-06-19"/>
    <s v="miércoles"/>
    <x v="9"/>
    <s v="2024"/>
    <x v="3"/>
    <x v="3"/>
    <x v="2"/>
    <x v="4"/>
    <x v="1"/>
    <n v="16"/>
    <n v="22204"/>
    <n v="355264"/>
    <x v="2"/>
  </r>
  <r>
    <s v="2024-05-16"/>
    <s v="jueves"/>
    <x v="4"/>
    <s v="2024"/>
    <x v="2"/>
    <x v="2"/>
    <x v="0"/>
    <x v="0"/>
    <x v="1"/>
    <n v="5"/>
    <n v="52688"/>
    <n v="263440"/>
    <x v="1"/>
  </r>
  <r>
    <s v="2024-03-19"/>
    <s v="martes"/>
    <x v="6"/>
    <s v="2024"/>
    <x v="4"/>
    <x v="1"/>
    <x v="1"/>
    <x v="1"/>
    <x v="1"/>
    <n v="12"/>
    <n v="37935"/>
    <n v="455220"/>
    <x v="1"/>
  </r>
  <r>
    <s v="2024-10-27"/>
    <s v="domingo"/>
    <x v="8"/>
    <s v="2024"/>
    <x v="1"/>
    <x v="0"/>
    <x v="0"/>
    <x v="2"/>
    <x v="0"/>
    <n v="18"/>
    <n v="46603"/>
    <n v="838854"/>
    <x v="3"/>
  </r>
  <r>
    <s v="2024-12-25"/>
    <s v="miércoles"/>
    <x v="7"/>
    <s v="2024"/>
    <x v="0"/>
    <x v="0"/>
    <x v="1"/>
    <x v="4"/>
    <x v="2"/>
    <n v="9"/>
    <n v="41242"/>
    <n v="371178"/>
    <x v="0"/>
  </r>
  <r>
    <s v="2024-01-11"/>
    <s v="jueves"/>
    <x v="11"/>
    <s v="2024"/>
    <x v="2"/>
    <x v="2"/>
    <x v="3"/>
    <x v="2"/>
    <x v="1"/>
    <n v="13"/>
    <n v="37112"/>
    <n v="482456"/>
    <x v="0"/>
  </r>
  <r>
    <s v="2024-08-31"/>
    <s v="sábado"/>
    <x v="2"/>
    <s v="2024"/>
    <x v="3"/>
    <x v="1"/>
    <x v="0"/>
    <x v="1"/>
    <x v="1"/>
    <n v="13"/>
    <n v="36883"/>
    <n v="479479"/>
    <x v="1"/>
  </r>
  <r>
    <s v="2024-08-21"/>
    <s v="miércoles"/>
    <x v="2"/>
    <s v="2024"/>
    <x v="4"/>
    <x v="2"/>
    <x v="0"/>
    <x v="2"/>
    <x v="1"/>
    <n v="6"/>
    <n v="16207"/>
    <n v="97242"/>
    <x v="3"/>
  </r>
  <r>
    <s v="2024-07-24"/>
    <s v="miércoles"/>
    <x v="0"/>
    <s v="2024"/>
    <x v="1"/>
    <x v="2"/>
    <x v="2"/>
    <x v="4"/>
    <x v="1"/>
    <n v="10"/>
    <n v="57164"/>
    <n v="571640"/>
    <x v="0"/>
  </r>
  <r>
    <s v="2024-10-23"/>
    <s v="miércoles"/>
    <x v="8"/>
    <s v="2024"/>
    <x v="4"/>
    <x v="2"/>
    <x v="2"/>
    <x v="0"/>
    <x v="0"/>
    <n v="3"/>
    <n v="43505"/>
    <n v="130515"/>
    <x v="0"/>
  </r>
  <r>
    <s v="2024-05-29"/>
    <s v="miércoles"/>
    <x v="4"/>
    <s v="2024"/>
    <x v="2"/>
    <x v="1"/>
    <x v="4"/>
    <x v="1"/>
    <x v="1"/>
    <n v="8"/>
    <n v="31915"/>
    <n v="255320"/>
    <x v="2"/>
  </r>
  <r>
    <s v="2024-04-19"/>
    <s v="viernes"/>
    <x v="3"/>
    <s v="2024"/>
    <x v="1"/>
    <x v="3"/>
    <x v="2"/>
    <x v="3"/>
    <x v="1"/>
    <n v="20"/>
    <n v="21405"/>
    <n v="428100"/>
    <x v="0"/>
  </r>
  <r>
    <s v="2024-10-12"/>
    <s v="sábado"/>
    <x v="8"/>
    <s v="2024"/>
    <x v="0"/>
    <x v="0"/>
    <x v="3"/>
    <x v="1"/>
    <x v="2"/>
    <n v="20"/>
    <n v="52162"/>
    <n v="1043240"/>
    <x v="3"/>
  </r>
  <r>
    <s v="2024-08-04"/>
    <s v="domingo"/>
    <x v="2"/>
    <s v="2024"/>
    <x v="4"/>
    <x v="2"/>
    <x v="3"/>
    <x v="1"/>
    <x v="2"/>
    <n v="15"/>
    <n v="37080"/>
    <n v="556200"/>
    <x v="3"/>
  </r>
  <r>
    <s v="2024-08-21"/>
    <s v="miércoles"/>
    <x v="2"/>
    <s v="2024"/>
    <x v="3"/>
    <x v="2"/>
    <x v="4"/>
    <x v="4"/>
    <x v="0"/>
    <n v="9"/>
    <n v="23259"/>
    <n v="209331"/>
    <x v="0"/>
  </r>
  <r>
    <s v="2024-06-25"/>
    <s v="martes"/>
    <x v="9"/>
    <s v="2024"/>
    <x v="0"/>
    <x v="1"/>
    <x v="1"/>
    <x v="4"/>
    <x v="2"/>
    <n v="12"/>
    <n v="53568"/>
    <n v="642816"/>
    <x v="3"/>
  </r>
  <r>
    <s v="2024-10-21"/>
    <s v="lunes"/>
    <x v="8"/>
    <s v="2024"/>
    <x v="0"/>
    <x v="4"/>
    <x v="4"/>
    <x v="4"/>
    <x v="0"/>
    <n v="10"/>
    <n v="27332"/>
    <n v="273320"/>
    <x v="3"/>
  </r>
  <r>
    <s v="2024-06-20"/>
    <s v="jueves"/>
    <x v="9"/>
    <s v="2024"/>
    <x v="2"/>
    <x v="0"/>
    <x v="1"/>
    <x v="0"/>
    <x v="2"/>
    <n v="4"/>
    <n v="30529"/>
    <n v="122116"/>
    <x v="2"/>
  </r>
  <r>
    <s v="2024-01-04"/>
    <s v="jueves"/>
    <x v="11"/>
    <s v="2024"/>
    <x v="3"/>
    <x v="3"/>
    <x v="1"/>
    <x v="4"/>
    <x v="0"/>
    <n v="18"/>
    <n v="50898"/>
    <n v="916164"/>
    <x v="1"/>
  </r>
  <r>
    <s v="2024-05-02"/>
    <s v="jueves"/>
    <x v="4"/>
    <s v="2024"/>
    <x v="0"/>
    <x v="1"/>
    <x v="3"/>
    <x v="4"/>
    <x v="2"/>
    <n v="15"/>
    <n v="34591"/>
    <n v="518865"/>
    <x v="3"/>
  </r>
  <r>
    <s v="2024-03-08"/>
    <s v="viernes"/>
    <x v="6"/>
    <s v="2024"/>
    <x v="4"/>
    <x v="3"/>
    <x v="2"/>
    <x v="2"/>
    <x v="0"/>
    <n v="6"/>
    <n v="58769"/>
    <n v="352614"/>
    <x v="2"/>
  </r>
  <r>
    <s v="2024-11-02"/>
    <s v="sábado"/>
    <x v="5"/>
    <s v="2024"/>
    <x v="4"/>
    <x v="4"/>
    <x v="4"/>
    <x v="3"/>
    <x v="0"/>
    <n v="12"/>
    <n v="49558"/>
    <n v="594696"/>
    <x v="1"/>
  </r>
  <r>
    <s v="2024-10-24"/>
    <s v="jueves"/>
    <x v="8"/>
    <s v="2024"/>
    <x v="0"/>
    <x v="4"/>
    <x v="4"/>
    <x v="0"/>
    <x v="1"/>
    <n v="8"/>
    <n v="49769"/>
    <n v="398152"/>
    <x v="1"/>
  </r>
  <r>
    <s v="2024-03-23"/>
    <s v="sábado"/>
    <x v="6"/>
    <s v="2024"/>
    <x v="4"/>
    <x v="1"/>
    <x v="2"/>
    <x v="0"/>
    <x v="1"/>
    <n v="20"/>
    <n v="32403"/>
    <n v="648060"/>
    <x v="1"/>
  </r>
  <r>
    <s v="2024-05-13"/>
    <s v="lunes"/>
    <x v="4"/>
    <s v="2024"/>
    <x v="3"/>
    <x v="4"/>
    <x v="2"/>
    <x v="2"/>
    <x v="2"/>
    <n v="19"/>
    <n v="17019"/>
    <n v="323361"/>
    <x v="3"/>
  </r>
  <r>
    <s v="2024-06-16"/>
    <s v="domingo"/>
    <x v="9"/>
    <s v="2024"/>
    <x v="3"/>
    <x v="2"/>
    <x v="4"/>
    <x v="3"/>
    <x v="0"/>
    <n v="8"/>
    <n v="19172"/>
    <n v="153376"/>
    <x v="0"/>
  </r>
  <r>
    <s v="2024-08-25"/>
    <s v="domingo"/>
    <x v="2"/>
    <s v="2024"/>
    <x v="2"/>
    <x v="4"/>
    <x v="1"/>
    <x v="0"/>
    <x v="2"/>
    <n v="7"/>
    <n v="45680"/>
    <n v="319760"/>
    <x v="3"/>
  </r>
  <r>
    <s v="2024-02-06"/>
    <s v="martes"/>
    <x v="10"/>
    <s v="2024"/>
    <x v="2"/>
    <x v="0"/>
    <x v="0"/>
    <x v="1"/>
    <x v="0"/>
    <n v="3"/>
    <n v="46211"/>
    <n v="138633"/>
    <x v="1"/>
  </r>
  <r>
    <s v="2024-08-24"/>
    <s v="sábado"/>
    <x v="2"/>
    <s v="2024"/>
    <x v="0"/>
    <x v="2"/>
    <x v="3"/>
    <x v="4"/>
    <x v="2"/>
    <n v="8"/>
    <n v="52239"/>
    <n v="417912"/>
    <x v="1"/>
  </r>
  <r>
    <s v="2024-02-01"/>
    <s v="jueves"/>
    <x v="10"/>
    <s v="2024"/>
    <x v="4"/>
    <x v="0"/>
    <x v="3"/>
    <x v="4"/>
    <x v="1"/>
    <n v="17"/>
    <n v="15739"/>
    <n v="267563"/>
    <x v="3"/>
  </r>
  <r>
    <s v="2024-09-24"/>
    <s v="martes"/>
    <x v="1"/>
    <s v="2024"/>
    <x v="0"/>
    <x v="2"/>
    <x v="4"/>
    <x v="0"/>
    <x v="1"/>
    <n v="5"/>
    <n v="42232"/>
    <n v="211160"/>
    <x v="1"/>
  </r>
  <r>
    <s v="2024-05-30"/>
    <s v="jueves"/>
    <x v="4"/>
    <s v="2024"/>
    <x v="3"/>
    <x v="1"/>
    <x v="1"/>
    <x v="2"/>
    <x v="2"/>
    <n v="12"/>
    <n v="28186"/>
    <n v="338232"/>
    <x v="0"/>
  </r>
  <r>
    <s v="2024-02-09"/>
    <s v="viernes"/>
    <x v="10"/>
    <s v="2024"/>
    <x v="1"/>
    <x v="3"/>
    <x v="2"/>
    <x v="3"/>
    <x v="1"/>
    <n v="20"/>
    <n v="20284"/>
    <n v="405680"/>
    <x v="1"/>
  </r>
  <r>
    <s v="2024-12-05"/>
    <s v="jueves"/>
    <x v="7"/>
    <s v="2024"/>
    <x v="1"/>
    <x v="2"/>
    <x v="2"/>
    <x v="1"/>
    <x v="2"/>
    <n v="13"/>
    <n v="28521"/>
    <n v="370773"/>
    <x v="0"/>
  </r>
  <r>
    <s v="2024-01-26"/>
    <s v="viernes"/>
    <x v="11"/>
    <s v="2024"/>
    <x v="2"/>
    <x v="2"/>
    <x v="3"/>
    <x v="4"/>
    <x v="0"/>
    <n v="20"/>
    <n v="21871"/>
    <n v="437420"/>
    <x v="1"/>
  </r>
  <r>
    <s v="2024-05-16"/>
    <s v="jueves"/>
    <x v="4"/>
    <s v="2024"/>
    <x v="3"/>
    <x v="4"/>
    <x v="3"/>
    <x v="2"/>
    <x v="2"/>
    <n v="18"/>
    <n v="52826"/>
    <n v="950868"/>
    <x v="3"/>
  </r>
  <r>
    <s v="2024-03-04"/>
    <s v="lunes"/>
    <x v="6"/>
    <s v="2024"/>
    <x v="0"/>
    <x v="1"/>
    <x v="4"/>
    <x v="1"/>
    <x v="1"/>
    <n v="18"/>
    <n v="20846"/>
    <n v="375228"/>
    <x v="2"/>
  </r>
  <r>
    <s v="2024-04-20"/>
    <s v="sábado"/>
    <x v="3"/>
    <s v="2024"/>
    <x v="0"/>
    <x v="2"/>
    <x v="1"/>
    <x v="2"/>
    <x v="0"/>
    <n v="12"/>
    <n v="40027"/>
    <n v="480324"/>
    <x v="1"/>
  </r>
  <r>
    <s v="2024-03-04"/>
    <s v="lunes"/>
    <x v="6"/>
    <s v="2024"/>
    <x v="2"/>
    <x v="2"/>
    <x v="3"/>
    <x v="2"/>
    <x v="1"/>
    <n v="16"/>
    <n v="24876"/>
    <n v="398016"/>
    <x v="1"/>
  </r>
  <r>
    <s v="2024-07-22"/>
    <s v="lunes"/>
    <x v="0"/>
    <s v="2024"/>
    <x v="3"/>
    <x v="1"/>
    <x v="1"/>
    <x v="4"/>
    <x v="0"/>
    <n v="13"/>
    <n v="45601"/>
    <n v="592813"/>
    <x v="3"/>
  </r>
  <r>
    <s v="2024-12-29"/>
    <s v="domingo"/>
    <x v="7"/>
    <s v="2024"/>
    <x v="2"/>
    <x v="1"/>
    <x v="3"/>
    <x v="1"/>
    <x v="0"/>
    <n v="18"/>
    <n v="32360"/>
    <n v="582480"/>
    <x v="3"/>
  </r>
  <r>
    <s v="2024-09-25"/>
    <s v="miércoles"/>
    <x v="1"/>
    <s v="2024"/>
    <x v="3"/>
    <x v="2"/>
    <x v="1"/>
    <x v="4"/>
    <x v="2"/>
    <n v="1"/>
    <n v="22326"/>
    <n v="22326"/>
    <x v="0"/>
  </r>
  <r>
    <s v="2024-05-30"/>
    <s v="jueves"/>
    <x v="4"/>
    <s v="2024"/>
    <x v="3"/>
    <x v="4"/>
    <x v="0"/>
    <x v="0"/>
    <x v="0"/>
    <n v="17"/>
    <n v="31999"/>
    <n v="543983"/>
    <x v="2"/>
  </r>
  <r>
    <s v="2024-07-31"/>
    <s v="miércoles"/>
    <x v="0"/>
    <s v="2024"/>
    <x v="2"/>
    <x v="2"/>
    <x v="3"/>
    <x v="0"/>
    <x v="0"/>
    <n v="4"/>
    <n v="44443"/>
    <n v="177772"/>
    <x v="1"/>
  </r>
  <r>
    <s v="2024-01-19"/>
    <s v="viernes"/>
    <x v="11"/>
    <s v="2024"/>
    <x v="1"/>
    <x v="0"/>
    <x v="0"/>
    <x v="0"/>
    <x v="1"/>
    <n v="17"/>
    <n v="45301"/>
    <n v="770117"/>
    <x v="0"/>
  </r>
  <r>
    <s v="2024-06-01"/>
    <s v="sábado"/>
    <x v="9"/>
    <s v="2024"/>
    <x v="1"/>
    <x v="0"/>
    <x v="4"/>
    <x v="4"/>
    <x v="2"/>
    <n v="11"/>
    <n v="57339"/>
    <n v="630729"/>
    <x v="0"/>
  </r>
  <r>
    <s v="2024-08-16"/>
    <s v="viernes"/>
    <x v="2"/>
    <s v="2024"/>
    <x v="2"/>
    <x v="3"/>
    <x v="1"/>
    <x v="3"/>
    <x v="2"/>
    <n v="16"/>
    <n v="33748"/>
    <n v="539968"/>
    <x v="3"/>
  </r>
  <r>
    <s v="2024-01-14"/>
    <s v="domingo"/>
    <x v="11"/>
    <s v="2024"/>
    <x v="2"/>
    <x v="3"/>
    <x v="4"/>
    <x v="1"/>
    <x v="2"/>
    <n v="13"/>
    <n v="26527"/>
    <n v="344851"/>
    <x v="0"/>
  </r>
  <r>
    <s v="2024-07-03"/>
    <s v="miércoles"/>
    <x v="0"/>
    <s v="2024"/>
    <x v="2"/>
    <x v="4"/>
    <x v="2"/>
    <x v="3"/>
    <x v="1"/>
    <n v="6"/>
    <n v="58627"/>
    <n v="351762"/>
    <x v="2"/>
  </r>
  <r>
    <s v="2024-02-09"/>
    <s v="viernes"/>
    <x v="10"/>
    <s v="2024"/>
    <x v="3"/>
    <x v="0"/>
    <x v="2"/>
    <x v="4"/>
    <x v="2"/>
    <n v="20"/>
    <n v="49899"/>
    <n v="997980"/>
    <x v="2"/>
  </r>
  <r>
    <s v="2024-07-21"/>
    <s v="domingo"/>
    <x v="0"/>
    <s v="2024"/>
    <x v="0"/>
    <x v="1"/>
    <x v="1"/>
    <x v="4"/>
    <x v="0"/>
    <n v="9"/>
    <n v="52533"/>
    <n v="472797"/>
    <x v="1"/>
  </r>
  <r>
    <s v="2024-03-26"/>
    <s v="martes"/>
    <x v="6"/>
    <s v="2024"/>
    <x v="4"/>
    <x v="2"/>
    <x v="4"/>
    <x v="3"/>
    <x v="2"/>
    <n v="16"/>
    <n v="35281"/>
    <n v="564496"/>
    <x v="3"/>
  </r>
  <r>
    <s v="2024-05-06"/>
    <s v="lunes"/>
    <x v="4"/>
    <s v="2024"/>
    <x v="1"/>
    <x v="4"/>
    <x v="3"/>
    <x v="4"/>
    <x v="1"/>
    <n v="11"/>
    <n v="52895"/>
    <n v="581845"/>
    <x v="3"/>
  </r>
  <r>
    <s v="2024-11-30"/>
    <s v="sábado"/>
    <x v="5"/>
    <s v="2024"/>
    <x v="4"/>
    <x v="3"/>
    <x v="1"/>
    <x v="2"/>
    <x v="2"/>
    <n v="8"/>
    <n v="47800"/>
    <n v="382400"/>
    <x v="2"/>
  </r>
  <r>
    <s v="2024-12-12"/>
    <s v="jueves"/>
    <x v="7"/>
    <s v="2024"/>
    <x v="2"/>
    <x v="2"/>
    <x v="0"/>
    <x v="0"/>
    <x v="0"/>
    <n v="2"/>
    <n v="59791"/>
    <n v="119582"/>
    <x v="1"/>
  </r>
  <r>
    <s v="2024-07-13"/>
    <s v="sábado"/>
    <x v="0"/>
    <s v="2024"/>
    <x v="4"/>
    <x v="3"/>
    <x v="0"/>
    <x v="4"/>
    <x v="0"/>
    <n v="6"/>
    <n v="30328"/>
    <n v="181968"/>
    <x v="3"/>
  </r>
  <r>
    <s v="2024-07-31"/>
    <s v="miércoles"/>
    <x v="0"/>
    <s v="2024"/>
    <x v="1"/>
    <x v="3"/>
    <x v="2"/>
    <x v="3"/>
    <x v="0"/>
    <n v="4"/>
    <n v="24209"/>
    <n v="96836"/>
    <x v="3"/>
  </r>
  <r>
    <s v="2024-08-29"/>
    <s v="jueves"/>
    <x v="2"/>
    <s v="2024"/>
    <x v="4"/>
    <x v="0"/>
    <x v="1"/>
    <x v="4"/>
    <x v="1"/>
    <n v="3"/>
    <n v="59375"/>
    <n v="178125"/>
    <x v="0"/>
  </r>
  <r>
    <s v="2024-05-02"/>
    <s v="jueves"/>
    <x v="4"/>
    <s v="2024"/>
    <x v="3"/>
    <x v="2"/>
    <x v="2"/>
    <x v="3"/>
    <x v="0"/>
    <n v="19"/>
    <n v="45753"/>
    <n v="869307"/>
    <x v="1"/>
  </r>
  <r>
    <s v="2024-06-22"/>
    <s v="sábado"/>
    <x v="9"/>
    <s v="2024"/>
    <x v="1"/>
    <x v="4"/>
    <x v="4"/>
    <x v="2"/>
    <x v="2"/>
    <n v="11"/>
    <n v="55089"/>
    <n v="605979"/>
    <x v="2"/>
  </r>
  <r>
    <s v="2024-05-30"/>
    <s v="jueves"/>
    <x v="4"/>
    <s v="2024"/>
    <x v="0"/>
    <x v="2"/>
    <x v="2"/>
    <x v="0"/>
    <x v="1"/>
    <n v="5"/>
    <n v="53561"/>
    <n v="267805"/>
    <x v="0"/>
  </r>
  <r>
    <s v="2024-03-07"/>
    <s v="jueves"/>
    <x v="6"/>
    <s v="2024"/>
    <x v="1"/>
    <x v="2"/>
    <x v="2"/>
    <x v="1"/>
    <x v="2"/>
    <n v="6"/>
    <n v="26358"/>
    <n v="158148"/>
    <x v="1"/>
  </r>
  <r>
    <s v="2024-10-26"/>
    <s v="sábado"/>
    <x v="8"/>
    <s v="2024"/>
    <x v="1"/>
    <x v="3"/>
    <x v="0"/>
    <x v="2"/>
    <x v="2"/>
    <n v="8"/>
    <n v="45263"/>
    <n v="362104"/>
    <x v="3"/>
  </r>
  <r>
    <s v="2024-07-14"/>
    <s v="domingo"/>
    <x v="0"/>
    <s v="2024"/>
    <x v="4"/>
    <x v="2"/>
    <x v="3"/>
    <x v="0"/>
    <x v="2"/>
    <n v="13"/>
    <n v="29236"/>
    <n v="380068"/>
    <x v="3"/>
  </r>
  <r>
    <s v="2024-08-21"/>
    <s v="miércoles"/>
    <x v="2"/>
    <s v="2024"/>
    <x v="2"/>
    <x v="1"/>
    <x v="3"/>
    <x v="2"/>
    <x v="1"/>
    <n v="7"/>
    <n v="56814"/>
    <n v="397698"/>
    <x v="3"/>
  </r>
  <r>
    <s v="2024-01-28"/>
    <s v="domingo"/>
    <x v="11"/>
    <s v="2024"/>
    <x v="3"/>
    <x v="4"/>
    <x v="1"/>
    <x v="2"/>
    <x v="0"/>
    <n v="2"/>
    <n v="17750"/>
    <n v="35500"/>
    <x v="1"/>
  </r>
  <r>
    <s v="2024-12-20"/>
    <s v="viernes"/>
    <x v="7"/>
    <s v="2024"/>
    <x v="1"/>
    <x v="2"/>
    <x v="3"/>
    <x v="0"/>
    <x v="2"/>
    <n v="1"/>
    <n v="51799"/>
    <n v="51799"/>
    <x v="0"/>
  </r>
  <r>
    <s v="2024-05-05"/>
    <s v="domingo"/>
    <x v="4"/>
    <s v="2024"/>
    <x v="4"/>
    <x v="2"/>
    <x v="1"/>
    <x v="0"/>
    <x v="1"/>
    <n v="15"/>
    <n v="21159"/>
    <n v="317385"/>
    <x v="0"/>
  </r>
  <r>
    <s v="2024-04-17"/>
    <s v="miércoles"/>
    <x v="3"/>
    <s v="2024"/>
    <x v="2"/>
    <x v="1"/>
    <x v="1"/>
    <x v="3"/>
    <x v="0"/>
    <n v="17"/>
    <n v="30416"/>
    <n v="517072"/>
    <x v="0"/>
  </r>
  <r>
    <s v="2024-11-21"/>
    <s v="jueves"/>
    <x v="5"/>
    <s v="2024"/>
    <x v="0"/>
    <x v="3"/>
    <x v="1"/>
    <x v="2"/>
    <x v="2"/>
    <n v="15"/>
    <n v="59546"/>
    <n v="893190"/>
    <x v="1"/>
  </r>
  <r>
    <s v="2024-04-07"/>
    <s v="domingo"/>
    <x v="3"/>
    <s v="2024"/>
    <x v="4"/>
    <x v="1"/>
    <x v="0"/>
    <x v="1"/>
    <x v="2"/>
    <n v="17"/>
    <n v="16929"/>
    <n v="287793"/>
    <x v="2"/>
  </r>
  <r>
    <s v="2024-01-02"/>
    <s v="martes"/>
    <x v="11"/>
    <s v="2024"/>
    <x v="3"/>
    <x v="4"/>
    <x v="3"/>
    <x v="4"/>
    <x v="0"/>
    <n v="9"/>
    <n v="54989"/>
    <n v="494901"/>
    <x v="2"/>
  </r>
  <r>
    <s v="2024-05-16"/>
    <s v="jueves"/>
    <x v="4"/>
    <s v="2024"/>
    <x v="4"/>
    <x v="2"/>
    <x v="1"/>
    <x v="1"/>
    <x v="0"/>
    <n v="16"/>
    <n v="52854"/>
    <n v="845664"/>
    <x v="2"/>
  </r>
  <r>
    <s v="2024-05-24"/>
    <s v="viernes"/>
    <x v="4"/>
    <s v="2024"/>
    <x v="0"/>
    <x v="1"/>
    <x v="2"/>
    <x v="0"/>
    <x v="1"/>
    <n v="1"/>
    <n v="36236"/>
    <n v="36236"/>
    <x v="0"/>
  </r>
  <r>
    <s v="2024-02-01"/>
    <s v="jueves"/>
    <x v="10"/>
    <s v="2024"/>
    <x v="0"/>
    <x v="1"/>
    <x v="0"/>
    <x v="0"/>
    <x v="0"/>
    <n v="20"/>
    <n v="34767"/>
    <n v="695340"/>
    <x v="3"/>
  </r>
  <r>
    <s v="2024-11-02"/>
    <s v="sábado"/>
    <x v="5"/>
    <s v="2024"/>
    <x v="0"/>
    <x v="2"/>
    <x v="1"/>
    <x v="1"/>
    <x v="0"/>
    <n v="15"/>
    <n v="52724"/>
    <n v="790860"/>
    <x v="3"/>
  </r>
  <r>
    <s v="2024-02-11"/>
    <s v="domingo"/>
    <x v="10"/>
    <s v="2024"/>
    <x v="2"/>
    <x v="4"/>
    <x v="0"/>
    <x v="1"/>
    <x v="2"/>
    <n v="19"/>
    <n v="25541"/>
    <n v="485279"/>
    <x v="1"/>
  </r>
  <r>
    <s v="2024-10-27"/>
    <s v="domingo"/>
    <x v="8"/>
    <s v="2024"/>
    <x v="2"/>
    <x v="4"/>
    <x v="2"/>
    <x v="4"/>
    <x v="0"/>
    <n v="15"/>
    <n v="20631"/>
    <n v="309465"/>
    <x v="2"/>
  </r>
  <r>
    <s v="2024-01-21"/>
    <s v="domingo"/>
    <x v="11"/>
    <s v="2024"/>
    <x v="0"/>
    <x v="0"/>
    <x v="3"/>
    <x v="3"/>
    <x v="1"/>
    <n v="7"/>
    <n v="35905"/>
    <n v="251335"/>
    <x v="2"/>
  </r>
  <r>
    <s v="2024-10-27"/>
    <s v="domingo"/>
    <x v="8"/>
    <s v="2024"/>
    <x v="1"/>
    <x v="2"/>
    <x v="4"/>
    <x v="4"/>
    <x v="1"/>
    <n v="16"/>
    <n v="27005"/>
    <n v="432080"/>
    <x v="0"/>
  </r>
  <r>
    <s v="2024-09-27"/>
    <s v="viernes"/>
    <x v="1"/>
    <s v="2024"/>
    <x v="4"/>
    <x v="3"/>
    <x v="3"/>
    <x v="3"/>
    <x v="0"/>
    <n v="15"/>
    <n v="47531"/>
    <n v="712965"/>
    <x v="1"/>
  </r>
  <r>
    <s v="2024-09-14"/>
    <s v="sábado"/>
    <x v="1"/>
    <s v="2024"/>
    <x v="0"/>
    <x v="4"/>
    <x v="1"/>
    <x v="3"/>
    <x v="1"/>
    <n v="10"/>
    <n v="54528"/>
    <n v="545280"/>
    <x v="3"/>
  </r>
  <r>
    <s v="2024-03-24"/>
    <s v="domingo"/>
    <x v="6"/>
    <s v="2024"/>
    <x v="0"/>
    <x v="3"/>
    <x v="0"/>
    <x v="3"/>
    <x v="0"/>
    <n v="20"/>
    <n v="44612"/>
    <n v="892240"/>
    <x v="2"/>
  </r>
  <r>
    <s v="2024-11-15"/>
    <s v="viernes"/>
    <x v="5"/>
    <s v="2024"/>
    <x v="1"/>
    <x v="2"/>
    <x v="4"/>
    <x v="2"/>
    <x v="0"/>
    <n v="8"/>
    <n v="42235"/>
    <n v="337880"/>
    <x v="0"/>
  </r>
  <r>
    <s v="2024-08-03"/>
    <s v="sábado"/>
    <x v="2"/>
    <s v="2024"/>
    <x v="1"/>
    <x v="3"/>
    <x v="1"/>
    <x v="3"/>
    <x v="1"/>
    <n v="15"/>
    <n v="15705"/>
    <n v="235575"/>
    <x v="1"/>
  </r>
  <r>
    <s v="2024-03-13"/>
    <s v="miércoles"/>
    <x v="6"/>
    <s v="2024"/>
    <x v="3"/>
    <x v="2"/>
    <x v="3"/>
    <x v="1"/>
    <x v="2"/>
    <n v="18"/>
    <n v="52087"/>
    <n v="937566"/>
    <x v="0"/>
  </r>
  <r>
    <s v="2024-03-17"/>
    <s v="domingo"/>
    <x v="6"/>
    <s v="2024"/>
    <x v="4"/>
    <x v="1"/>
    <x v="4"/>
    <x v="1"/>
    <x v="0"/>
    <n v="10"/>
    <n v="25793"/>
    <n v="257930"/>
    <x v="3"/>
  </r>
  <r>
    <s v="2024-02-16"/>
    <s v="viernes"/>
    <x v="10"/>
    <s v="2024"/>
    <x v="0"/>
    <x v="0"/>
    <x v="3"/>
    <x v="4"/>
    <x v="0"/>
    <n v="1"/>
    <n v="21852"/>
    <n v="21852"/>
    <x v="3"/>
  </r>
  <r>
    <s v="2024-08-14"/>
    <s v="miércoles"/>
    <x v="2"/>
    <s v="2024"/>
    <x v="3"/>
    <x v="1"/>
    <x v="2"/>
    <x v="4"/>
    <x v="0"/>
    <n v="13"/>
    <n v="55136"/>
    <n v="716768"/>
    <x v="1"/>
  </r>
  <r>
    <s v="2024-01-10"/>
    <s v="miércoles"/>
    <x v="11"/>
    <s v="2024"/>
    <x v="0"/>
    <x v="0"/>
    <x v="3"/>
    <x v="4"/>
    <x v="1"/>
    <n v="14"/>
    <n v="23090"/>
    <n v="323260"/>
    <x v="3"/>
  </r>
  <r>
    <s v="2024-11-04"/>
    <s v="lunes"/>
    <x v="5"/>
    <s v="2024"/>
    <x v="2"/>
    <x v="3"/>
    <x v="4"/>
    <x v="4"/>
    <x v="0"/>
    <n v="7"/>
    <n v="18280"/>
    <n v="127960"/>
    <x v="1"/>
  </r>
  <r>
    <s v="2024-08-01"/>
    <s v="jueves"/>
    <x v="2"/>
    <s v="2024"/>
    <x v="1"/>
    <x v="2"/>
    <x v="2"/>
    <x v="1"/>
    <x v="1"/>
    <n v="6"/>
    <n v="40546"/>
    <n v="243276"/>
    <x v="0"/>
  </r>
  <r>
    <s v="2024-10-09"/>
    <s v="miércoles"/>
    <x v="8"/>
    <s v="2024"/>
    <x v="2"/>
    <x v="4"/>
    <x v="3"/>
    <x v="0"/>
    <x v="2"/>
    <n v="19"/>
    <n v="16363"/>
    <n v="310897"/>
    <x v="2"/>
  </r>
  <r>
    <s v="2024-12-02"/>
    <s v="lunes"/>
    <x v="7"/>
    <s v="2024"/>
    <x v="4"/>
    <x v="3"/>
    <x v="2"/>
    <x v="4"/>
    <x v="0"/>
    <n v="4"/>
    <n v="24638"/>
    <n v="98552"/>
    <x v="3"/>
  </r>
  <r>
    <s v="2024-12-25"/>
    <s v="miércoles"/>
    <x v="7"/>
    <s v="2024"/>
    <x v="3"/>
    <x v="2"/>
    <x v="0"/>
    <x v="2"/>
    <x v="1"/>
    <n v="19"/>
    <n v="21808"/>
    <n v="414352"/>
    <x v="2"/>
  </r>
  <r>
    <s v="2024-01-20"/>
    <s v="sábado"/>
    <x v="11"/>
    <s v="2024"/>
    <x v="2"/>
    <x v="3"/>
    <x v="0"/>
    <x v="0"/>
    <x v="2"/>
    <n v="12"/>
    <n v="33385"/>
    <n v="400620"/>
    <x v="1"/>
  </r>
  <r>
    <s v="2024-07-02"/>
    <s v="martes"/>
    <x v="0"/>
    <s v="2024"/>
    <x v="3"/>
    <x v="0"/>
    <x v="3"/>
    <x v="2"/>
    <x v="1"/>
    <n v="15"/>
    <n v="25999"/>
    <n v="389985"/>
    <x v="3"/>
  </r>
  <r>
    <s v="2024-08-19"/>
    <s v="lunes"/>
    <x v="2"/>
    <s v="2024"/>
    <x v="4"/>
    <x v="1"/>
    <x v="3"/>
    <x v="2"/>
    <x v="1"/>
    <n v="8"/>
    <n v="48410"/>
    <n v="387280"/>
    <x v="3"/>
  </r>
  <r>
    <s v="2024-04-05"/>
    <s v="viernes"/>
    <x v="3"/>
    <s v="2024"/>
    <x v="0"/>
    <x v="1"/>
    <x v="4"/>
    <x v="2"/>
    <x v="1"/>
    <n v="13"/>
    <n v="30507"/>
    <n v="396591"/>
    <x v="3"/>
  </r>
  <r>
    <s v="2024-06-09"/>
    <s v="domingo"/>
    <x v="9"/>
    <s v="2024"/>
    <x v="2"/>
    <x v="4"/>
    <x v="2"/>
    <x v="2"/>
    <x v="1"/>
    <n v="17"/>
    <n v="41178"/>
    <n v="700026"/>
    <x v="1"/>
  </r>
  <r>
    <s v="2024-02-17"/>
    <s v="sábado"/>
    <x v="10"/>
    <s v="2024"/>
    <x v="4"/>
    <x v="1"/>
    <x v="4"/>
    <x v="2"/>
    <x v="2"/>
    <n v="13"/>
    <n v="58922"/>
    <n v="765986"/>
    <x v="1"/>
  </r>
  <r>
    <s v="2024-10-07"/>
    <s v="lunes"/>
    <x v="8"/>
    <s v="2024"/>
    <x v="2"/>
    <x v="0"/>
    <x v="3"/>
    <x v="3"/>
    <x v="0"/>
    <n v="1"/>
    <n v="25595"/>
    <n v="25595"/>
    <x v="0"/>
  </r>
  <r>
    <s v="2024-07-07"/>
    <s v="domingo"/>
    <x v="0"/>
    <s v="2024"/>
    <x v="4"/>
    <x v="0"/>
    <x v="2"/>
    <x v="0"/>
    <x v="1"/>
    <n v="8"/>
    <n v="37750"/>
    <n v="302000"/>
    <x v="2"/>
  </r>
  <r>
    <s v="2024-12-20"/>
    <s v="viernes"/>
    <x v="7"/>
    <s v="2024"/>
    <x v="0"/>
    <x v="1"/>
    <x v="0"/>
    <x v="2"/>
    <x v="1"/>
    <n v="18"/>
    <n v="17862"/>
    <n v="321516"/>
    <x v="2"/>
  </r>
  <r>
    <s v="2024-10-04"/>
    <s v="viernes"/>
    <x v="8"/>
    <s v="2024"/>
    <x v="3"/>
    <x v="3"/>
    <x v="1"/>
    <x v="3"/>
    <x v="1"/>
    <n v="16"/>
    <n v="45801"/>
    <n v="732816"/>
    <x v="2"/>
  </r>
  <r>
    <s v="2024-10-11"/>
    <s v="viernes"/>
    <x v="8"/>
    <s v="2024"/>
    <x v="1"/>
    <x v="2"/>
    <x v="1"/>
    <x v="1"/>
    <x v="2"/>
    <n v="5"/>
    <n v="41532"/>
    <n v="207660"/>
    <x v="2"/>
  </r>
  <r>
    <s v="2024-06-10"/>
    <s v="lunes"/>
    <x v="9"/>
    <s v="2024"/>
    <x v="0"/>
    <x v="4"/>
    <x v="4"/>
    <x v="0"/>
    <x v="2"/>
    <n v="19"/>
    <n v="15786"/>
    <n v="299934"/>
    <x v="2"/>
  </r>
  <r>
    <s v="2024-12-23"/>
    <s v="lunes"/>
    <x v="7"/>
    <s v="2024"/>
    <x v="1"/>
    <x v="4"/>
    <x v="3"/>
    <x v="2"/>
    <x v="2"/>
    <n v="8"/>
    <n v="34326"/>
    <n v="274608"/>
    <x v="0"/>
  </r>
  <r>
    <s v="2024-11-12"/>
    <s v="martes"/>
    <x v="5"/>
    <s v="2024"/>
    <x v="2"/>
    <x v="4"/>
    <x v="2"/>
    <x v="4"/>
    <x v="2"/>
    <n v="8"/>
    <n v="51853"/>
    <n v="414824"/>
    <x v="3"/>
  </r>
  <r>
    <s v="2024-03-18"/>
    <s v="lunes"/>
    <x v="6"/>
    <s v="2024"/>
    <x v="3"/>
    <x v="2"/>
    <x v="1"/>
    <x v="1"/>
    <x v="0"/>
    <n v="13"/>
    <n v="44031"/>
    <n v="572403"/>
    <x v="2"/>
  </r>
  <r>
    <s v="2024-12-28"/>
    <s v="sábado"/>
    <x v="7"/>
    <s v="2024"/>
    <x v="0"/>
    <x v="1"/>
    <x v="4"/>
    <x v="3"/>
    <x v="2"/>
    <n v="4"/>
    <n v="28670"/>
    <n v="114680"/>
    <x v="1"/>
  </r>
  <r>
    <s v="2024-03-11"/>
    <s v="lunes"/>
    <x v="6"/>
    <s v="2024"/>
    <x v="0"/>
    <x v="0"/>
    <x v="0"/>
    <x v="2"/>
    <x v="2"/>
    <n v="5"/>
    <n v="57427"/>
    <n v="287135"/>
    <x v="3"/>
  </r>
  <r>
    <s v="2024-04-05"/>
    <s v="viernes"/>
    <x v="3"/>
    <s v="2024"/>
    <x v="2"/>
    <x v="1"/>
    <x v="4"/>
    <x v="4"/>
    <x v="2"/>
    <n v="10"/>
    <n v="57549"/>
    <n v="575490"/>
    <x v="2"/>
  </r>
  <r>
    <s v="2024-07-04"/>
    <s v="jueves"/>
    <x v="0"/>
    <s v="2024"/>
    <x v="2"/>
    <x v="2"/>
    <x v="4"/>
    <x v="4"/>
    <x v="0"/>
    <n v="13"/>
    <n v="41214"/>
    <n v="535782"/>
    <x v="2"/>
  </r>
  <r>
    <s v="2024-05-15"/>
    <s v="miércoles"/>
    <x v="4"/>
    <s v="2024"/>
    <x v="2"/>
    <x v="2"/>
    <x v="2"/>
    <x v="0"/>
    <x v="0"/>
    <n v="9"/>
    <n v="48697"/>
    <n v="438273"/>
    <x v="1"/>
  </r>
  <r>
    <s v="2024-03-01"/>
    <s v="viernes"/>
    <x v="6"/>
    <s v="2024"/>
    <x v="1"/>
    <x v="0"/>
    <x v="4"/>
    <x v="0"/>
    <x v="1"/>
    <n v="7"/>
    <n v="59932"/>
    <n v="419524"/>
    <x v="2"/>
  </r>
  <r>
    <s v="2024-06-09"/>
    <s v="domingo"/>
    <x v="9"/>
    <s v="2024"/>
    <x v="2"/>
    <x v="3"/>
    <x v="4"/>
    <x v="4"/>
    <x v="0"/>
    <n v="19"/>
    <n v="22157"/>
    <n v="420983"/>
    <x v="1"/>
  </r>
  <r>
    <s v="2024-09-18"/>
    <s v="miércoles"/>
    <x v="1"/>
    <s v="2024"/>
    <x v="0"/>
    <x v="4"/>
    <x v="2"/>
    <x v="4"/>
    <x v="0"/>
    <n v="13"/>
    <n v="49387"/>
    <n v="642031"/>
    <x v="1"/>
  </r>
  <r>
    <s v="2024-09-28"/>
    <s v="sábado"/>
    <x v="1"/>
    <s v="2024"/>
    <x v="3"/>
    <x v="1"/>
    <x v="1"/>
    <x v="0"/>
    <x v="0"/>
    <n v="5"/>
    <n v="22170"/>
    <n v="110850"/>
    <x v="0"/>
  </r>
  <r>
    <s v="2024-10-21"/>
    <s v="lunes"/>
    <x v="8"/>
    <s v="2024"/>
    <x v="4"/>
    <x v="3"/>
    <x v="2"/>
    <x v="3"/>
    <x v="1"/>
    <n v="9"/>
    <n v="27285"/>
    <n v="245565"/>
    <x v="1"/>
  </r>
  <r>
    <s v="2024-11-25"/>
    <s v="lunes"/>
    <x v="5"/>
    <s v="2024"/>
    <x v="1"/>
    <x v="4"/>
    <x v="2"/>
    <x v="2"/>
    <x v="1"/>
    <n v="3"/>
    <n v="54365"/>
    <n v="163095"/>
    <x v="0"/>
  </r>
  <r>
    <s v="2024-06-09"/>
    <s v="domingo"/>
    <x v="9"/>
    <s v="2024"/>
    <x v="1"/>
    <x v="3"/>
    <x v="0"/>
    <x v="2"/>
    <x v="0"/>
    <n v="6"/>
    <n v="45477"/>
    <n v="272862"/>
    <x v="3"/>
  </r>
  <r>
    <s v="2024-03-07"/>
    <s v="jueves"/>
    <x v="6"/>
    <s v="2024"/>
    <x v="1"/>
    <x v="0"/>
    <x v="3"/>
    <x v="0"/>
    <x v="0"/>
    <n v="10"/>
    <n v="31986"/>
    <n v="319860"/>
    <x v="1"/>
  </r>
  <r>
    <s v="2024-06-22"/>
    <s v="sábado"/>
    <x v="9"/>
    <s v="2024"/>
    <x v="0"/>
    <x v="4"/>
    <x v="0"/>
    <x v="2"/>
    <x v="1"/>
    <n v="10"/>
    <n v="32220"/>
    <n v="322200"/>
    <x v="2"/>
  </r>
  <r>
    <s v="2024-07-18"/>
    <s v="jueves"/>
    <x v="0"/>
    <s v="2024"/>
    <x v="0"/>
    <x v="2"/>
    <x v="2"/>
    <x v="3"/>
    <x v="0"/>
    <n v="7"/>
    <n v="23339"/>
    <n v="163373"/>
    <x v="3"/>
  </r>
  <r>
    <s v="2024-01-11"/>
    <s v="jueves"/>
    <x v="11"/>
    <s v="2024"/>
    <x v="1"/>
    <x v="1"/>
    <x v="0"/>
    <x v="3"/>
    <x v="2"/>
    <n v="19"/>
    <n v="45677"/>
    <n v="867863"/>
    <x v="1"/>
  </r>
  <r>
    <s v="2024-02-29"/>
    <s v="jueves"/>
    <x v="10"/>
    <s v="2024"/>
    <x v="4"/>
    <x v="2"/>
    <x v="1"/>
    <x v="4"/>
    <x v="2"/>
    <n v="12"/>
    <n v="47366"/>
    <n v="568392"/>
    <x v="3"/>
  </r>
  <r>
    <s v="2024-12-28"/>
    <s v="sábado"/>
    <x v="7"/>
    <s v="2024"/>
    <x v="0"/>
    <x v="0"/>
    <x v="4"/>
    <x v="2"/>
    <x v="0"/>
    <n v="10"/>
    <n v="56741"/>
    <n v="567410"/>
    <x v="3"/>
  </r>
  <r>
    <s v="2024-01-23"/>
    <s v="martes"/>
    <x v="11"/>
    <s v="2024"/>
    <x v="3"/>
    <x v="3"/>
    <x v="3"/>
    <x v="1"/>
    <x v="2"/>
    <n v="14"/>
    <n v="44351"/>
    <n v="620914"/>
    <x v="0"/>
  </r>
  <r>
    <s v="2024-09-27"/>
    <s v="viernes"/>
    <x v="1"/>
    <s v="2024"/>
    <x v="1"/>
    <x v="1"/>
    <x v="4"/>
    <x v="2"/>
    <x v="1"/>
    <n v="11"/>
    <n v="37518"/>
    <n v="412698"/>
    <x v="3"/>
  </r>
  <r>
    <s v="2024-08-08"/>
    <s v="jueves"/>
    <x v="2"/>
    <s v="2024"/>
    <x v="3"/>
    <x v="1"/>
    <x v="3"/>
    <x v="0"/>
    <x v="1"/>
    <n v="14"/>
    <n v="36775"/>
    <n v="514850"/>
    <x v="3"/>
  </r>
  <r>
    <s v="2024-11-18"/>
    <s v="lunes"/>
    <x v="5"/>
    <s v="2024"/>
    <x v="2"/>
    <x v="2"/>
    <x v="1"/>
    <x v="1"/>
    <x v="1"/>
    <n v="14"/>
    <n v="51587"/>
    <n v="722218"/>
    <x v="0"/>
  </r>
  <r>
    <s v="2024-05-18"/>
    <s v="sábado"/>
    <x v="4"/>
    <s v="2024"/>
    <x v="1"/>
    <x v="1"/>
    <x v="2"/>
    <x v="2"/>
    <x v="2"/>
    <n v="7"/>
    <n v="26373"/>
    <n v="184611"/>
    <x v="2"/>
  </r>
  <r>
    <s v="2024-05-19"/>
    <s v="domingo"/>
    <x v="4"/>
    <s v="2024"/>
    <x v="4"/>
    <x v="0"/>
    <x v="0"/>
    <x v="0"/>
    <x v="0"/>
    <n v="11"/>
    <n v="20111"/>
    <n v="221221"/>
    <x v="0"/>
  </r>
  <r>
    <s v="2024-06-22"/>
    <s v="sábado"/>
    <x v="9"/>
    <s v="2024"/>
    <x v="4"/>
    <x v="0"/>
    <x v="4"/>
    <x v="4"/>
    <x v="1"/>
    <n v="14"/>
    <n v="58488"/>
    <n v="818832"/>
    <x v="1"/>
  </r>
  <r>
    <s v="2024-10-15"/>
    <s v="martes"/>
    <x v="8"/>
    <s v="2024"/>
    <x v="0"/>
    <x v="3"/>
    <x v="2"/>
    <x v="2"/>
    <x v="0"/>
    <n v="6"/>
    <n v="38290"/>
    <n v="229740"/>
    <x v="1"/>
  </r>
  <r>
    <s v="2024-02-17"/>
    <s v="sábado"/>
    <x v="10"/>
    <s v="2024"/>
    <x v="3"/>
    <x v="4"/>
    <x v="0"/>
    <x v="2"/>
    <x v="1"/>
    <n v="11"/>
    <n v="52526"/>
    <n v="577786"/>
    <x v="0"/>
  </r>
  <r>
    <s v="2024-03-25"/>
    <s v="lunes"/>
    <x v="6"/>
    <s v="2024"/>
    <x v="1"/>
    <x v="4"/>
    <x v="1"/>
    <x v="1"/>
    <x v="1"/>
    <n v="10"/>
    <n v="44117"/>
    <n v="441170"/>
    <x v="3"/>
  </r>
  <r>
    <s v="2024-02-13"/>
    <s v="martes"/>
    <x v="10"/>
    <s v="2024"/>
    <x v="3"/>
    <x v="1"/>
    <x v="4"/>
    <x v="2"/>
    <x v="1"/>
    <n v="14"/>
    <n v="21850"/>
    <n v="305900"/>
    <x v="3"/>
  </r>
  <r>
    <s v="2024-01-23"/>
    <s v="martes"/>
    <x v="11"/>
    <s v="2024"/>
    <x v="0"/>
    <x v="2"/>
    <x v="1"/>
    <x v="2"/>
    <x v="1"/>
    <n v="14"/>
    <n v="52223"/>
    <n v="731122"/>
    <x v="3"/>
  </r>
  <r>
    <s v="2024-01-08"/>
    <s v="lunes"/>
    <x v="11"/>
    <s v="2024"/>
    <x v="2"/>
    <x v="2"/>
    <x v="4"/>
    <x v="0"/>
    <x v="1"/>
    <n v="19"/>
    <n v="57605"/>
    <n v="1094495"/>
    <x v="0"/>
  </r>
  <r>
    <s v="2024-03-23"/>
    <s v="sábado"/>
    <x v="6"/>
    <s v="2024"/>
    <x v="4"/>
    <x v="1"/>
    <x v="2"/>
    <x v="1"/>
    <x v="1"/>
    <n v="19"/>
    <n v="44587"/>
    <n v="847153"/>
    <x v="2"/>
  </r>
  <r>
    <s v="2024-05-28"/>
    <s v="martes"/>
    <x v="4"/>
    <s v="2024"/>
    <x v="4"/>
    <x v="0"/>
    <x v="2"/>
    <x v="0"/>
    <x v="1"/>
    <n v="16"/>
    <n v="19701"/>
    <n v="315216"/>
    <x v="1"/>
  </r>
  <r>
    <s v="2024-12-18"/>
    <s v="miércoles"/>
    <x v="7"/>
    <s v="2024"/>
    <x v="0"/>
    <x v="3"/>
    <x v="2"/>
    <x v="4"/>
    <x v="1"/>
    <n v="2"/>
    <n v="39217"/>
    <n v="78434"/>
    <x v="3"/>
  </r>
  <r>
    <s v="2024-09-04"/>
    <s v="miércoles"/>
    <x v="1"/>
    <s v="2024"/>
    <x v="0"/>
    <x v="4"/>
    <x v="3"/>
    <x v="4"/>
    <x v="0"/>
    <n v="8"/>
    <n v="19850"/>
    <n v="158800"/>
    <x v="0"/>
  </r>
  <r>
    <s v="2024-09-02"/>
    <s v="lunes"/>
    <x v="1"/>
    <s v="2024"/>
    <x v="0"/>
    <x v="4"/>
    <x v="4"/>
    <x v="3"/>
    <x v="2"/>
    <n v="6"/>
    <n v="43197"/>
    <n v="259182"/>
    <x v="2"/>
  </r>
  <r>
    <s v="2024-02-23"/>
    <s v="viernes"/>
    <x v="10"/>
    <s v="2024"/>
    <x v="4"/>
    <x v="4"/>
    <x v="1"/>
    <x v="1"/>
    <x v="1"/>
    <n v="9"/>
    <n v="21657"/>
    <n v="194913"/>
    <x v="3"/>
  </r>
  <r>
    <s v="2024-05-17"/>
    <s v="viernes"/>
    <x v="4"/>
    <s v="2024"/>
    <x v="2"/>
    <x v="2"/>
    <x v="1"/>
    <x v="0"/>
    <x v="0"/>
    <n v="10"/>
    <n v="50298"/>
    <n v="502980"/>
    <x v="0"/>
  </r>
  <r>
    <s v="2024-05-23"/>
    <s v="jueves"/>
    <x v="4"/>
    <s v="2024"/>
    <x v="1"/>
    <x v="2"/>
    <x v="1"/>
    <x v="3"/>
    <x v="2"/>
    <n v="16"/>
    <n v="29978"/>
    <n v="479648"/>
    <x v="1"/>
  </r>
  <r>
    <s v="2024-09-14"/>
    <s v="sábado"/>
    <x v="1"/>
    <s v="2024"/>
    <x v="1"/>
    <x v="3"/>
    <x v="0"/>
    <x v="4"/>
    <x v="2"/>
    <n v="13"/>
    <n v="43505"/>
    <n v="565565"/>
    <x v="2"/>
  </r>
  <r>
    <s v="2024-09-08"/>
    <s v="domingo"/>
    <x v="1"/>
    <s v="2024"/>
    <x v="2"/>
    <x v="3"/>
    <x v="0"/>
    <x v="0"/>
    <x v="0"/>
    <n v="4"/>
    <n v="43477"/>
    <n v="173908"/>
    <x v="3"/>
  </r>
  <r>
    <s v="2024-11-12"/>
    <s v="martes"/>
    <x v="5"/>
    <s v="2024"/>
    <x v="2"/>
    <x v="4"/>
    <x v="3"/>
    <x v="2"/>
    <x v="0"/>
    <n v="1"/>
    <n v="23083"/>
    <n v="23083"/>
    <x v="0"/>
  </r>
  <r>
    <s v="2024-11-26"/>
    <s v="martes"/>
    <x v="5"/>
    <s v="2024"/>
    <x v="1"/>
    <x v="4"/>
    <x v="4"/>
    <x v="0"/>
    <x v="2"/>
    <n v="13"/>
    <n v="23524"/>
    <n v="305812"/>
    <x v="2"/>
  </r>
  <r>
    <s v="2024-11-12"/>
    <s v="martes"/>
    <x v="5"/>
    <s v="2024"/>
    <x v="4"/>
    <x v="0"/>
    <x v="0"/>
    <x v="3"/>
    <x v="0"/>
    <n v="15"/>
    <n v="22004"/>
    <n v="330060"/>
    <x v="3"/>
  </r>
  <r>
    <s v="2024-10-22"/>
    <s v="martes"/>
    <x v="8"/>
    <s v="2024"/>
    <x v="0"/>
    <x v="0"/>
    <x v="0"/>
    <x v="4"/>
    <x v="2"/>
    <n v="9"/>
    <n v="36558"/>
    <n v="329022"/>
    <x v="3"/>
  </r>
  <r>
    <s v="2024-05-26"/>
    <s v="domingo"/>
    <x v="4"/>
    <s v="2024"/>
    <x v="4"/>
    <x v="0"/>
    <x v="1"/>
    <x v="4"/>
    <x v="0"/>
    <n v="16"/>
    <n v="22955"/>
    <n v="367280"/>
    <x v="1"/>
  </r>
  <r>
    <s v="2024-02-28"/>
    <s v="miércoles"/>
    <x v="10"/>
    <s v="2024"/>
    <x v="0"/>
    <x v="4"/>
    <x v="0"/>
    <x v="4"/>
    <x v="2"/>
    <n v="1"/>
    <n v="25144"/>
    <n v="25144"/>
    <x v="2"/>
  </r>
  <r>
    <s v="2024-04-04"/>
    <s v="jueves"/>
    <x v="3"/>
    <s v="2024"/>
    <x v="1"/>
    <x v="3"/>
    <x v="2"/>
    <x v="3"/>
    <x v="2"/>
    <n v="2"/>
    <n v="49020"/>
    <n v="98040"/>
    <x v="2"/>
  </r>
  <r>
    <s v="2024-01-05"/>
    <s v="viernes"/>
    <x v="11"/>
    <s v="2024"/>
    <x v="3"/>
    <x v="2"/>
    <x v="4"/>
    <x v="1"/>
    <x v="2"/>
    <n v="9"/>
    <n v="40022"/>
    <n v="360198"/>
    <x v="2"/>
  </r>
  <r>
    <s v="2024-11-20"/>
    <s v="miércoles"/>
    <x v="5"/>
    <s v="2024"/>
    <x v="4"/>
    <x v="4"/>
    <x v="1"/>
    <x v="2"/>
    <x v="0"/>
    <n v="5"/>
    <n v="23955"/>
    <n v="119775"/>
    <x v="2"/>
  </r>
  <r>
    <s v="2024-09-25"/>
    <s v="miércoles"/>
    <x v="1"/>
    <s v="2024"/>
    <x v="1"/>
    <x v="1"/>
    <x v="4"/>
    <x v="1"/>
    <x v="1"/>
    <n v="11"/>
    <n v="21454"/>
    <n v="235994"/>
    <x v="1"/>
  </r>
  <r>
    <s v="2024-12-11"/>
    <s v="miércoles"/>
    <x v="7"/>
    <s v="2024"/>
    <x v="0"/>
    <x v="3"/>
    <x v="1"/>
    <x v="4"/>
    <x v="0"/>
    <n v="11"/>
    <n v="35631"/>
    <n v="391941"/>
    <x v="1"/>
  </r>
  <r>
    <s v="2024-09-25"/>
    <s v="miércoles"/>
    <x v="1"/>
    <s v="2024"/>
    <x v="1"/>
    <x v="3"/>
    <x v="3"/>
    <x v="2"/>
    <x v="0"/>
    <n v="11"/>
    <n v="16949"/>
    <n v="186439"/>
    <x v="3"/>
  </r>
  <r>
    <s v="2024-06-05"/>
    <s v="miércoles"/>
    <x v="9"/>
    <s v="2024"/>
    <x v="4"/>
    <x v="1"/>
    <x v="1"/>
    <x v="3"/>
    <x v="0"/>
    <n v="1"/>
    <n v="26112"/>
    <n v="26112"/>
    <x v="2"/>
  </r>
  <r>
    <s v="2024-02-27"/>
    <s v="martes"/>
    <x v="10"/>
    <s v="2024"/>
    <x v="1"/>
    <x v="3"/>
    <x v="4"/>
    <x v="0"/>
    <x v="1"/>
    <n v="18"/>
    <n v="21667"/>
    <n v="390006"/>
    <x v="0"/>
  </r>
  <r>
    <s v="2024-10-22"/>
    <s v="martes"/>
    <x v="8"/>
    <s v="2024"/>
    <x v="3"/>
    <x v="1"/>
    <x v="0"/>
    <x v="0"/>
    <x v="0"/>
    <n v="9"/>
    <n v="26236"/>
    <n v="236124"/>
    <x v="2"/>
  </r>
  <r>
    <s v="2024-08-10"/>
    <s v="sábado"/>
    <x v="2"/>
    <s v="2024"/>
    <x v="4"/>
    <x v="2"/>
    <x v="3"/>
    <x v="2"/>
    <x v="2"/>
    <n v="10"/>
    <n v="33968"/>
    <n v="339680"/>
    <x v="2"/>
  </r>
  <r>
    <s v="2024-05-07"/>
    <s v="martes"/>
    <x v="4"/>
    <s v="2024"/>
    <x v="3"/>
    <x v="1"/>
    <x v="2"/>
    <x v="3"/>
    <x v="2"/>
    <n v="10"/>
    <n v="47596"/>
    <n v="475960"/>
    <x v="2"/>
  </r>
  <r>
    <s v="2024-01-17"/>
    <s v="miércoles"/>
    <x v="11"/>
    <s v="2024"/>
    <x v="4"/>
    <x v="4"/>
    <x v="1"/>
    <x v="0"/>
    <x v="1"/>
    <n v="7"/>
    <n v="48655"/>
    <n v="340585"/>
    <x v="0"/>
  </r>
  <r>
    <s v="2024-05-14"/>
    <s v="martes"/>
    <x v="4"/>
    <s v="2024"/>
    <x v="4"/>
    <x v="3"/>
    <x v="3"/>
    <x v="4"/>
    <x v="2"/>
    <n v="1"/>
    <n v="44663"/>
    <n v="44663"/>
    <x v="2"/>
  </r>
  <r>
    <s v="2024-10-23"/>
    <s v="miércoles"/>
    <x v="8"/>
    <s v="2024"/>
    <x v="4"/>
    <x v="2"/>
    <x v="1"/>
    <x v="4"/>
    <x v="1"/>
    <n v="5"/>
    <n v="59078"/>
    <n v="295390"/>
    <x v="1"/>
  </r>
  <r>
    <s v="2024-01-20"/>
    <s v="sábado"/>
    <x v="11"/>
    <s v="2024"/>
    <x v="4"/>
    <x v="3"/>
    <x v="3"/>
    <x v="0"/>
    <x v="1"/>
    <n v="6"/>
    <n v="15120"/>
    <n v="90720"/>
    <x v="0"/>
  </r>
  <r>
    <s v="2024-01-02"/>
    <s v="martes"/>
    <x v="11"/>
    <s v="2024"/>
    <x v="3"/>
    <x v="3"/>
    <x v="2"/>
    <x v="1"/>
    <x v="0"/>
    <n v="12"/>
    <n v="51494"/>
    <n v="617928"/>
    <x v="2"/>
  </r>
  <r>
    <s v="2024-10-28"/>
    <s v="lunes"/>
    <x v="8"/>
    <s v="2024"/>
    <x v="4"/>
    <x v="4"/>
    <x v="3"/>
    <x v="0"/>
    <x v="2"/>
    <n v="14"/>
    <n v="15245"/>
    <n v="213430"/>
    <x v="3"/>
  </r>
  <r>
    <s v="2024-11-28"/>
    <s v="jueves"/>
    <x v="5"/>
    <s v="2024"/>
    <x v="4"/>
    <x v="4"/>
    <x v="4"/>
    <x v="0"/>
    <x v="0"/>
    <n v="19"/>
    <n v="48572"/>
    <n v="922868"/>
    <x v="2"/>
  </r>
  <r>
    <s v="2024-12-08"/>
    <s v="domingo"/>
    <x v="7"/>
    <s v="2024"/>
    <x v="2"/>
    <x v="1"/>
    <x v="2"/>
    <x v="0"/>
    <x v="0"/>
    <n v="7"/>
    <n v="39945"/>
    <n v="279615"/>
    <x v="0"/>
  </r>
  <r>
    <s v="2024-07-03"/>
    <s v="miércoles"/>
    <x v="0"/>
    <s v="2024"/>
    <x v="0"/>
    <x v="2"/>
    <x v="2"/>
    <x v="1"/>
    <x v="1"/>
    <n v="3"/>
    <n v="56865"/>
    <n v="170595"/>
    <x v="3"/>
  </r>
  <r>
    <s v="2024-05-21"/>
    <s v="martes"/>
    <x v="4"/>
    <s v="2024"/>
    <x v="3"/>
    <x v="0"/>
    <x v="1"/>
    <x v="1"/>
    <x v="2"/>
    <n v="5"/>
    <n v="15116"/>
    <n v="75580"/>
    <x v="1"/>
  </r>
  <r>
    <s v="2024-08-28"/>
    <s v="miércoles"/>
    <x v="2"/>
    <s v="2024"/>
    <x v="2"/>
    <x v="0"/>
    <x v="2"/>
    <x v="3"/>
    <x v="0"/>
    <n v="1"/>
    <n v="40338"/>
    <n v="40338"/>
    <x v="2"/>
  </r>
  <r>
    <s v="2024-04-22"/>
    <s v="lunes"/>
    <x v="3"/>
    <s v="2024"/>
    <x v="3"/>
    <x v="1"/>
    <x v="3"/>
    <x v="4"/>
    <x v="0"/>
    <n v="12"/>
    <n v="37961"/>
    <n v="455532"/>
    <x v="0"/>
  </r>
  <r>
    <s v="2024-11-22"/>
    <s v="viernes"/>
    <x v="5"/>
    <s v="2024"/>
    <x v="1"/>
    <x v="2"/>
    <x v="0"/>
    <x v="0"/>
    <x v="2"/>
    <n v="15"/>
    <n v="43079"/>
    <n v="646185"/>
    <x v="2"/>
  </r>
  <r>
    <s v="2024-10-05"/>
    <s v="sábado"/>
    <x v="8"/>
    <s v="2024"/>
    <x v="2"/>
    <x v="1"/>
    <x v="2"/>
    <x v="0"/>
    <x v="0"/>
    <n v="18"/>
    <n v="53372"/>
    <n v="960696"/>
    <x v="1"/>
  </r>
  <r>
    <s v="2024-11-21"/>
    <s v="jueves"/>
    <x v="5"/>
    <s v="2024"/>
    <x v="4"/>
    <x v="3"/>
    <x v="1"/>
    <x v="0"/>
    <x v="0"/>
    <n v="4"/>
    <n v="17466"/>
    <n v="69864"/>
    <x v="0"/>
  </r>
  <r>
    <s v="2024-08-22"/>
    <s v="jueves"/>
    <x v="2"/>
    <s v="2024"/>
    <x v="4"/>
    <x v="4"/>
    <x v="0"/>
    <x v="2"/>
    <x v="1"/>
    <n v="20"/>
    <n v="20025"/>
    <n v="400500"/>
    <x v="3"/>
  </r>
  <r>
    <s v="2024-05-15"/>
    <s v="miércoles"/>
    <x v="4"/>
    <s v="2024"/>
    <x v="4"/>
    <x v="3"/>
    <x v="4"/>
    <x v="4"/>
    <x v="2"/>
    <n v="19"/>
    <n v="41478"/>
    <n v="788082"/>
    <x v="0"/>
  </r>
  <r>
    <s v="2024-03-29"/>
    <s v="viernes"/>
    <x v="6"/>
    <s v="2024"/>
    <x v="2"/>
    <x v="2"/>
    <x v="2"/>
    <x v="0"/>
    <x v="2"/>
    <n v="3"/>
    <n v="50578"/>
    <n v="151734"/>
    <x v="3"/>
  </r>
  <r>
    <s v="2024-01-11"/>
    <s v="jueves"/>
    <x v="11"/>
    <s v="2024"/>
    <x v="1"/>
    <x v="0"/>
    <x v="1"/>
    <x v="4"/>
    <x v="1"/>
    <n v="8"/>
    <n v="38958"/>
    <n v="311664"/>
    <x v="0"/>
  </r>
  <r>
    <s v="2024-11-09"/>
    <s v="sábado"/>
    <x v="5"/>
    <s v="2024"/>
    <x v="3"/>
    <x v="4"/>
    <x v="1"/>
    <x v="3"/>
    <x v="2"/>
    <n v="15"/>
    <n v="30626"/>
    <n v="459390"/>
    <x v="3"/>
  </r>
  <r>
    <s v="2024-03-20"/>
    <s v="miércoles"/>
    <x v="6"/>
    <s v="2024"/>
    <x v="3"/>
    <x v="0"/>
    <x v="3"/>
    <x v="1"/>
    <x v="2"/>
    <n v="17"/>
    <n v="59820"/>
    <n v="1016940"/>
    <x v="2"/>
  </r>
  <r>
    <s v="2024-03-22"/>
    <s v="viernes"/>
    <x v="6"/>
    <s v="2024"/>
    <x v="0"/>
    <x v="0"/>
    <x v="3"/>
    <x v="4"/>
    <x v="2"/>
    <n v="5"/>
    <n v="46880"/>
    <n v="234400"/>
    <x v="1"/>
  </r>
  <r>
    <s v="2024-07-04"/>
    <s v="jueves"/>
    <x v="0"/>
    <s v="2024"/>
    <x v="1"/>
    <x v="0"/>
    <x v="2"/>
    <x v="2"/>
    <x v="2"/>
    <n v="7"/>
    <n v="20789"/>
    <n v="145523"/>
    <x v="2"/>
  </r>
  <r>
    <s v="2024-12-02"/>
    <s v="lunes"/>
    <x v="7"/>
    <s v="2024"/>
    <x v="2"/>
    <x v="0"/>
    <x v="0"/>
    <x v="1"/>
    <x v="0"/>
    <n v="15"/>
    <n v="34415"/>
    <n v="516225"/>
    <x v="0"/>
  </r>
  <r>
    <s v="2024-08-24"/>
    <s v="sábado"/>
    <x v="2"/>
    <s v="2024"/>
    <x v="4"/>
    <x v="0"/>
    <x v="2"/>
    <x v="3"/>
    <x v="2"/>
    <n v="2"/>
    <n v="31684"/>
    <n v="63368"/>
    <x v="0"/>
  </r>
  <r>
    <s v="2024-07-26"/>
    <s v="viernes"/>
    <x v="0"/>
    <s v="2024"/>
    <x v="3"/>
    <x v="1"/>
    <x v="2"/>
    <x v="4"/>
    <x v="2"/>
    <n v="4"/>
    <n v="57696"/>
    <n v="230784"/>
    <x v="2"/>
  </r>
  <r>
    <s v="2024-06-27"/>
    <s v="jueves"/>
    <x v="9"/>
    <s v="2024"/>
    <x v="0"/>
    <x v="3"/>
    <x v="2"/>
    <x v="3"/>
    <x v="0"/>
    <n v="18"/>
    <n v="30850"/>
    <n v="555300"/>
    <x v="0"/>
  </r>
  <r>
    <s v="2024-07-13"/>
    <s v="sábado"/>
    <x v="0"/>
    <s v="2024"/>
    <x v="1"/>
    <x v="0"/>
    <x v="0"/>
    <x v="0"/>
    <x v="0"/>
    <n v="17"/>
    <n v="51430"/>
    <n v="874310"/>
    <x v="1"/>
  </r>
  <r>
    <s v="2024-10-26"/>
    <s v="sábado"/>
    <x v="8"/>
    <s v="2024"/>
    <x v="2"/>
    <x v="4"/>
    <x v="3"/>
    <x v="4"/>
    <x v="2"/>
    <n v="19"/>
    <n v="21102"/>
    <n v="400938"/>
    <x v="0"/>
  </r>
  <r>
    <s v="2024-11-24"/>
    <s v="domingo"/>
    <x v="5"/>
    <s v="2024"/>
    <x v="0"/>
    <x v="2"/>
    <x v="4"/>
    <x v="2"/>
    <x v="1"/>
    <n v="15"/>
    <n v="17276"/>
    <n v="259140"/>
    <x v="3"/>
  </r>
  <r>
    <s v="2024-06-23"/>
    <s v="domingo"/>
    <x v="9"/>
    <s v="2024"/>
    <x v="3"/>
    <x v="3"/>
    <x v="4"/>
    <x v="1"/>
    <x v="2"/>
    <n v="3"/>
    <n v="45882"/>
    <n v="137646"/>
    <x v="0"/>
  </r>
  <r>
    <s v="2024-05-04"/>
    <s v="sábado"/>
    <x v="4"/>
    <s v="2024"/>
    <x v="4"/>
    <x v="1"/>
    <x v="1"/>
    <x v="1"/>
    <x v="1"/>
    <n v="7"/>
    <n v="35809"/>
    <n v="250663"/>
    <x v="3"/>
  </r>
  <r>
    <s v="2024-08-04"/>
    <s v="domingo"/>
    <x v="2"/>
    <s v="2024"/>
    <x v="4"/>
    <x v="3"/>
    <x v="3"/>
    <x v="4"/>
    <x v="1"/>
    <n v="2"/>
    <n v="32646"/>
    <n v="65292"/>
    <x v="0"/>
  </r>
  <r>
    <s v="2024-12-16"/>
    <s v="lunes"/>
    <x v="7"/>
    <s v="2024"/>
    <x v="2"/>
    <x v="4"/>
    <x v="1"/>
    <x v="4"/>
    <x v="0"/>
    <n v="11"/>
    <n v="52479"/>
    <n v="577269"/>
    <x v="0"/>
  </r>
  <r>
    <s v="2024-03-01"/>
    <s v="viernes"/>
    <x v="6"/>
    <s v="2024"/>
    <x v="3"/>
    <x v="4"/>
    <x v="4"/>
    <x v="0"/>
    <x v="1"/>
    <n v="9"/>
    <n v="41709"/>
    <n v="375381"/>
    <x v="3"/>
  </r>
  <r>
    <s v="2024-04-17"/>
    <s v="miércoles"/>
    <x v="3"/>
    <s v="2024"/>
    <x v="2"/>
    <x v="4"/>
    <x v="1"/>
    <x v="0"/>
    <x v="1"/>
    <n v="2"/>
    <n v="52450"/>
    <n v="104900"/>
    <x v="1"/>
  </r>
  <r>
    <s v="2024-09-07"/>
    <s v="sábado"/>
    <x v="1"/>
    <s v="2024"/>
    <x v="2"/>
    <x v="1"/>
    <x v="4"/>
    <x v="0"/>
    <x v="2"/>
    <n v="18"/>
    <n v="49417"/>
    <n v="889506"/>
    <x v="0"/>
  </r>
  <r>
    <s v="2024-01-15"/>
    <s v="lunes"/>
    <x v="11"/>
    <s v="2024"/>
    <x v="2"/>
    <x v="2"/>
    <x v="0"/>
    <x v="2"/>
    <x v="2"/>
    <n v="9"/>
    <n v="38448"/>
    <n v="346032"/>
    <x v="0"/>
  </r>
  <r>
    <s v="2024-11-25"/>
    <s v="lunes"/>
    <x v="5"/>
    <s v="2024"/>
    <x v="4"/>
    <x v="0"/>
    <x v="3"/>
    <x v="2"/>
    <x v="2"/>
    <n v="15"/>
    <n v="50905"/>
    <n v="763575"/>
    <x v="3"/>
  </r>
  <r>
    <s v="2024-11-05"/>
    <s v="martes"/>
    <x v="5"/>
    <s v="2024"/>
    <x v="1"/>
    <x v="3"/>
    <x v="0"/>
    <x v="3"/>
    <x v="2"/>
    <n v="16"/>
    <n v="31152"/>
    <n v="498432"/>
    <x v="1"/>
  </r>
  <r>
    <s v="2024-01-19"/>
    <s v="viernes"/>
    <x v="11"/>
    <s v="2024"/>
    <x v="3"/>
    <x v="3"/>
    <x v="0"/>
    <x v="1"/>
    <x v="0"/>
    <n v="13"/>
    <n v="53403"/>
    <n v="694239"/>
    <x v="2"/>
  </r>
  <r>
    <s v="2024-02-26"/>
    <s v="lunes"/>
    <x v="10"/>
    <s v="2024"/>
    <x v="0"/>
    <x v="1"/>
    <x v="1"/>
    <x v="2"/>
    <x v="2"/>
    <n v="13"/>
    <n v="29882"/>
    <n v="388466"/>
    <x v="0"/>
  </r>
  <r>
    <s v="2024-12-04"/>
    <s v="miércoles"/>
    <x v="7"/>
    <s v="2024"/>
    <x v="2"/>
    <x v="4"/>
    <x v="4"/>
    <x v="2"/>
    <x v="1"/>
    <n v="6"/>
    <n v="28228"/>
    <n v="169368"/>
    <x v="3"/>
  </r>
  <r>
    <s v="2024-03-22"/>
    <s v="viernes"/>
    <x v="6"/>
    <s v="2024"/>
    <x v="3"/>
    <x v="1"/>
    <x v="1"/>
    <x v="0"/>
    <x v="1"/>
    <n v="14"/>
    <n v="38743"/>
    <n v="542402"/>
    <x v="3"/>
  </r>
  <r>
    <s v="2024-08-18"/>
    <s v="domingo"/>
    <x v="2"/>
    <s v="2024"/>
    <x v="0"/>
    <x v="0"/>
    <x v="1"/>
    <x v="3"/>
    <x v="2"/>
    <n v="6"/>
    <n v="55804"/>
    <n v="334824"/>
    <x v="2"/>
  </r>
  <r>
    <s v="2024-08-25"/>
    <s v="domingo"/>
    <x v="2"/>
    <s v="2024"/>
    <x v="3"/>
    <x v="2"/>
    <x v="2"/>
    <x v="3"/>
    <x v="2"/>
    <n v="8"/>
    <n v="21109"/>
    <n v="168872"/>
    <x v="3"/>
  </r>
  <r>
    <s v="2024-05-26"/>
    <s v="domingo"/>
    <x v="4"/>
    <s v="2024"/>
    <x v="2"/>
    <x v="0"/>
    <x v="2"/>
    <x v="2"/>
    <x v="2"/>
    <n v="20"/>
    <n v="17814"/>
    <n v="356280"/>
    <x v="3"/>
  </r>
  <r>
    <s v="2024-10-02"/>
    <s v="miércoles"/>
    <x v="8"/>
    <s v="2024"/>
    <x v="0"/>
    <x v="4"/>
    <x v="1"/>
    <x v="4"/>
    <x v="2"/>
    <n v="5"/>
    <n v="56195"/>
    <n v="280975"/>
    <x v="1"/>
  </r>
  <r>
    <s v="2024-05-24"/>
    <s v="viernes"/>
    <x v="4"/>
    <s v="2024"/>
    <x v="4"/>
    <x v="4"/>
    <x v="2"/>
    <x v="3"/>
    <x v="2"/>
    <n v="11"/>
    <n v="59665"/>
    <n v="656315"/>
    <x v="1"/>
  </r>
  <r>
    <s v="2024-01-02"/>
    <s v="martes"/>
    <x v="11"/>
    <s v="2024"/>
    <x v="4"/>
    <x v="2"/>
    <x v="0"/>
    <x v="4"/>
    <x v="1"/>
    <n v="17"/>
    <n v="18874"/>
    <n v="320858"/>
    <x v="1"/>
  </r>
  <r>
    <s v="2024-05-25"/>
    <s v="sábado"/>
    <x v="4"/>
    <s v="2024"/>
    <x v="3"/>
    <x v="3"/>
    <x v="3"/>
    <x v="2"/>
    <x v="2"/>
    <n v="10"/>
    <n v="35392"/>
    <n v="353920"/>
    <x v="2"/>
  </r>
  <r>
    <s v="2024-03-19"/>
    <s v="martes"/>
    <x v="6"/>
    <s v="2024"/>
    <x v="3"/>
    <x v="3"/>
    <x v="1"/>
    <x v="3"/>
    <x v="1"/>
    <n v="4"/>
    <n v="54621"/>
    <n v="218484"/>
    <x v="1"/>
  </r>
  <r>
    <s v="2024-07-03"/>
    <s v="miércoles"/>
    <x v="0"/>
    <s v="2024"/>
    <x v="3"/>
    <x v="0"/>
    <x v="0"/>
    <x v="0"/>
    <x v="0"/>
    <n v="2"/>
    <n v="52934"/>
    <n v="105868"/>
    <x v="2"/>
  </r>
  <r>
    <s v="2024-08-24"/>
    <s v="sábado"/>
    <x v="2"/>
    <s v="2024"/>
    <x v="1"/>
    <x v="0"/>
    <x v="0"/>
    <x v="0"/>
    <x v="0"/>
    <n v="20"/>
    <n v="34520"/>
    <n v="690400"/>
    <x v="1"/>
  </r>
  <r>
    <s v="2024-09-15"/>
    <s v="domingo"/>
    <x v="1"/>
    <s v="2024"/>
    <x v="4"/>
    <x v="1"/>
    <x v="4"/>
    <x v="1"/>
    <x v="1"/>
    <n v="3"/>
    <n v="18869"/>
    <n v="56607"/>
    <x v="3"/>
  </r>
  <r>
    <s v="2024-11-25"/>
    <s v="lunes"/>
    <x v="5"/>
    <s v="2024"/>
    <x v="4"/>
    <x v="0"/>
    <x v="2"/>
    <x v="0"/>
    <x v="0"/>
    <n v="3"/>
    <n v="41923"/>
    <n v="125769"/>
    <x v="1"/>
  </r>
  <r>
    <s v="2024-04-30"/>
    <s v="martes"/>
    <x v="3"/>
    <s v="2024"/>
    <x v="4"/>
    <x v="1"/>
    <x v="0"/>
    <x v="3"/>
    <x v="0"/>
    <n v="20"/>
    <n v="20646"/>
    <n v="412920"/>
    <x v="0"/>
  </r>
  <r>
    <s v="2024-02-21"/>
    <s v="miércoles"/>
    <x v="10"/>
    <s v="2024"/>
    <x v="4"/>
    <x v="2"/>
    <x v="4"/>
    <x v="1"/>
    <x v="1"/>
    <n v="12"/>
    <n v="55078"/>
    <n v="660936"/>
    <x v="1"/>
  </r>
  <r>
    <s v="2024-08-12"/>
    <s v="lunes"/>
    <x v="2"/>
    <s v="2024"/>
    <x v="2"/>
    <x v="2"/>
    <x v="4"/>
    <x v="0"/>
    <x v="1"/>
    <n v="3"/>
    <n v="23853"/>
    <n v="71559"/>
    <x v="0"/>
  </r>
  <r>
    <s v="2024-01-08"/>
    <s v="lunes"/>
    <x v="11"/>
    <s v="2024"/>
    <x v="3"/>
    <x v="2"/>
    <x v="4"/>
    <x v="2"/>
    <x v="2"/>
    <n v="9"/>
    <n v="50206"/>
    <n v="451854"/>
    <x v="0"/>
  </r>
  <r>
    <s v="2024-11-16"/>
    <s v="sábado"/>
    <x v="5"/>
    <s v="2024"/>
    <x v="2"/>
    <x v="1"/>
    <x v="2"/>
    <x v="4"/>
    <x v="2"/>
    <n v="17"/>
    <n v="43244"/>
    <n v="735148"/>
    <x v="0"/>
  </r>
  <r>
    <s v="2024-06-06"/>
    <s v="jueves"/>
    <x v="9"/>
    <s v="2024"/>
    <x v="0"/>
    <x v="3"/>
    <x v="3"/>
    <x v="4"/>
    <x v="0"/>
    <n v="1"/>
    <n v="23327"/>
    <n v="23327"/>
    <x v="3"/>
  </r>
  <r>
    <s v="2024-03-29"/>
    <s v="viernes"/>
    <x v="6"/>
    <s v="2024"/>
    <x v="2"/>
    <x v="2"/>
    <x v="1"/>
    <x v="4"/>
    <x v="1"/>
    <n v="11"/>
    <n v="58384"/>
    <n v="642224"/>
    <x v="0"/>
  </r>
  <r>
    <s v="2024-07-20"/>
    <s v="sábado"/>
    <x v="0"/>
    <s v="2024"/>
    <x v="4"/>
    <x v="2"/>
    <x v="0"/>
    <x v="2"/>
    <x v="1"/>
    <n v="4"/>
    <n v="19540"/>
    <n v="78160"/>
    <x v="3"/>
  </r>
  <r>
    <s v="2024-04-12"/>
    <s v="viernes"/>
    <x v="3"/>
    <s v="2024"/>
    <x v="4"/>
    <x v="1"/>
    <x v="4"/>
    <x v="3"/>
    <x v="2"/>
    <n v="4"/>
    <n v="36849"/>
    <n v="147396"/>
    <x v="1"/>
  </r>
  <r>
    <s v="2024-06-23"/>
    <s v="domingo"/>
    <x v="9"/>
    <s v="2024"/>
    <x v="4"/>
    <x v="1"/>
    <x v="3"/>
    <x v="3"/>
    <x v="2"/>
    <n v="3"/>
    <n v="25974"/>
    <n v="77922"/>
    <x v="0"/>
  </r>
  <r>
    <s v="2024-09-29"/>
    <s v="domingo"/>
    <x v="1"/>
    <s v="2024"/>
    <x v="1"/>
    <x v="3"/>
    <x v="0"/>
    <x v="1"/>
    <x v="0"/>
    <n v="7"/>
    <n v="18274"/>
    <n v="127918"/>
    <x v="2"/>
  </r>
  <r>
    <s v="2024-07-18"/>
    <s v="jueves"/>
    <x v="0"/>
    <s v="2024"/>
    <x v="3"/>
    <x v="2"/>
    <x v="1"/>
    <x v="0"/>
    <x v="1"/>
    <n v="10"/>
    <n v="29155"/>
    <n v="291550"/>
    <x v="2"/>
  </r>
  <r>
    <s v="2024-05-07"/>
    <s v="martes"/>
    <x v="4"/>
    <s v="2024"/>
    <x v="1"/>
    <x v="4"/>
    <x v="4"/>
    <x v="0"/>
    <x v="0"/>
    <n v="8"/>
    <n v="47471"/>
    <n v="379768"/>
    <x v="1"/>
  </r>
  <r>
    <s v="2024-12-07"/>
    <s v="sábado"/>
    <x v="7"/>
    <s v="2024"/>
    <x v="2"/>
    <x v="2"/>
    <x v="2"/>
    <x v="0"/>
    <x v="1"/>
    <n v="6"/>
    <n v="40720"/>
    <n v="244320"/>
    <x v="3"/>
  </r>
  <r>
    <s v="2024-02-08"/>
    <s v="jueves"/>
    <x v="10"/>
    <s v="2024"/>
    <x v="4"/>
    <x v="1"/>
    <x v="3"/>
    <x v="2"/>
    <x v="0"/>
    <n v="19"/>
    <n v="55963"/>
    <n v="1063297"/>
    <x v="0"/>
  </r>
  <r>
    <s v="2024-01-02"/>
    <s v="martes"/>
    <x v="11"/>
    <s v="2024"/>
    <x v="1"/>
    <x v="1"/>
    <x v="0"/>
    <x v="1"/>
    <x v="1"/>
    <n v="7"/>
    <n v="34621"/>
    <n v="242347"/>
    <x v="0"/>
  </r>
  <r>
    <s v="2024-03-09"/>
    <s v="sábado"/>
    <x v="6"/>
    <s v="2024"/>
    <x v="4"/>
    <x v="1"/>
    <x v="2"/>
    <x v="1"/>
    <x v="0"/>
    <n v="15"/>
    <n v="58096"/>
    <n v="871440"/>
    <x v="2"/>
  </r>
  <r>
    <s v="2024-07-19"/>
    <s v="viernes"/>
    <x v="0"/>
    <s v="2024"/>
    <x v="3"/>
    <x v="4"/>
    <x v="0"/>
    <x v="0"/>
    <x v="0"/>
    <n v="6"/>
    <n v="31780"/>
    <n v="190680"/>
    <x v="1"/>
  </r>
  <r>
    <s v="2024-07-29"/>
    <s v="lunes"/>
    <x v="0"/>
    <s v="2024"/>
    <x v="0"/>
    <x v="1"/>
    <x v="4"/>
    <x v="0"/>
    <x v="2"/>
    <n v="15"/>
    <n v="35441"/>
    <n v="531615"/>
    <x v="3"/>
  </r>
  <r>
    <s v="2024-09-01"/>
    <s v="domingo"/>
    <x v="1"/>
    <s v="2024"/>
    <x v="4"/>
    <x v="2"/>
    <x v="1"/>
    <x v="4"/>
    <x v="0"/>
    <n v="1"/>
    <n v="25866"/>
    <n v="25866"/>
    <x v="2"/>
  </r>
  <r>
    <s v="2024-10-01"/>
    <s v="martes"/>
    <x v="8"/>
    <s v="2024"/>
    <x v="3"/>
    <x v="4"/>
    <x v="3"/>
    <x v="1"/>
    <x v="2"/>
    <n v="5"/>
    <n v="25876"/>
    <n v="129380"/>
    <x v="2"/>
  </r>
  <r>
    <s v="2024-07-28"/>
    <s v="domingo"/>
    <x v="0"/>
    <s v="2024"/>
    <x v="2"/>
    <x v="3"/>
    <x v="1"/>
    <x v="1"/>
    <x v="0"/>
    <n v="15"/>
    <n v="51006"/>
    <n v="765090"/>
    <x v="2"/>
  </r>
  <r>
    <s v="2024-06-23"/>
    <s v="domingo"/>
    <x v="9"/>
    <s v="2024"/>
    <x v="4"/>
    <x v="1"/>
    <x v="3"/>
    <x v="3"/>
    <x v="0"/>
    <n v="18"/>
    <n v="36181"/>
    <n v="651258"/>
    <x v="1"/>
  </r>
  <r>
    <s v="2024-01-19"/>
    <s v="viernes"/>
    <x v="11"/>
    <s v="2024"/>
    <x v="1"/>
    <x v="2"/>
    <x v="0"/>
    <x v="2"/>
    <x v="1"/>
    <n v="16"/>
    <n v="56976"/>
    <n v="911616"/>
    <x v="0"/>
  </r>
  <r>
    <s v="2024-06-30"/>
    <s v="domingo"/>
    <x v="9"/>
    <s v="2024"/>
    <x v="2"/>
    <x v="1"/>
    <x v="0"/>
    <x v="2"/>
    <x v="1"/>
    <n v="13"/>
    <n v="37344"/>
    <n v="485472"/>
    <x v="3"/>
  </r>
  <r>
    <s v="2024-12-01"/>
    <s v="domingo"/>
    <x v="7"/>
    <s v="2024"/>
    <x v="1"/>
    <x v="1"/>
    <x v="2"/>
    <x v="0"/>
    <x v="2"/>
    <n v="17"/>
    <n v="57513"/>
    <n v="977721"/>
    <x v="1"/>
  </r>
  <r>
    <s v="2024-06-04"/>
    <s v="martes"/>
    <x v="9"/>
    <s v="2024"/>
    <x v="0"/>
    <x v="2"/>
    <x v="1"/>
    <x v="2"/>
    <x v="2"/>
    <n v="14"/>
    <n v="45769"/>
    <n v="640766"/>
    <x v="2"/>
  </r>
  <r>
    <s v="2024-04-29"/>
    <s v="lunes"/>
    <x v="3"/>
    <s v="2024"/>
    <x v="1"/>
    <x v="0"/>
    <x v="4"/>
    <x v="0"/>
    <x v="2"/>
    <n v="7"/>
    <n v="54783"/>
    <n v="383481"/>
    <x v="1"/>
  </r>
  <r>
    <s v="2024-03-17"/>
    <s v="domingo"/>
    <x v="6"/>
    <s v="2024"/>
    <x v="1"/>
    <x v="3"/>
    <x v="1"/>
    <x v="4"/>
    <x v="2"/>
    <n v="3"/>
    <n v="46044"/>
    <n v="138132"/>
    <x v="3"/>
  </r>
  <r>
    <s v="2024-04-24"/>
    <s v="miércoles"/>
    <x v="3"/>
    <s v="2024"/>
    <x v="4"/>
    <x v="0"/>
    <x v="0"/>
    <x v="3"/>
    <x v="0"/>
    <n v="10"/>
    <n v="52650"/>
    <n v="526500"/>
    <x v="3"/>
  </r>
  <r>
    <s v="2024-08-09"/>
    <s v="viernes"/>
    <x v="2"/>
    <s v="2024"/>
    <x v="4"/>
    <x v="4"/>
    <x v="0"/>
    <x v="0"/>
    <x v="2"/>
    <n v="6"/>
    <n v="23901"/>
    <n v="143406"/>
    <x v="0"/>
  </r>
  <r>
    <s v="2024-11-30"/>
    <s v="sábado"/>
    <x v="5"/>
    <s v="2024"/>
    <x v="3"/>
    <x v="3"/>
    <x v="1"/>
    <x v="3"/>
    <x v="0"/>
    <n v="11"/>
    <n v="19868"/>
    <n v="218548"/>
    <x v="1"/>
  </r>
  <r>
    <s v="2024-10-15"/>
    <s v="martes"/>
    <x v="8"/>
    <s v="2024"/>
    <x v="1"/>
    <x v="0"/>
    <x v="3"/>
    <x v="0"/>
    <x v="2"/>
    <n v="4"/>
    <n v="35312"/>
    <n v="141248"/>
    <x v="3"/>
  </r>
  <r>
    <s v="2024-02-25"/>
    <s v="domingo"/>
    <x v="10"/>
    <s v="2024"/>
    <x v="0"/>
    <x v="4"/>
    <x v="1"/>
    <x v="0"/>
    <x v="1"/>
    <n v="20"/>
    <n v="30156"/>
    <n v="603120"/>
    <x v="2"/>
  </r>
  <r>
    <s v="2024-01-20"/>
    <s v="sábado"/>
    <x v="11"/>
    <s v="2024"/>
    <x v="4"/>
    <x v="1"/>
    <x v="4"/>
    <x v="4"/>
    <x v="2"/>
    <n v="7"/>
    <n v="59159"/>
    <n v="414113"/>
    <x v="2"/>
  </r>
  <r>
    <s v="2024-04-04"/>
    <s v="jueves"/>
    <x v="3"/>
    <s v="2024"/>
    <x v="3"/>
    <x v="0"/>
    <x v="2"/>
    <x v="3"/>
    <x v="1"/>
    <n v="1"/>
    <n v="34285"/>
    <n v="34285"/>
    <x v="3"/>
  </r>
  <r>
    <s v="2024-12-12"/>
    <s v="jueves"/>
    <x v="7"/>
    <s v="2024"/>
    <x v="2"/>
    <x v="3"/>
    <x v="1"/>
    <x v="1"/>
    <x v="1"/>
    <n v="2"/>
    <n v="47733"/>
    <n v="95466"/>
    <x v="0"/>
  </r>
  <r>
    <s v="2024-08-02"/>
    <s v="viernes"/>
    <x v="2"/>
    <s v="2024"/>
    <x v="2"/>
    <x v="4"/>
    <x v="4"/>
    <x v="3"/>
    <x v="0"/>
    <n v="19"/>
    <n v="57172"/>
    <n v="1086268"/>
    <x v="2"/>
  </r>
  <r>
    <s v="2024-03-19"/>
    <s v="martes"/>
    <x v="6"/>
    <s v="2024"/>
    <x v="4"/>
    <x v="4"/>
    <x v="1"/>
    <x v="4"/>
    <x v="2"/>
    <n v="9"/>
    <n v="43141"/>
    <n v="388269"/>
    <x v="2"/>
  </r>
  <r>
    <s v="2024-05-22"/>
    <s v="miércoles"/>
    <x v="4"/>
    <s v="2024"/>
    <x v="0"/>
    <x v="2"/>
    <x v="4"/>
    <x v="3"/>
    <x v="2"/>
    <n v="2"/>
    <n v="24213"/>
    <n v="48426"/>
    <x v="3"/>
  </r>
  <r>
    <s v="2024-01-03"/>
    <s v="miércoles"/>
    <x v="11"/>
    <s v="2024"/>
    <x v="3"/>
    <x v="0"/>
    <x v="4"/>
    <x v="1"/>
    <x v="0"/>
    <n v="20"/>
    <n v="42758"/>
    <n v="855160"/>
    <x v="1"/>
  </r>
  <r>
    <s v="2024-07-07"/>
    <s v="domingo"/>
    <x v="0"/>
    <s v="2024"/>
    <x v="2"/>
    <x v="2"/>
    <x v="0"/>
    <x v="0"/>
    <x v="2"/>
    <n v="16"/>
    <n v="30632"/>
    <n v="490112"/>
    <x v="2"/>
  </r>
  <r>
    <s v="2024-07-29"/>
    <s v="lunes"/>
    <x v="0"/>
    <s v="2024"/>
    <x v="3"/>
    <x v="2"/>
    <x v="1"/>
    <x v="1"/>
    <x v="0"/>
    <n v="11"/>
    <n v="18885"/>
    <n v="207735"/>
    <x v="3"/>
  </r>
  <r>
    <s v="2024-01-27"/>
    <s v="sábado"/>
    <x v="11"/>
    <s v="2024"/>
    <x v="0"/>
    <x v="2"/>
    <x v="3"/>
    <x v="3"/>
    <x v="2"/>
    <n v="4"/>
    <n v="35109"/>
    <n v="140436"/>
    <x v="1"/>
  </r>
  <r>
    <s v="2024-11-15"/>
    <s v="viernes"/>
    <x v="5"/>
    <s v="2024"/>
    <x v="1"/>
    <x v="2"/>
    <x v="0"/>
    <x v="2"/>
    <x v="0"/>
    <n v="7"/>
    <n v="45517"/>
    <n v="318619"/>
    <x v="2"/>
  </r>
  <r>
    <s v="2024-01-30"/>
    <s v="martes"/>
    <x v="11"/>
    <s v="2024"/>
    <x v="2"/>
    <x v="1"/>
    <x v="4"/>
    <x v="3"/>
    <x v="1"/>
    <n v="19"/>
    <n v="42126"/>
    <n v="800394"/>
    <x v="3"/>
  </r>
  <r>
    <s v="2024-06-11"/>
    <s v="martes"/>
    <x v="9"/>
    <s v="2024"/>
    <x v="0"/>
    <x v="4"/>
    <x v="0"/>
    <x v="1"/>
    <x v="2"/>
    <n v="6"/>
    <n v="33036"/>
    <n v="198216"/>
    <x v="2"/>
  </r>
  <r>
    <s v="2024-09-06"/>
    <s v="viernes"/>
    <x v="1"/>
    <s v="2024"/>
    <x v="1"/>
    <x v="3"/>
    <x v="1"/>
    <x v="1"/>
    <x v="1"/>
    <n v="8"/>
    <n v="39455"/>
    <n v="315640"/>
    <x v="3"/>
  </r>
  <r>
    <s v="2024-03-27"/>
    <s v="miércoles"/>
    <x v="6"/>
    <s v="2024"/>
    <x v="2"/>
    <x v="0"/>
    <x v="3"/>
    <x v="3"/>
    <x v="2"/>
    <n v="3"/>
    <n v="37397"/>
    <n v="112191"/>
    <x v="1"/>
  </r>
  <r>
    <s v="2024-01-06"/>
    <s v="sábado"/>
    <x v="11"/>
    <s v="2024"/>
    <x v="2"/>
    <x v="1"/>
    <x v="3"/>
    <x v="4"/>
    <x v="1"/>
    <n v="5"/>
    <n v="26352"/>
    <n v="131760"/>
    <x v="3"/>
  </r>
  <r>
    <s v="2024-08-25"/>
    <s v="domingo"/>
    <x v="2"/>
    <s v="2024"/>
    <x v="1"/>
    <x v="4"/>
    <x v="0"/>
    <x v="2"/>
    <x v="0"/>
    <n v="19"/>
    <n v="37346"/>
    <n v="709574"/>
    <x v="0"/>
  </r>
  <r>
    <s v="2024-02-07"/>
    <s v="miércoles"/>
    <x v="10"/>
    <s v="2024"/>
    <x v="4"/>
    <x v="1"/>
    <x v="4"/>
    <x v="4"/>
    <x v="0"/>
    <n v="10"/>
    <n v="40715"/>
    <n v="407150"/>
    <x v="0"/>
  </r>
  <r>
    <s v="2024-05-12"/>
    <s v="domingo"/>
    <x v="4"/>
    <s v="2024"/>
    <x v="0"/>
    <x v="3"/>
    <x v="4"/>
    <x v="4"/>
    <x v="0"/>
    <n v="12"/>
    <n v="29285"/>
    <n v="351420"/>
    <x v="3"/>
  </r>
  <r>
    <s v="2024-11-16"/>
    <s v="sábado"/>
    <x v="5"/>
    <s v="2024"/>
    <x v="1"/>
    <x v="0"/>
    <x v="2"/>
    <x v="1"/>
    <x v="1"/>
    <n v="6"/>
    <n v="27802"/>
    <n v="166812"/>
    <x v="2"/>
  </r>
  <r>
    <s v="2024-03-25"/>
    <s v="lunes"/>
    <x v="6"/>
    <s v="2024"/>
    <x v="1"/>
    <x v="0"/>
    <x v="4"/>
    <x v="0"/>
    <x v="0"/>
    <n v="17"/>
    <n v="59354"/>
    <n v="1009018"/>
    <x v="2"/>
  </r>
  <r>
    <s v="2024-04-21"/>
    <s v="domingo"/>
    <x v="3"/>
    <s v="2024"/>
    <x v="0"/>
    <x v="3"/>
    <x v="3"/>
    <x v="4"/>
    <x v="2"/>
    <n v="5"/>
    <n v="53899"/>
    <n v="269495"/>
    <x v="0"/>
  </r>
  <r>
    <s v="2024-08-14"/>
    <s v="miércoles"/>
    <x v="2"/>
    <s v="2024"/>
    <x v="3"/>
    <x v="3"/>
    <x v="4"/>
    <x v="0"/>
    <x v="1"/>
    <n v="12"/>
    <n v="35819"/>
    <n v="429828"/>
    <x v="3"/>
  </r>
  <r>
    <s v="2024-12-12"/>
    <s v="jueves"/>
    <x v="7"/>
    <s v="2024"/>
    <x v="1"/>
    <x v="1"/>
    <x v="2"/>
    <x v="1"/>
    <x v="1"/>
    <n v="7"/>
    <n v="23856"/>
    <n v="166992"/>
    <x v="1"/>
  </r>
  <r>
    <s v="2024-12-26"/>
    <s v="jueves"/>
    <x v="7"/>
    <s v="2024"/>
    <x v="3"/>
    <x v="4"/>
    <x v="0"/>
    <x v="4"/>
    <x v="2"/>
    <n v="3"/>
    <n v="29685"/>
    <n v="89055"/>
    <x v="0"/>
  </r>
  <r>
    <s v="2024-08-30"/>
    <s v="viernes"/>
    <x v="2"/>
    <s v="2024"/>
    <x v="1"/>
    <x v="1"/>
    <x v="3"/>
    <x v="4"/>
    <x v="2"/>
    <n v="10"/>
    <n v="17382"/>
    <n v="173820"/>
    <x v="0"/>
  </r>
  <r>
    <s v="2024-09-11"/>
    <s v="miércoles"/>
    <x v="1"/>
    <s v="2024"/>
    <x v="0"/>
    <x v="4"/>
    <x v="2"/>
    <x v="1"/>
    <x v="2"/>
    <n v="1"/>
    <n v="26934"/>
    <n v="26934"/>
    <x v="1"/>
  </r>
  <r>
    <s v="2024-03-30"/>
    <s v="sábado"/>
    <x v="6"/>
    <s v="2024"/>
    <x v="1"/>
    <x v="2"/>
    <x v="3"/>
    <x v="0"/>
    <x v="1"/>
    <n v="5"/>
    <n v="33723"/>
    <n v="168615"/>
    <x v="1"/>
  </r>
  <r>
    <s v="2024-06-07"/>
    <s v="viernes"/>
    <x v="9"/>
    <s v="2024"/>
    <x v="3"/>
    <x v="0"/>
    <x v="4"/>
    <x v="0"/>
    <x v="2"/>
    <n v="15"/>
    <n v="47792"/>
    <n v="716880"/>
    <x v="2"/>
  </r>
  <r>
    <s v="2024-11-24"/>
    <s v="domingo"/>
    <x v="5"/>
    <s v="2024"/>
    <x v="4"/>
    <x v="3"/>
    <x v="1"/>
    <x v="4"/>
    <x v="2"/>
    <n v="16"/>
    <n v="40664"/>
    <n v="650624"/>
    <x v="3"/>
  </r>
  <r>
    <s v="2024-09-10"/>
    <s v="martes"/>
    <x v="1"/>
    <s v="2024"/>
    <x v="4"/>
    <x v="3"/>
    <x v="1"/>
    <x v="0"/>
    <x v="1"/>
    <n v="11"/>
    <n v="47857"/>
    <n v="526427"/>
    <x v="3"/>
  </r>
  <r>
    <s v="2024-01-27"/>
    <s v="sábado"/>
    <x v="11"/>
    <s v="2024"/>
    <x v="2"/>
    <x v="3"/>
    <x v="2"/>
    <x v="3"/>
    <x v="1"/>
    <n v="17"/>
    <n v="42796"/>
    <n v="727532"/>
    <x v="1"/>
  </r>
  <r>
    <s v="2024-01-05"/>
    <s v="viernes"/>
    <x v="11"/>
    <s v="2024"/>
    <x v="4"/>
    <x v="3"/>
    <x v="2"/>
    <x v="2"/>
    <x v="1"/>
    <n v="19"/>
    <n v="37199"/>
    <n v="706781"/>
    <x v="2"/>
  </r>
  <r>
    <s v="2024-12-11"/>
    <s v="miércoles"/>
    <x v="7"/>
    <s v="2024"/>
    <x v="1"/>
    <x v="1"/>
    <x v="2"/>
    <x v="4"/>
    <x v="1"/>
    <n v="19"/>
    <n v="59330"/>
    <n v="1127270"/>
    <x v="2"/>
  </r>
  <r>
    <s v="2024-03-28"/>
    <s v="jueves"/>
    <x v="6"/>
    <s v="2024"/>
    <x v="1"/>
    <x v="3"/>
    <x v="4"/>
    <x v="1"/>
    <x v="0"/>
    <n v="8"/>
    <n v="45822"/>
    <n v="366576"/>
    <x v="3"/>
  </r>
  <r>
    <s v="2024-03-13"/>
    <s v="miércoles"/>
    <x v="6"/>
    <s v="2024"/>
    <x v="4"/>
    <x v="2"/>
    <x v="1"/>
    <x v="3"/>
    <x v="0"/>
    <n v="3"/>
    <n v="26220"/>
    <n v="78660"/>
    <x v="0"/>
  </r>
  <r>
    <s v="2024-03-20"/>
    <s v="miércoles"/>
    <x v="6"/>
    <s v="2024"/>
    <x v="1"/>
    <x v="1"/>
    <x v="3"/>
    <x v="1"/>
    <x v="2"/>
    <n v="4"/>
    <n v="39554"/>
    <n v="158216"/>
    <x v="3"/>
  </r>
  <r>
    <s v="2024-09-12"/>
    <s v="jueves"/>
    <x v="1"/>
    <s v="2024"/>
    <x v="1"/>
    <x v="4"/>
    <x v="0"/>
    <x v="0"/>
    <x v="2"/>
    <n v="18"/>
    <n v="52229"/>
    <n v="940122"/>
    <x v="3"/>
  </r>
  <r>
    <s v="2024-02-11"/>
    <s v="domingo"/>
    <x v="10"/>
    <s v="2024"/>
    <x v="4"/>
    <x v="2"/>
    <x v="1"/>
    <x v="4"/>
    <x v="1"/>
    <n v="16"/>
    <n v="53109"/>
    <n v="849744"/>
    <x v="2"/>
  </r>
  <r>
    <s v="2024-09-10"/>
    <s v="martes"/>
    <x v="1"/>
    <s v="2024"/>
    <x v="1"/>
    <x v="1"/>
    <x v="0"/>
    <x v="4"/>
    <x v="2"/>
    <n v="2"/>
    <n v="42542"/>
    <n v="85084"/>
    <x v="2"/>
  </r>
  <r>
    <s v="2024-07-26"/>
    <s v="viernes"/>
    <x v="0"/>
    <s v="2024"/>
    <x v="2"/>
    <x v="3"/>
    <x v="0"/>
    <x v="4"/>
    <x v="0"/>
    <n v="20"/>
    <n v="29779"/>
    <n v="595580"/>
    <x v="1"/>
  </r>
  <r>
    <s v="2024-10-09"/>
    <s v="miércoles"/>
    <x v="8"/>
    <s v="2024"/>
    <x v="3"/>
    <x v="0"/>
    <x v="3"/>
    <x v="1"/>
    <x v="1"/>
    <n v="10"/>
    <n v="23320"/>
    <n v="233200"/>
    <x v="2"/>
  </r>
  <r>
    <s v="2024-11-12"/>
    <s v="martes"/>
    <x v="5"/>
    <s v="2024"/>
    <x v="4"/>
    <x v="0"/>
    <x v="4"/>
    <x v="4"/>
    <x v="0"/>
    <n v="7"/>
    <n v="29926"/>
    <n v="209482"/>
    <x v="3"/>
  </r>
  <r>
    <s v="2024-11-26"/>
    <s v="martes"/>
    <x v="5"/>
    <s v="2024"/>
    <x v="4"/>
    <x v="1"/>
    <x v="2"/>
    <x v="3"/>
    <x v="2"/>
    <n v="13"/>
    <n v="23157"/>
    <n v="301041"/>
    <x v="0"/>
  </r>
  <r>
    <s v="2024-08-05"/>
    <s v="lunes"/>
    <x v="2"/>
    <s v="2024"/>
    <x v="4"/>
    <x v="3"/>
    <x v="3"/>
    <x v="1"/>
    <x v="1"/>
    <n v="17"/>
    <n v="28321"/>
    <n v="481457"/>
    <x v="2"/>
  </r>
  <r>
    <s v="2024-09-15"/>
    <s v="domingo"/>
    <x v="1"/>
    <s v="2024"/>
    <x v="0"/>
    <x v="0"/>
    <x v="4"/>
    <x v="3"/>
    <x v="1"/>
    <n v="11"/>
    <n v="28315"/>
    <n v="311465"/>
    <x v="0"/>
  </r>
  <r>
    <s v="2024-02-14"/>
    <s v="miércoles"/>
    <x v="10"/>
    <s v="2024"/>
    <x v="1"/>
    <x v="3"/>
    <x v="3"/>
    <x v="3"/>
    <x v="1"/>
    <n v="1"/>
    <n v="31785"/>
    <n v="31785"/>
    <x v="1"/>
  </r>
  <r>
    <s v="2024-03-02"/>
    <s v="sábado"/>
    <x v="6"/>
    <s v="2024"/>
    <x v="2"/>
    <x v="1"/>
    <x v="0"/>
    <x v="3"/>
    <x v="1"/>
    <n v="8"/>
    <n v="46410"/>
    <n v="371280"/>
    <x v="0"/>
  </r>
  <r>
    <s v="2024-08-15"/>
    <s v="jueves"/>
    <x v="2"/>
    <s v="2024"/>
    <x v="0"/>
    <x v="0"/>
    <x v="3"/>
    <x v="1"/>
    <x v="0"/>
    <n v="20"/>
    <n v="33760"/>
    <n v="675200"/>
    <x v="1"/>
  </r>
  <r>
    <s v="2024-06-07"/>
    <s v="viernes"/>
    <x v="9"/>
    <s v="2024"/>
    <x v="4"/>
    <x v="1"/>
    <x v="0"/>
    <x v="4"/>
    <x v="1"/>
    <n v="1"/>
    <n v="23038"/>
    <n v="23038"/>
    <x v="1"/>
  </r>
  <r>
    <s v="2024-03-22"/>
    <s v="viernes"/>
    <x v="6"/>
    <s v="2024"/>
    <x v="4"/>
    <x v="3"/>
    <x v="3"/>
    <x v="3"/>
    <x v="2"/>
    <n v="17"/>
    <n v="50855"/>
    <n v="864535"/>
    <x v="0"/>
  </r>
  <r>
    <s v="2024-01-02"/>
    <s v="martes"/>
    <x v="11"/>
    <s v="2024"/>
    <x v="3"/>
    <x v="2"/>
    <x v="4"/>
    <x v="1"/>
    <x v="0"/>
    <n v="17"/>
    <n v="36333"/>
    <n v="617661"/>
    <x v="1"/>
  </r>
  <r>
    <s v="2024-10-29"/>
    <s v="martes"/>
    <x v="8"/>
    <s v="2024"/>
    <x v="3"/>
    <x v="1"/>
    <x v="0"/>
    <x v="0"/>
    <x v="2"/>
    <n v="17"/>
    <n v="22335"/>
    <n v="379695"/>
    <x v="0"/>
  </r>
  <r>
    <s v="2024-09-02"/>
    <s v="lunes"/>
    <x v="1"/>
    <s v="2024"/>
    <x v="3"/>
    <x v="1"/>
    <x v="3"/>
    <x v="1"/>
    <x v="2"/>
    <n v="5"/>
    <n v="34703"/>
    <n v="173515"/>
    <x v="1"/>
  </r>
  <r>
    <s v="2024-03-31"/>
    <s v="domingo"/>
    <x v="6"/>
    <s v="2024"/>
    <x v="3"/>
    <x v="1"/>
    <x v="3"/>
    <x v="2"/>
    <x v="0"/>
    <n v="4"/>
    <n v="17660"/>
    <n v="70640"/>
    <x v="3"/>
  </r>
  <r>
    <s v="2024-05-26"/>
    <s v="domingo"/>
    <x v="4"/>
    <s v="2024"/>
    <x v="0"/>
    <x v="2"/>
    <x v="3"/>
    <x v="1"/>
    <x v="0"/>
    <n v="17"/>
    <n v="54607"/>
    <n v="928319"/>
    <x v="1"/>
  </r>
  <r>
    <s v="2024-02-06"/>
    <s v="martes"/>
    <x v="10"/>
    <s v="2024"/>
    <x v="1"/>
    <x v="0"/>
    <x v="3"/>
    <x v="4"/>
    <x v="0"/>
    <n v="11"/>
    <n v="40196"/>
    <n v="442156"/>
    <x v="2"/>
  </r>
  <r>
    <s v="2024-11-28"/>
    <s v="jueves"/>
    <x v="5"/>
    <s v="2024"/>
    <x v="3"/>
    <x v="4"/>
    <x v="2"/>
    <x v="3"/>
    <x v="2"/>
    <n v="5"/>
    <n v="46244"/>
    <n v="231220"/>
    <x v="2"/>
  </r>
  <r>
    <s v="2024-06-08"/>
    <s v="sábado"/>
    <x v="9"/>
    <s v="2024"/>
    <x v="4"/>
    <x v="3"/>
    <x v="4"/>
    <x v="1"/>
    <x v="2"/>
    <n v="10"/>
    <n v="58318"/>
    <n v="583180"/>
    <x v="1"/>
  </r>
  <r>
    <s v="2024-04-16"/>
    <s v="martes"/>
    <x v="3"/>
    <s v="2024"/>
    <x v="1"/>
    <x v="4"/>
    <x v="2"/>
    <x v="1"/>
    <x v="1"/>
    <n v="9"/>
    <n v="16283"/>
    <n v="146547"/>
    <x v="3"/>
  </r>
  <r>
    <s v="2024-06-25"/>
    <s v="martes"/>
    <x v="9"/>
    <s v="2024"/>
    <x v="3"/>
    <x v="1"/>
    <x v="4"/>
    <x v="3"/>
    <x v="2"/>
    <n v="10"/>
    <n v="23813"/>
    <n v="238130"/>
    <x v="3"/>
  </r>
  <r>
    <s v="2024-01-12"/>
    <s v="viernes"/>
    <x v="11"/>
    <s v="2024"/>
    <x v="2"/>
    <x v="2"/>
    <x v="1"/>
    <x v="1"/>
    <x v="0"/>
    <n v="7"/>
    <n v="53800"/>
    <n v="376600"/>
    <x v="0"/>
  </r>
  <r>
    <s v="2024-11-27"/>
    <s v="miércoles"/>
    <x v="5"/>
    <s v="2024"/>
    <x v="0"/>
    <x v="0"/>
    <x v="4"/>
    <x v="4"/>
    <x v="1"/>
    <n v="6"/>
    <n v="24569"/>
    <n v="147414"/>
    <x v="2"/>
  </r>
  <r>
    <s v="2024-01-18"/>
    <s v="jueves"/>
    <x v="11"/>
    <s v="2024"/>
    <x v="0"/>
    <x v="3"/>
    <x v="4"/>
    <x v="1"/>
    <x v="0"/>
    <n v="18"/>
    <n v="46562"/>
    <n v="838116"/>
    <x v="1"/>
  </r>
  <r>
    <s v="2024-07-09"/>
    <s v="martes"/>
    <x v="0"/>
    <s v="2024"/>
    <x v="3"/>
    <x v="0"/>
    <x v="1"/>
    <x v="1"/>
    <x v="2"/>
    <n v="18"/>
    <n v="43965"/>
    <n v="791370"/>
    <x v="1"/>
  </r>
  <r>
    <s v="2024-05-12"/>
    <s v="domingo"/>
    <x v="4"/>
    <s v="2024"/>
    <x v="4"/>
    <x v="2"/>
    <x v="1"/>
    <x v="0"/>
    <x v="1"/>
    <n v="20"/>
    <n v="54565"/>
    <n v="1091300"/>
    <x v="1"/>
  </r>
  <r>
    <s v="2024-11-29"/>
    <s v="viernes"/>
    <x v="5"/>
    <s v="2024"/>
    <x v="0"/>
    <x v="0"/>
    <x v="4"/>
    <x v="3"/>
    <x v="2"/>
    <n v="8"/>
    <n v="19371"/>
    <n v="154968"/>
    <x v="2"/>
  </r>
  <r>
    <s v="2024-01-11"/>
    <s v="jueves"/>
    <x v="11"/>
    <s v="2024"/>
    <x v="1"/>
    <x v="1"/>
    <x v="4"/>
    <x v="2"/>
    <x v="2"/>
    <n v="15"/>
    <n v="20270"/>
    <n v="304050"/>
    <x v="2"/>
  </r>
  <r>
    <s v="2024-01-07"/>
    <s v="domingo"/>
    <x v="11"/>
    <s v="2024"/>
    <x v="4"/>
    <x v="3"/>
    <x v="1"/>
    <x v="0"/>
    <x v="2"/>
    <n v="13"/>
    <n v="32737"/>
    <n v="425581"/>
    <x v="2"/>
  </r>
  <r>
    <s v="2024-06-18"/>
    <s v="martes"/>
    <x v="9"/>
    <s v="2024"/>
    <x v="2"/>
    <x v="0"/>
    <x v="0"/>
    <x v="1"/>
    <x v="2"/>
    <n v="7"/>
    <n v="20274"/>
    <n v="141918"/>
    <x v="2"/>
  </r>
  <r>
    <s v="2024-11-25"/>
    <s v="lunes"/>
    <x v="5"/>
    <s v="2024"/>
    <x v="4"/>
    <x v="3"/>
    <x v="0"/>
    <x v="0"/>
    <x v="2"/>
    <n v="3"/>
    <n v="59480"/>
    <n v="178440"/>
    <x v="3"/>
  </r>
  <r>
    <s v="2024-01-15"/>
    <s v="lunes"/>
    <x v="11"/>
    <s v="2024"/>
    <x v="3"/>
    <x v="2"/>
    <x v="2"/>
    <x v="2"/>
    <x v="1"/>
    <n v="11"/>
    <n v="36165"/>
    <n v="397815"/>
    <x v="2"/>
  </r>
  <r>
    <s v="2024-01-05"/>
    <s v="viernes"/>
    <x v="11"/>
    <s v="2024"/>
    <x v="3"/>
    <x v="2"/>
    <x v="4"/>
    <x v="2"/>
    <x v="1"/>
    <n v="15"/>
    <n v="27294"/>
    <n v="409410"/>
    <x v="0"/>
  </r>
  <r>
    <s v="2024-08-19"/>
    <s v="lunes"/>
    <x v="2"/>
    <s v="2024"/>
    <x v="1"/>
    <x v="1"/>
    <x v="1"/>
    <x v="2"/>
    <x v="1"/>
    <n v="4"/>
    <n v="16336"/>
    <n v="65344"/>
    <x v="2"/>
  </r>
  <r>
    <s v="2024-09-26"/>
    <s v="jueves"/>
    <x v="1"/>
    <s v="2024"/>
    <x v="3"/>
    <x v="1"/>
    <x v="0"/>
    <x v="1"/>
    <x v="0"/>
    <n v="19"/>
    <n v="37177"/>
    <n v="706363"/>
    <x v="3"/>
  </r>
  <r>
    <s v="2024-07-03"/>
    <s v="miércoles"/>
    <x v="0"/>
    <s v="2024"/>
    <x v="3"/>
    <x v="2"/>
    <x v="3"/>
    <x v="1"/>
    <x v="2"/>
    <n v="17"/>
    <n v="26960"/>
    <n v="458320"/>
    <x v="0"/>
  </r>
  <r>
    <s v="2024-02-08"/>
    <s v="jueves"/>
    <x v="10"/>
    <s v="2024"/>
    <x v="2"/>
    <x v="2"/>
    <x v="3"/>
    <x v="4"/>
    <x v="1"/>
    <n v="20"/>
    <n v="30071"/>
    <n v="601420"/>
    <x v="2"/>
  </r>
  <r>
    <s v="2024-11-08"/>
    <s v="viernes"/>
    <x v="5"/>
    <s v="2024"/>
    <x v="2"/>
    <x v="0"/>
    <x v="2"/>
    <x v="0"/>
    <x v="0"/>
    <n v="6"/>
    <n v="52392"/>
    <n v="314352"/>
    <x v="1"/>
  </r>
  <r>
    <s v="2024-02-23"/>
    <s v="viernes"/>
    <x v="10"/>
    <s v="2024"/>
    <x v="2"/>
    <x v="2"/>
    <x v="2"/>
    <x v="2"/>
    <x v="1"/>
    <n v="7"/>
    <n v="39605"/>
    <n v="277235"/>
    <x v="1"/>
  </r>
  <r>
    <s v="2024-12-08"/>
    <s v="domingo"/>
    <x v="7"/>
    <s v="2024"/>
    <x v="2"/>
    <x v="0"/>
    <x v="0"/>
    <x v="1"/>
    <x v="0"/>
    <n v="14"/>
    <n v="17969"/>
    <n v="251566"/>
    <x v="1"/>
  </r>
  <r>
    <s v="2024-06-26"/>
    <s v="miércoles"/>
    <x v="9"/>
    <s v="2024"/>
    <x v="0"/>
    <x v="1"/>
    <x v="4"/>
    <x v="1"/>
    <x v="1"/>
    <n v="11"/>
    <n v="49411"/>
    <n v="543521"/>
    <x v="0"/>
  </r>
  <r>
    <s v="2024-02-10"/>
    <s v="sábado"/>
    <x v="10"/>
    <s v="2024"/>
    <x v="4"/>
    <x v="1"/>
    <x v="3"/>
    <x v="3"/>
    <x v="1"/>
    <n v="13"/>
    <n v="41983"/>
    <n v="545779"/>
    <x v="1"/>
  </r>
  <r>
    <s v="2024-10-04"/>
    <s v="viernes"/>
    <x v="8"/>
    <s v="2024"/>
    <x v="3"/>
    <x v="4"/>
    <x v="1"/>
    <x v="4"/>
    <x v="1"/>
    <n v="12"/>
    <n v="18309"/>
    <n v="219708"/>
    <x v="3"/>
  </r>
  <r>
    <s v="2024-10-28"/>
    <s v="lunes"/>
    <x v="8"/>
    <s v="2024"/>
    <x v="3"/>
    <x v="0"/>
    <x v="2"/>
    <x v="0"/>
    <x v="1"/>
    <n v="15"/>
    <n v="48274"/>
    <n v="724110"/>
    <x v="3"/>
  </r>
  <r>
    <s v="2024-02-14"/>
    <s v="miércoles"/>
    <x v="10"/>
    <s v="2024"/>
    <x v="4"/>
    <x v="4"/>
    <x v="2"/>
    <x v="3"/>
    <x v="1"/>
    <n v="8"/>
    <n v="42125"/>
    <n v="337000"/>
    <x v="2"/>
  </r>
  <r>
    <s v="2024-03-23"/>
    <s v="sábado"/>
    <x v="6"/>
    <s v="2024"/>
    <x v="4"/>
    <x v="4"/>
    <x v="2"/>
    <x v="4"/>
    <x v="2"/>
    <n v="2"/>
    <n v="42404"/>
    <n v="84808"/>
    <x v="0"/>
  </r>
  <r>
    <s v="2024-08-05"/>
    <s v="lunes"/>
    <x v="2"/>
    <s v="2024"/>
    <x v="3"/>
    <x v="1"/>
    <x v="2"/>
    <x v="1"/>
    <x v="2"/>
    <n v="20"/>
    <n v="28971"/>
    <n v="579420"/>
    <x v="2"/>
  </r>
  <r>
    <s v="2024-01-09"/>
    <s v="martes"/>
    <x v="11"/>
    <s v="2024"/>
    <x v="1"/>
    <x v="3"/>
    <x v="0"/>
    <x v="1"/>
    <x v="2"/>
    <n v="5"/>
    <n v="24654"/>
    <n v="123270"/>
    <x v="3"/>
  </r>
  <r>
    <s v="2024-08-05"/>
    <s v="lunes"/>
    <x v="2"/>
    <s v="2024"/>
    <x v="1"/>
    <x v="2"/>
    <x v="2"/>
    <x v="4"/>
    <x v="0"/>
    <n v="2"/>
    <n v="50289"/>
    <n v="100578"/>
    <x v="0"/>
  </r>
  <r>
    <s v="2024-06-18"/>
    <s v="martes"/>
    <x v="9"/>
    <s v="2024"/>
    <x v="2"/>
    <x v="4"/>
    <x v="0"/>
    <x v="0"/>
    <x v="2"/>
    <n v="4"/>
    <n v="21995"/>
    <n v="87980"/>
    <x v="1"/>
  </r>
  <r>
    <s v="2024-07-31"/>
    <s v="miércoles"/>
    <x v="0"/>
    <s v="2024"/>
    <x v="0"/>
    <x v="1"/>
    <x v="3"/>
    <x v="4"/>
    <x v="0"/>
    <n v="5"/>
    <n v="25949"/>
    <n v="129745"/>
    <x v="2"/>
  </r>
  <r>
    <s v="2024-05-04"/>
    <s v="sábado"/>
    <x v="4"/>
    <s v="2024"/>
    <x v="4"/>
    <x v="2"/>
    <x v="3"/>
    <x v="1"/>
    <x v="2"/>
    <n v="9"/>
    <n v="35827"/>
    <n v="322443"/>
    <x v="3"/>
  </r>
  <r>
    <s v="2024-12-08"/>
    <s v="domingo"/>
    <x v="7"/>
    <s v="2024"/>
    <x v="3"/>
    <x v="0"/>
    <x v="1"/>
    <x v="2"/>
    <x v="2"/>
    <n v="6"/>
    <n v="30882"/>
    <n v="185292"/>
    <x v="1"/>
  </r>
  <r>
    <s v="2024-08-08"/>
    <s v="jueves"/>
    <x v="2"/>
    <s v="2024"/>
    <x v="1"/>
    <x v="4"/>
    <x v="1"/>
    <x v="3"/>
    <x v="0"/>
    <n v="2"/>
    <n v="39674"/>
    <n v="79348"/>
    <x v="3"/>
  </r>
  <r>
    <s v="2024-09-29"/>
    <s v="domingo"/>
    <x v="1"/>
    <s v="2024"/>
    <x v="2"/>
    <x v="0"/>
    <x v="2"/>
    <x v="4"/>
    <x v="1"/>
    <n v="4"/>
    <n v="44252"/>
    <n v="177008"/>
    <x v="1"/>
  </r>
  <r>
    <s v="2024-02-03"/>
    <s v="sábado"/>
    <x v="10"/>
    <s v="2024"/>
    <x v="4"/>
    <x v="3"/>
    <x v="3"/>
    <x v="0"/>
    <x v="1"/>
    <n v="14"/>
    <n v="46213"/>
    <n v="646982"/>
    <x v="2"/>
  </r>
  <r>
    <s v="2024-08-03"/>
    <s v="sábado"/>
    <x v="2"/>
    <s v="2024"/>
    <x v="4"/>
    <x v="2"/>
    <x v="1"/>
    <x v="2"/>
    <x v="1"/>
    <n v="11"/>
    <n v="28950"/>
    <n v="318450"/>
    <x v="2"/>
  </r>
  <r>
    <s v="2024-02-01"/>
    <s v="jueves"/>
    <x v="10"/>
    <s v="2024"/>
    <x v="1"/>
    <x v="2"/>
    <x v="3"/>
    <x v="1"/>
    <x v="0"/>
    <n v="15"/>
    <n v="51198"/>
    <n v="767970"/>
    <x v="0"/>
  </r>
  <r>
    <s v="2024-08-28"/>
    <s v="miércoles"/>
    <x v="2"/>
    <s v="2024"/>
    <x v="1"/>
    <x v="4"/>
    <x v="2"/>
    <x v="1"/>
    <x v="2"/>
    <n v="13"/>
    <n v="35685"/>
    <n v="463905"/>
    <x v="2"/>
  </r>
  <r>
    <s v="2024-04-29"/>
    <s v="lunes"/>
    <x v="3"/>
    <s v="2024"/>
    <x v="0"/>
    <x v="1"/>
    <x v="3"/>
    <x v="3"/>
    <x v="2"/>
    <n v="2"/>
    <n v="50002"/>
    <n v="100004"/>
    <x v="3"/>
  </r>
  <r>
    <s v="2024-03-21"/>
    <s v="jueves"/>
    <x v="6"/>
    <s v="2024"/>
    <x v="2"/>
    <x v="3"/>
    <x v="3"/>
    <x v="4"/>
    <x v="1"/>
    <n v="3"/>
    <n v="52961"/>
    <n v="158883"/>
    <x v="3"/>
  </r>
  <r>
    <s v="2024-12-19"/>
    <s v="jueves"/>
    <x v="7"/>
    <s v="2024"/>
    <x v="2"/>
    <x v="3"/>
    <x v="4"/>
    <x v="3"/>
    <x v="0"/>
    <n v="6"/>
    <n v="55535"/>
    <n v="333210"/>
    <x v="0"/>
  </r>
  <r>
    <s v="2024-05-17"/>
    <s v="viernes"/>
    <x v="4"/>
    <s v="2024"/>
    <x v="4"/>
    <x v="1"/>
    <x v="1"/>
    <x v="3"/>
    <x v="2"/>
    <n v="15"/>
    <n v="52249"/>
    <n v="783735"/>
    <x v="0"/>
  </r>
  <r>
    <s v="2024-07-07"/>
    <s v="domingo"/>
    <x v="0"/>
    <s v="2024"/>
    <x v="1"/>
    <x v="0"/>
    <x v="3"/>
    <x v="2"/>
    <x v="2"/>
    <n v="5"/>
    <n v="46603"/>
    <n v="233015"/>
    <x v="3"/>
  </r>
  <r>
    <s v="2024-02-16"/>
    <s v="viernes"/>
    <x v="10"/>
    <s v="2024"/>
    <x v="3"/>
    <x v="4"/>
    <x v="0"/>
    <x v="1"/>
    <x v="2"/>
    <n v="12"/>
    <n v="20205"/>
    <n v="242460"/>
    <x v="2"/>
  </r>
  <r>
    <s v="2024-05-18"/>
    <s v="sábado"/>
    <x v="4"/>
    <s v="2024"/>
    <x v="2"/>
    <x v="4"/>
    <x v="4"/>
    <x v="4"/>
    <x v="2"/>
    <n v="16"/>
    <n v="58006"/>
    <n v="928096"/>
    <x v="1"/>
  </r>
  <r>
    <s v="2024-07-04"/>
    <s v="jueves"/>
    <x v="0"/>
    <s v="2024"/>
    <x v="2"/>
    <x v="4"/>
    <x v="4"/>
    <x v="3"/>
    <x v="0"/>
    <n v="4"/>
    <n v="58844"/>
    <n v="235376"/>
    <x v="3"/>
  </r>
  <r>
    <s v="2024-11-18"/>
    <s v="lunes"/>
    <x v="5"/>
    <s v="2024"/>
    <x v="2"/>
    <x v="1"/>
    <x v="3"/>
    <x v="0"/>
    <x v="2"/>
    <n v="16"/>
    <n v="21712"/>
    <n v="347392"/>
    <x v="1"/>
  </r>
  <r>
    <s v="2024-08-05"/>
    <s v="lunes"/>
    <x v="2"/>
    <s v="2024"/>
    <x v="3"/>
    <x v="2"/>
    <x v="3"/>
    <x v="2"/>
    <x v="1"/>
    <n v="11"/>
    <n v="24469"/>
    <n v="269159"/>
    <x v="3"/>
  </r>
  <r>
    <s v="2024-08-28"/>
    <s v="miércoles"/>
    <x v="2"/>
    <s v="2024"/>
    <x v="1"/>
    <x v="3"/>
    <x v="0"/>
    <x v="4"/>
    <x v="2"/>
    <n v="6"/>
    <n v="51627"/>
    <n v="309762"/>
    <x v="3"/>
  </r>
  <r>
    <s v="2024-04-11"/>
    <s v="jueves"/>
    <x v="3"/>
    <s v="2024"/>
    <x v="1"/>
    <x v="4"/>
    <x v="2"/>
    <x v="2"/>
    <x v="2"/>
    <n v="19"/>
    <n v="36457"/>
    <n v="692683"/>
    <x v="0"/>
  </r>
  <r>
    <s v="2024-12-07"/>
    <s v="sábado"/>
    <x v="7"/>
    <s v="2024"/>
    <x v="0"/>
    <x v="2"/>
    <x v="1"/>
    <x v="3"/>
    <x v="2"/>
    <n v="18"/>
    <n v="55152"/>
    <n v="992736"/>
    <x v="3"/>
  </r>
  <r>
    <s v="2024-02-18"/>
    <s v="domingo"/>
    <x v="10"/>
    <s v="2024"/>
    <x v="2"/>
    <x v="2"/>
    <x v="4"/>
    <x v="0"/>
    <x v="1"/>
    <n v="10"/>
    <n v="18823"/>
    <n v="188230"/>
    <x v="1"/>
  </r>
  <r>
    <s v="2024-03-09"/>
    <s v="sábado"/>
    <x v="6"/>
    <s v="2024"/>
    <x v="3"/>
    <x v="3"/>
    <x v="2"/>
    <x v="2"/>
    <x v="0"/>
    <n v="8"/>
    <n v="29258"/>
    <n v="234064"/>
    <x v="1"/>
  </r>
  <r>
    <s v="2024-10-09"/>
    <s v="miércoles"/>
    <x v="8"/>
    <s v="2024"/>
    <x v="1"/>
    <x v="3"/>
    <x v="0"/>
    <x v="2"/>
    <x v="1"/>
    <n v="1"/>
    <n v="43798"/>
    <n v="43798"/>
    <x v="0"/>
  </r>
  <r>
    <s v="2024-02-02"/>
    <s v="viernes"/>
    <x v="10"/>
    <s v="2024"/>
    <x v="2"/>
    <x v="4"/>
    <x v="2"/>
    <x v="4"/>
    <x v="2"/>
    <n v="6"/>
    <n v="29270"/>
    <n v="175620"/>
    <x v="1"/>
  </r>
  <r>
    <s v="2024-02-21"/>
    <s v="miércoles"/>
    <x v="10"/>
    <s v="2024"/>
    <x v="2"/>
    <x v="3"/>
    <x v="2"/>
    <x v="0"/>
    <x v="1"/>
    <n v="16"/>
    <n v="49720"/>
    <n v="795520"/>
    <x v="0"/>
  </r>
  <r>
    <s v="2024-09-10"/>
    <s v="martes"/>
    <x v="1"/>
    <s v="2024"/>
    <x v="0"/>
    <x v="3"/>
    <x v="0"/>
    <x v="1"/>
    <x v="0"/>
    <n v="3"/>
    <n v="28920"/>
    <n v="86760"/>
    <x v="0"/>
  </r>
  <r>
    <s v="2024-10-28"/>
    <s v="lunes"/>
    <x v="8"/>
    <s v="2024"/>
    <x v="3"/>
    <x v="2"/>
    <x v="3"/>
    <x v="0"/>
    <x v="2"/>
    <n v="2"/>
    <n v="35746"/>
    <n v="71492"/>
    <x v="2"/>
  </r>
  <r>
    <s v="2024-05-22"/>
    <s v="miércoles"/>
    <x v="4"/>
    <s v="2024"/>
    <x v="1"/>
    <x v="2"/>
    <x v="3"/>
    <x v="2"/>
    <x v="1"/>
    <n v="20"/>
    <n v="46484"/>
    <n v="929680"/>
    <x v="1"/>
  </r>
  <r>
    <s v="2024-06-30"/>
    <s v="domingo"/>
    <x v="9"/>
    <s v="2024"/>
    <x v="2"/>
    <x v="4"/>
    <x v="4"/>
    <x v="4"/>
    <x v="2"/>
    <n v="10"/>
    <n v="59848"/>
    <n v="598480"/>
    <x v="2"/>
  </r>
  <r>
    <s v="2024-10-29"/>
    <s v="martes"/>
    <x v="8"/>
    <s v="2024"/>
    <x v="4"/>
    <x v="0"/>
    <x v="2"/>
    <x v="3"/>
    <x v="1"/>
    <n v="5"/>
    <n v="56732"/>
    <n v="283660"/>
    <x v="1"/>
  </r>
  <r>
    <s v="2024-07-14"/>
    <s v="domingo"/>
    <x v="0"/>
    <s v="2024"/>
    <x v="2"/>
    <x v="2"/>
    <x v="3"/>
    <x v="0"/>
    <x v="0"/>
    <n v="3"/>
    <n v="57457"/>
    <n v="172371"/>
    <x v="0"/>
  </r>
  <r>
    <s v="2024-07-17"/>
    <s v="miércoles"/>
    <x v="0"/>
    <s v="2024"/>
    <x v="4"/>
    <x v="3"/>
    <x v="4"/>
    <x v="4"/>
    <x v="0"/>
    <n v="19"/>
    <n v="36508"/>
    <n v="693652"/>
    <x v="3"/>
  </r>
  <r>
    <s v="2024-09-19"/>
    <s v="jueves"/>
    <x v="1"/>
    <s v="2024"/>
    <x v="1"/>
    <x v="3"/>
    <x v="4"/>
    <x v="2"/>
    <x v="2"/>
    <n v="3"/>
    <n v="19978"/>
    <n v="59934"/>
    <x v="2"/>
  </r>
  <r>
    <s v="2024-04-05"/>
    <s v="viernes"/>
    <x v="3"/>
    <s v="2024"/>
    <x v="2"/>
    <x v="1"/>
    <x v="2"/>
    <x v="2"/>
    <x v="0"/>
    <n v="3"/>
    <n v="49699"/>
    <n v="149097"/>
    <x v="2"/>
  </r>
  <r>
    <s v="2024-03-07"/>
    <s v="jueves"/>
    <x v="6"/>
    <s v="2024"/>
    <x v="3"/>
    <x v="4"/>
    <x v="0"/>
    <x v="4"/>
    <x v="2"/>
    <n v="2"/>
    <n v="19211"/>
    <n v="38422"/>
    <x v="0"/>
  </r>
  <r>
    <s v="2024-08-23"/>
    <s v="viernes"/>
    <x v="2"/>
    <s v="2024"/>
    <x v="2"/>
    <x v="2"/>
    <x v="1"/>
    <x v="2"/>
    <x v="0"/>
    <n v="4"/>
    <n v="53274"/>
    <n v="213096"/>
    <x v="2"/>
  </r>
  <r>
    <s v="2024-02-12"/>
    <s v="lunes"/>
    <x v="10"/>
    <s v="2024"/>
    <x v="1"/>
    <x v="1"/>
    <x v="3"/>
    <x v="2"/>
    <x v="0"/>
    <n v="13"/>
    <n v="48904"/>
    <n v="635752"/>
    <x v="1"/>
  </r>
  <r>
    <s v="2024-11-18"/>
    <s v="lunes"/>
    <x v="5"/>
    <s v="2024"/>
    <x v="3"/>
    <x v="1"/>
    <x v="4"/>
    <x v="4"/>
    <x v="1"/>
    <n v="14"/>
    <n v="39339"/>
    <n v="550746"/>
    <x v="1"/>
  </r>
  <r>
    <s v="2024-03-04"/>
    <s v="lunes"/>
    <x v="6"/>
    <s v="2024"/>
    <x v="1"/>
    <x v="0"/>
    <x v="1"/>
    <x v="2"/>
    <x v="2"/>
    <n v="12"/>
    <n v="19604"/>
    <n v="235248"/>
    <x v="1"/>
  </r>
  <r>
    <s v="2024-11-02"/>
    <s v="sábado"/>
    <x v="5"/>
    <s v="2024"/>
    <x v="3"/>
    <x v="3"/>
    <x v="2"/>
    <x v="2"/>
    <x v="2"/>
    <n v="11"/>
    <n v="26499"/>
    <n v="291489"/>
    <x v="2"/>
  </r>
  <r>
    <s v="2024-10-02"/>
    <s v="miércoles"/>
    <x v="8"/>
    <s v="2024"/>
    <x v="3"/>
    <x v="2"/>
    <x v="3"/>
    <x v="3"/>
    <x v="1"/>
    <n v="6"/>
    <n v="29692"/>
    <n v="178152"/>
    <x v="2"/>
  </r>
  <r>
    <s v="2024-02-24"/>
    <s v="sábado"/>
    <x v="10"/>
    <s v="2024"/>
    <x v="0"/>
    <x v="0"/>
    <x v="3"/>
    <x v="4"/>
    <x v="0"/>
    <n v="4"/>
    <n v="38244"/>
    <n v="152976"/>
    <x v="3"/>
  </r>
  <r>
    <s v="2024-02-20"/>
    <s v="martes"/>
    <x v="10"/>
    <s v="2024"/>
    <x v="2"/>
    <x v="2"/>
    <x v="0"/>
    <x v="1"/>
    <x v="2"/>
    <n v="2"/>
    <n v="41769"/>
    <n v="83538"/>
    <x v="2"/>
  </r>
  <r>
    <s v="2024-06-21"/>
    <s v="viernes"/>
    <x v="9"/>
    <s v="2024"/>
    <x v="2"/>
    <x v="2"/>
    <x v="0"/>
    <x v="0"/>
    <x v="1"/>
    <n v="18"/>
    <n v="56124"/>
    <n v="1010232"/>
    <x v="2"/>
  </r>
  <r>
    <s v="2024-01-04"/>
    <s v="jueves"/>
    <x v="11"/>
    <s v="2024"/>
    <x v="2"/>
    <x v="4"/>
    <x v="3"/>
    <x v="4"/>
    <x v="2"/>
    <n v="9"/>
    <n v="28770"/>
    <n v="258930"/>
    <x v="3"/>
  </r>
  <r>
    <s v="2024-05-25"/>
    <s v="sábado"/>
    <x v="4"/>
    <s v="2024"/>
    <x v="4"/>
    <x v="4"/>
    <x v="2"/>
    <x v="4"/>
    <x v="2"/>
    <n v="10"/>
    <n v="38089"/>
    <n v="380890"/>
    <x v="1"/>
  </r>
  <r>
    <s v="2024-10-09"/>
    <s v="miércoles"/>
    <x v="8"/>
    <s v="2024"/>
    <x v="2"/>
    <x v="4"/>
    <x v="3"/>
    <x v="3"/>
    <x v="1"/>
    <n v="2"/>
    <n v="28715"/>
    <n v="57430"/>
    <x v="0"/>
  </r>
  <r>
    <s v="2024-10-11"/>
    <s v="viernes"/>
    <x v="8"/>
    <s v="2024"/>
    <x v="3"/>
    <x v="1"/>
    <x v="2"/>
    <x v="0"/>
    <x v="2"/>
    <n v="12"/>
    <n v="58537"/>
    <n v="702444"/>
    <x v="3"/>
  </r>
  <r>
    <s v="2024-01-29"/>
    <s v="lunes"/>
    <x v="11"/>
    <s v="2024"/>
    <x v="1"/>
    <x v="3"/>
    <x v="1"/>
    <x v="0"/>
    <x v="0"/>
    <n v="20"/>
    <n v="19703"/>
    <n v="394060"/>
    <x v="2"/>
  </r>
  <r>
    <s v="2024-04-19"/>
    <s v="viernes"/>
    <x v="3"/>
    <s v="2024"/>
    <x v="4"/>
    <x v="3"/>
    <x v="4"/>
    <x v="2"/>
    <x v="1"/>
    <n v="18"/>
    <n v="27230"/>
    <n v="490140"/>
    <x v="3"/>
  </r>
  <r>
    <s v="2024-08-27"/>
    <s v="martes"/>
    <x v="2"/>
    <s v="2024"/>
    <x v="2"/>
    <x v="4"/>
    <x v="1"/>
    <x v="1"/>
    <x v="1"/>
    <n v="9"/>
    <n v="43294"/>
    <n v="389646"/>
    <x v="1"/>
  </r>
  <r>
    <s v="2024-12-12"/>
    <s v="jueves"/>
    <x v="7"/>
    <s v="2024"/>
    <x v="2"/>
    <x v="2"/>
    <x v="3"/>
    <x v="0"/>
    <x v="0"/>
    <n v="15"/>
    <n v="33874"/>
    <n v="508110"/>
    <x v="1"/>
  </r>
  <r>
    <s v="2024-07-18"/>
    <s v="jueves"/>
    <x v="0"/>
    <s v="2024"/>
    <x v="2"/>
    <x v="3"/>
    <x v="1"/>
    <x v="1"/>
    <x v="2"/>
    <n v="18"/>
    <n v="39943"/>
    <n v="718974"/>
    <x v="2"/>
  </r>
  <r>
    <s v="2024-01-20"/>
    <s v="sábado"/>
    <x v="11"/>
    <s v="2024"/>
    <x v="4"/>
    <x v="2"/>
    <x v="3"/>
    <x v="4"/>
    <x v="0"/>
    <n v="5"/>
    <n v="52264"/>
    <n v="261320"/>
    <x v="1"/>
  </r>
  <r>
    <s v="2024-06-24"/>
    <s v="lunes"/>
    <x v="9"/>
    <s v="2024"/>
    <x v="3"/>
    <x v="1"/>
    <x v="1"/>
    <x v="1"/>
    <x v="1"/>
    <n v="16"/>
    <n v="46048"/>
    <n v="736768"/>
    <x v="1"/>
  </r>
  <r>
    <s v="2024-09-04"/>
    <s v="miércoles"/>
    <x v="1"/>
    <s v="2024"/>
    <x v="2"/>
    <x v="1"/>
    <x v="4"/>
    <x v="3"/>
    <x v="2"/>
    <n v="20"/>
    <n v="21625"/>
    <n v="432500"/>
    <x v="3"/>
  </r>
  <r>
    <s v="2024-01-31"/>
    <s v="miércoles"/>
    <x v="11"/>
    <s v="2024"/>
    <x v="3"/>
    <x v="1"/>
    <x v="0"/>
    <x v="1"/>
    <x v="2"/>
    <n v="3"/>
    <n v="51324"/>
    <n v="153972"/>
    <x v="0"/>
  </r>
  <r>
    <s v="2024-04-30"/>
    <s v="martes"/>
    <x v="3"/>
    <s v="2024"/>
    <x v="2"/>
    <x v="0"/>
    <x v="0"/>
    <x v="1"/>
    <x v="1"/>
    <n v="18"/>
    <n v="28265"/>
    <n v="508770"/>
    <x v="3"/>
  </r>
  <r>
    <s v="2024-06-24"/>
    <s v="lunes"/>
    <x v="9"/>
    <s v="2024"/>
    <x v="0"/>
    <x v="1"/>
    <x v="0"/>
    <x v="2"/>
    <x v="0"/>
    <n v="18"/>
    <n v="18859"/>
    <n v="339462"/>
    <x v="0"/>
  </r>
  <r>
    <s v="2024-09-10"/>
    <s v="martes"/>
    <x v="1"/>
    <s v="2024"/>
    <x v="1"/>
    <x v="1"/>
    <x v="4"/>
    <x v="2"/>
    <x v="2"/>
    <n v="14"/>
    <n v="31182"/>
    <n v="436548"/>
    <x v="3"/>
  </r>
  <r>
    <s v="2024-09-07"/>
    <s v="sábado"/>
    <x v="1"/>
    <s v="2024"/>
    <x v="4"/>
    <x v="4"/>
    <x v="1"/>
    <x v="4"/>
    <x v="1"/>
    <n v="15"/>
    <n v="53499"/>
    <n v="802485"/>
    <x v="1"/>
  </r>
  <r>
    <s v="2024-04-13"/>
    <s v="sábado"/>
    <x v="3"/>
    <s v="2024"/>
    <x v="1"/>
    <x v="3"/>
    <x v="3"/>
    <x v="1"/>
    <x v="1"/>
    <n v="1"/>
    <n v="59560"/>
    <n v="59560"/>
    <x v="0"/>
  </r>
  <r>
    <s v="2024-03-27"/>
    <s v="miércoles"/>
    <x v="6"/>
    <s v="2024"/>
    <x v="4"/>
    <x v="4"/>
    <x v="2"/>
    <x v="1"/>
    <x v="0"/>
    <n v="14"/>
    <n v="27823"/>
    <n v="389522"/>
    <x v="0"/>
  </r>
  <r>
    <s v="2024-07-08"/>
    <s v="lunes"/>
    <x v="0"/>
    <s v="2024"/>
    <x v="1"/>
    <x v="4"/>
    <x v="1"/>
    <x v="4"/>
    <x v="1"/>
    <n v="3"/>
    <n v="47120"/>
    <n v="141360"/>
    <x v="2"/>
  </r>
  <r>
    <s v="2024-01-17"/>
    <s v="miércoles"/>
    <x v="11"/>
    <s v="2024"/>
    <x v="0"/>
    <x v="0"/>
    <x v="2"/>
    <x v="0"/>
    <x v="1"/>
    <n v="16"/>
    <n v="47003"/>
    <n v="752048"/>
    <x v="3"/>
  </r>
  <r>
    <s v="2024-08-03"/>
    <s v="sábado"/>
    <x v="2"/>
    <s v="2024"/>
    <x v="0"/>
    <x v="4"/>
    <x v="0"/>
    <x v="3"/>
    <x v="0"/>
    <n v="6"/>
    <n v="47074"/>
    <n v="282444"/>
    <x v="2"/>
  </r>
  <r>
    <s v="2024-08-26"/>
    <s v="lunes"/>
    <x v="2"/>
    <s v="2024"/>
    <x v="0"/>
    <x v="4"/>
    <x v="2"/>
    <x v="3"/>
    <x v="1"/>
    <n v="19"/>
    <n v="44527"/>
    <n v="846013"/>
    <x v="0"/>
  </r>
  <r>
    <s v="2024-02-23"/>
    <s v="viernes"/>
    <x v="10"/>
    <s v="2024"/>
    <x v="2"/>
    <x v="4"/>
    <x v="0"/>
    <x v="3"/>
    <x v="0"/>
    <n v="9"/>
    <n v="41441"/>
    <n v="372969"/>
    <x v="3"/>
  </r>
  <r>
    <s v="2024-04-15"/>
    <s v="lunes"/>
    <x v="3"/>
    <s v="2024"/>
    <x v="1"/>
    <x v="2"/>
    <x v="0"/>
    <x v="1"/>
    <x v="2"/>
    <n v="19"/>
    <n v="39002"/>
    <n v="741038"/>
    <x v="2"/>
  </r>
  <r>
    <s v="2024-05-25"/>
    <s v="sábado"/>
    <x v="4"/>
    <s v="2024"/>
    <x v="3"/>
    <x v="1"/>
    <x v="3"/>
    <x v="2"/>
    <x v="1"/>
    <n v="18"/>
    <n v="19162"/>
    <n v="344916"/>
    <x v="0"/>
  </r>
  <r>
    <s v="2024-12-24"/>
    <s v="martes"/>
    <x v="7"/>
    <s v="2024"/>
    <x v="2"/>
    <x v="0"/>
    <x v="2"/>
    <x v="1"/>
    <x v="2"/>
    <n v="20"/>
    <n v="36838"/>
    <n v="736760"/>
    <x v="0"/>
  </r>
  <r>
    <s v="2024-06-26"/>
    <s v="miércoles"/>
    <x v="9"/>
    <s v="2024"/>
    <x v="0"/>
    <x v="4"/>
    <x v="4"/>
    <x v="1"/>
    <x v="0"/>
    <n v="10"/>
    <n v="15694"/>
    <n v="156940"/>
    <x v="0"/>
  </r>
  <r>
    <s v="2024-07-06"/>
    <s v="sábado"/>
    <x v="0"/>
    <s v="2024"/>
    <x v="1"/>
    <x v="2"/>
    <x v="1"/>
    <x v="0"/>
    <x v="0"/>
    <n v="6"/>
    <n v="52004"/>
    <n v="312024"/>
    <x v="0"/>
  </r>
  <r>
    <s v="2024-09-02"/>
    <s v="lunes"/>
    <x v="1"/>
    <s v="2024"/>
    <x v="3"/>
    <x v="1"/>
    <x v="3"/>
    <x v="0"/>
    <x v="1"/>
    <n v="1"/>
    <n v="21782"/>
    <n v="21782"/>
    <x v="0"/>
  </r>
  <r>
    <s v="2024-02-18"/>
    <s v="domingo"/>
    <x v="10"/>
    <s v="2024"/>
    <x v="4"/>
    <x v="2"/>
    <x v="3"/>
    <x v="3"/>
    <x v="1"/>
    <n v="12"/>
    <n v="35227"/>
    <n v="422724"/>
    <x v="1"/>
  </r>
  <r>
    <s v="2024-05-05"/>
    <s v="domingo"/>
    <x v="4"/>
    <s v="2024"/>
    <x v="1"/>
    <x v="3"/>
    <x v="2"/>
    <x v="4"/>
    <x v="2"/>
    <n v="18"/>
    <n v="50138"/>
    <n v="902484"/>
    <x v="3"/>
  </r>
  <r>
    <s v="2024-11-03"/>
    <s v="domingo"/>
    <x v="5"/>
    <s v="2024"/>
    <x v="0"/>
    <x v="1"/>
    <x v="3"/>
    <x v="0"/>
    <x v="1"/>
    <n v="19"/>
    <n v="47224"/>
    <n v="897256"/>
    <x v="2"/>
  </r>
  <r>
    <s v="2024-02-27"/>
    <s v="martes"/>
    <x v="10"/>
    <s v="2024"/>
    <x v="3"/>
    <x v="2"/>
    <x v="2"/>
    <x v="0"/>
    <x v="2"/>
    <n v="1"/>
    <n v="56842"/>
    <n v="56842"/>
    <x v="0"/>
  </r>
  <r>
    <s v="2024-01-17"/>
    <s v="miércoles"/>
    <x v="11"/>
    <s v="2024"/>
    <x v="1"/>
    <x v="2"/>
    <x v="4"/>
    <x v="2"/>
    <x v="2"/>
    <n v="12"/>
    <n v="37549"/>
    <n v="450588"/>
    <x v="1"/>
  </r>
  <r>
    <s v="2024-06-30"/>
    <s v="domingo"/>
    <x v="9"/>
    <s v="2024"/>
    <x v="2"/>
    <x v="1"/>
    <x v="1"/>
    <x v="3"/>
    <x v="2"/>
    <n v="9"/>
    <n v="32683"/>
    <n v="294147"/>
    <x v="3"/>
  </r>
  <r>
    <s v="2024-09-01"/>
    <s v="domingo"/>
    <x v="1"/>
    <s v="2024"/>
    <x v="4"/>
    <x v="1"/>
    <x v="1"/>
    <x v="2"/>
    <x v="0"/>
    <n v="1"/>
    <n v="47995"/>
    <n v="47995"/>
    <x v="3"/>
  </r>
  <r>
    <s v="2024-11-28"/>
    <s v="jueves"/>
    <x v="5"/>
    <s v="2024"/>
    <x v="4"/>
    <x v="2"/>
    <x v="4"/>
    <x v="3"/>
    <x v="2"/>
    <n v="9"/>
    <n v="51984"/>
    <n v="467856"/>
    <x v="2"/>
  </r>
  <r>
    <s v="2024-06-29"/>
    <s v="sábado"/>
    <x v="9"/>
    <s v="2024"/>
    <x v="0"/>
    <x v="3"/>
    <x v="3"/>
    <x v="0"/>
    <x v="2"/>
    <n v="20"/>
    <n v="20866"/>
    <n v="417320"/>
    <x v="3"/>
  </r>
  <r>
    <s v="2024-11-03"/>
    <s v="domingo"/>
    <x v="5"/>
    <s v="2024"/>
    <x v="4"/>
    <x v="2"/>
    <x v="4"/>
    <x v="4"/>
    <x v="0"/>
    <n v="19"/>
    <n v="49287"/>
    <n v="936453"/>
    <x v="0"/>
  </r>
  <r>
    <s v="2024-04-07"/>
    <s v="domingo"/>
    <x v="3"/>
    <s v="2024"/>
    <x v="2"/>
    <x v="2"/>
    <x v="2"/>
    <x v="1"/>
    <x v="0"/>
    <n v="9"/>
    <n v="55801"/>
    <n v="502209"/>
    <x v="1"/>
  </r>
  <r>
    <s v="2024-01-25"/>
    <s v="jueves"/>
    <x v="11"/>
    <s v="2024"/>
    <x v="0"/>
    <x v="0"/>
    <x v="4"/>
    <x v="3"/>
    <x v="2"/>
    <n v="19"/>
    <n v="45521"/>
    <n v="864899"/>
    <x v="1"/>
  </r>
  <r>
    <s v="2024-12-16"/>
    <s v="lunes"/>
    <x v="7"/>
    <s v="2024"/>
    <x v="2"/>
    <x v="3"/>
    <x v="3"/>
    <x v="4"/>
    <x v="1"/>
    <n v="15"/>
    <n v="24394"/>
    <n v="365910"/>
    <x v="2"/>
  </r>
  <r>
    <s v="2024-07-12"/>
    <s v="viernes"/>
    <x v="0"/>
    <s v="2024"/>
    <x v="2"/>
    <x v="3"/>
    <x v="4"/>
    <x v="3"/>
    <x v="0"/>
    <n v="14"/>
    <n v="51049"/>
    <n v="714686"/>
    <x v="3"/>
  </r>
  <r>
    <s v="2024-05-18"/>
    <s v="sábado"/>
    <x v="4"/>
    <s v="2024"/>
    <x v="4"/>
    <x v="3"/>
    <x v="1"/>
    <x v="0"/>
    <x v="0"/>
    <n v="10"/>
    <n v="38931"/>
    <n v="389310"/>
    <x v="2"/>
  </r>
  <r>
    <s v="2024-12-16"/>
    <s v="lunes"/>
    <x v="7"/>
    <s v="2024"/>
    <x v="2"/>
    <x v="1"/>
    <x v="1"/>
    <x v="1"/>
    <x v="0"/>
    <n v="18"/>
    <n v="28632"/>
    <n v="515376"/>
    <x v="3"/>
  </r>
  <r>
    <s v="2024-03-29"/>
    <s v="viernes"/>
    <x v="6"/>
    <s v="2024"/>
    <x v="2"/>
    <x v="4"/>
    <x v="3"/>
    <x v="0"/>
    <x v="0"/>
    <n v="6"/>
    <n v="48578"/>
    <n v="291468"/>
    <x v="0"/>
  </r>
  <r>
    <s v="2024-04-25"/>
    <s v="jueves"/>
    <x v="3"/>
    <s v="2024"/>
    <x v="0"/>
    <x v="3"/>
    <x v="2"/>
    <x v="3"/>
    <x v="0"/>
    <n v="19"/>
    <n v="20091"/>
    <n v="381729"/>
    <x v="3"/>
  </r>
  <r>
    <s v="2024-05-25"/>
    <s v="sábado"/>
    <x v="4"/>
    <s v="2024"/>
    <x v="1"/>
    <x v="4"/>
    <x v="4"/>
    <x v="0"/>
    <x v="0"/>
    <n v="3"/>
    <n v="31477"/>
    <n v="94431"/>
    <x v="0"/>
  </r>
  <r>
    <s v="2024-11-24"/>
    <s v="domingo"/>
    <x v="5"/>
    <s v="2024"/>
    <x v="1"/>
    <x v="2"/>
    <x v="3"/>
    <x v="2"/>
    <x v="2"/>
    <n v="9"/>
    <n v="26153"/>
    <n v="235377"/>
    <x v="0"/>
  </r>
  <r>
    <s v="2024-05-12"/>
    <s v="domingo"/>
    <x v="4"/>
    <s v="2024"/>
    <x v="1"/>
    <x v="2"/>
    <x v="3"/>
    <x v="0"/>
    <x v="0"/>
    <n v="17"/>
    <n v="59635"/>
    <n v="1013795"/>
    <x v="0"/>
  </r>
  <r>
    <s v="2024-02-11"/>
    <s v="domingo"/>
    <x v="10"/>
    <s v="2024"/>
    <x v="3"/>
    <x v="4"/>
    <x v="2"/>
    <x v="4"/>
    <x v="1"/>
    <n v="16"/>
    <n v="19570"/>
    <n v="313120"/>
    <x v="3"/>
  </r>
  <r>
    <s v="2024-12-27"/>
    <s v="viernes"/>
    <x v="7"/>
    <s v="2024"/>
    <x v="0"/>
    <x v="0"/>
    <x v="3"/>
    <x v="2"/>
    <x v="2"/>
    <n v="4"/>
    <n v="53844"/>
    <n v="215376"/>
    <x v="2"/>
  </r>
  <r>
    <s v="2024-08-29"/>
    <s v="jueves"/>
    <x v="2"/>
    <s v="2024"/>
    <x v="2"/>
    <x v="2"/>
    <x v="3"/>
    <x v="0"/>
    <x v="2"/>
    <n v="13"/>
    <n v="23226"/>
    <n v="301938"/>
    <x v="3"/>
  </r>
  <r>
    <s v="2024-03-01"/>
    <s v="viernes"/>
    <x v="6"/>
    <s v="2024"/>
    <x v="2"/>
    <x v="0"/>
    <x v="3"/>
    <x v="4"/>
    <x v="2"/>
    <n v="16"/>
    <n v="23191"/>
    <n v="371056"/>
    <x v="2"/>
  </r>
  <r>
    <s v="2024-04-08"/>
    <s v="lunes"/>
    <x v="3"/>
    <s v="2024"/>
    <x v="3"/>
    <x v="0"/>
    <x v="0"/>
    <x v="1"/>
    <x v="2"/>
    <n v="8"/>
    <n v="24904"/>
    <n v="199232"/>
    <x v="2"/>
  </r>
  <r>
    <s v="2024-07-29"/>
    <s v="lunes"/>
    <x v="0"/>
    <s v="2024"/>
    <x v="4"/>
    <x v="4"/>
    <x v="3"/>
    <x v="0"/>
    <x v="1"/>
    <n v="1"/>
    <n v="42548"/>
    <n v="42548"/>
    <x v="1"/>
  </r>
  <r>
    <s v="2024-03-07"/>
    <s v="jueves"/>
    <x v="6"/>
    <s v="2024"/>
    <x v="1"/>
    <x v="0"/>
    <x v="0"/>
    <x v="4"/>
    <x v="2"/>
    <n v="11"/>
    <n v="39613"/>
    <n v="435743"/>
    <x v="0"/>
  </r>
  <r>
    <s v="2024-07-29"/>
    <s v="lunes"/>
    <x v="0"/>
    <s v="2024"/>
    <x v="1"/>
    <x v="1"/>
    <x v="3"/>
    <x v="3"/>
    <x v="2"/>
    <n v="12"/>
    <n v="16323"/>
    <n v="195876"/>
    <x v="0"/>
  </r>
  <r>
    <s v="2024-12-28"/>
    <s v="sábado"/>
    <x v="7"/>
    <s v="2024"/>
    <x v="3"/>
    <x v="0"/>
    <x v="3"/>
    <x v="3"/>
    <x v="1"/>
    <n v="15"/>
    <n v="59690"/>
    <n v="895350"/>
    <x v="0"/>
  </r>
  <r>
    <s v="2024-04-07"/>
    <s v="domingo"/>
    <x v="3"/>
    <s v="2024"/>
    <x v="1"/>
    <x v="1"/>
    <x v="4"/>
    <x v="2"/>
    <x v="0"/>
    <n v="4"/>
    <n v="20854"/>
    <n v="83416"/>
    <x v="1"/>
  </r>
  <r>
    <s v="2024-05-11"/>
    <s v="sábado"/>
    <x v="4"/>
    <s v="2024"/>
    <x v="3"/>
    <x v="0"/>
    <x v="3"/>
    <x v="3"/>
    <x v="2"/>
    <n v="17"/>
    <n v="18853"/>
    <n v="320501"/>
    <x v="0"/>
  </r>
  <r>
    <s v="2024-09-06"/>
    <s v="viernes"/>
    <x v="1"/>
    <s v="2024"/>
    <x v="1"/>
    <x v="0"/>
    <x v="2"/>
    <x v="3"/>
    <x v="2"/>
    <n v="7"/>
    <n v="56584"/>
    <n v="396088"/>
    <x v="1"/>
  </r>
  <r>
    <s v="2024-05-05"/>
    <s v="domingo"/>
    <x v="4"/>
    <s v="2024"/>
    <x v="2"/>
    <x v="0"/>
    <x v="4"/>
    <x v="0"/>
    <x v="0"/>
    <n v="9"/>
    <n v="43844"/>
    <n v="394596"/>
    <x v="0"/>
  </r>
  <r>
    <s v="2024-06-25"/>
    <s v="martes"/>
    <x v="9"/>
    <s v="2024"/>
    <x v="0"/>
    <x v="1"/>
    <x v="1"/>
    <x v="0"/>
    <x v="2"/>
    <n v="11"/>
    <n v="48399"/>
    <n v="532389"/>
    <x v="0"/>
  </r>
  <r>
    <s v="2024-02-22"/>
    <s v="jueves"/>
    <x v="10"/>
    <s v="2024"/>
    <x v="2"/>
    <x v="0"/>
    <x v="0"/>
    <x v="1"/>
    <x v="0"/>
    <n v="1"/>
    <n v="37499"/>
    <n v="37499"/>
    <x v="3"/>
  </r>
  <r>
    <s v="2024-10-15"/>
    <s v="martes"/>
    <x v="8"/>
    <s v="2024"/>
    <x v="3"/>
    <x v="0"/>
    <x v="1"/>
    <x v="1"/>
    <x v="0"/>
    <n v="18"/>
    <n v="22092"/>
    <n v="397656"/>
    <x v="1"/>
  </r>
  <r>
    <s v="2024-03-26"/>
    <s v="martes"/>
    <x v="6"/>
    <s v="2024"/>
    <x v="0"/>
    <x v="0"/>
    <x v="4"/>
    <x v="1"/>
    <x v="1"/>
    <n v="13"/>
    <n v="31539"/>
    <n v="410007"/>
    <x v="0"/>
  </r>
  <r>
    <s v="2024-07-24"/>
    <s v="miércoles"/>
    <x v="0"/>
    <s v="2024"/>
    <x v="1"/>
    <x v="3"/>
    <x v="2"/>
    <x v="0"/>
    <x v="0"/>
    <n v="5"/>
    <n v="20078"/>
    <n v="100390"/>
    <x v="0"/>
  </r>
  <r>
    <s v="2024-06-18"/>
    <s v="martes"/>
    <x v="9"/>
    <s v="2024"/>
    <x v="4"/>
    <x v="4"/>
    <x v="3"/>
    <x v="3"/>
    <x v="0"/>
    <n v="14"/>
    <n v="36418"/>
    <n v="509852"/>
    <x v="0"/>
  </r>
  <r>
    <s v="2024-04-10"/>
    <s v="miércoles"/>
    <x v="3"/>
    <s v="2024"/>
    <x v="4"/>
    <x v="0"/>
    <x v="3"/>
    <x v="2"/>
    <x v="2"/>
    <n v="19"/>
    <n v="44815"/>
    <n v="851485"/>
    <x v="0"/>
  </r>
  <r>
    <s v="2024-01-19"/>
    <s v="viernes"/>
    <x v="11"/>
    <s v="2024"/>
    <x v="4"/>
    <x v="3"/>
    <x v="2"/>
    <x v="2"/>
    <x v="0"/>
    <n v="19"/>
    <n v="38234"/>
    <n v="726446"/>
    <x v="3"/>
  </r>
  <r>
    <s v="2024-04-29"/>
    <s v="lunes"/>
    <x v="3"/>
    <s v="2024"/>
    <x v="2"/>
    <x v="2"/>
    <x v="3"/>
    <x v="2"/>
    <x v="1"/>
    <n v="2"/>
    <n v="27689"/>
    <n v="55378"/>
    <x v="0"/>
  </r>
  <r>
    <s v="2024-03-20"/>
    <s v="miércoles"/>
    <x v="6"/>
    <s v="2024"/>
    <x v="3"/>
    <x v="0"/>
    <x v="2"/>
    <x v="2"/>
    <x v="2"/>
    <n v="7"/>
    <n v="56681"/>
    <n v="396767"/>
    <x v="2"/>
  </r>
  <r>
    <s v="2024-09-07"/>
    <s v="sábado"/>
    <x v="1"/>
    <s v="2024"/>
    <x v="3"/>
    <x v="1"/>
    <x v="4"/>
    <x v="2"/>
    <x v="0"/>
    <n v="3"/>
    <n v="32701"/>
    <n v="98103"/>
    <x v="2"/>
  </r>
  <r>
    <s v="2024-10-07"/>
    <s v="lunes"/>
    <x v="8"/>
    <s v="2024"/>
    <x v="0"/>
    <x v="0"/>
    <x v="2"/>
    <x v="3"/>
    <x v="0"/>
    <n v="15"/>
    <n v="16943"/>
    <n v="254145"/>
    <x v="3"/>
  </r>
  <r>
    <s v="2024-11-18"/>
    <s v="lunes"/>
    <x v="5"/>
    <s v="2024"/>
    <x v="0"/>
    <x v="0"/>
    <x v="3"/>
    <x v="1"/>
    <x v="2"/>
    <n v="19"/>
    <n v="24079"/>
    <n v="457501"/>
    <x v="2"/>
  </r>
  <r>
    <s v="2024-02-17"/>
    <s v="sábado"/>
    <x v="10"/>
    <s v="2024"/>
    <x v="2"/>
    <x v="1"/>
    <x v="3"/>
    <x v="4"/>
    <x v="2"/>
    <n v="12"/>
    <n v="44797"/>
    <n v="537564"/>
    <x v="3"/>
  </r>
  <r>
    <s v="2024-06-25"/>
    <s v="martes"/>
    <x v="9"/>
    <s v="2024"/>
    <x v="2"/>
    <x v="1"/>
    <x v="2"/>
    <x v="0"/>
    <x v="0"/>
    <n v="17"/>
    <n v="39662"/>
    <n v="674254"/>
    <x v="3"/>
  </r>
  <r>
    <s v="2024-06-08"/>
    <s v="sábado"/>
    <x v="9"/>
    <s v="2024"/>
    <x v="0"/>
    <x v="0"/>
    <x v="4"/>
    <x v="2"/>
    <x v="2"/>
    <n v="16"/>
    <n v="45846"/>
    <n v="733536"/>
    <x v="1"/>
  </r>
  <r>
    <s v="2024-07-10"/>
    <s v="miércoles"/>
    <x v="0"/>
    <s v="2024"/>
    <x v="2"/>
    <x v="2"/>
    <x v="1"/>
    <x v="1"/>
    <x v="0"/>
    <n v="3"/>
    <n v="19009"/>
    <n v="57027"/>
    <x v="2"/>
  </r>
  <r>
    <s v="2024-07-02"/>
    <s v="martes"/>
    <x v="0"/>
    <s v="2024"/>
    <x v="1"/>
    <x v="0"/>
    <x v="2"/>
    <x v="3"/>
    <x v="0"/>
    <n v="1"/>
    <n v="59790"/>
    <n v="59790"/>
    <x v="2"/>
  </r>
  <r>
    <s v="2024-04-02"/>
    <s v="martes"/>
    <x v="3"/>
    <s v="2024"/>
    <x v="4"/>
    <x v="3"/>
    <x v="1"/>
    <x v="3"/>
    <x v="2"/>
    <n v="1"/>
    <n v="57236"/>
    <n v="57236"/>
    <x v="0"/>
  </r>
  <r>
    <s v="2024-10-20"/>
    <s v="domingo"/>
    <x v="8"/>
    <s v="2024"/>
    <x v="1"/>
    <x v="1"/>
    <x v="2"/>
    <x v="0"/>
    <x v="2"/>
    <n v="2"/>
    <n v="45234"/>
    <n v="90468"/>
    <x v="0"/>
  </r>
  <r>
    <s v="2024-02-06"/>
    <s v="martes"/>
    <x v="10"/>
    <s v="2024"/>
    <x v="2"/>
    <x v="2"/>
    <x v="2"/>
    <x v="1"/>
    <x v="0"/>
    <n v="7"/>
    <n v="20376"/>
    <n v="142632"/>
    <x v="3"/>
  </r>
  <r>
    <s v="2024-10-08"/>
    <s v="martes"/>
    <x v="8"/>
    <s v="2024"/>
    <x v="2"/>
    <x v="4"/>
    <x v="3"/>
    <x v="4"/>
    <x v="1"/>
    <n v="17"/>
    <n v="19400"/>
    <n v="329800"/>
    <x v="1"/>
  </r>
  <r>
    <s v="2024-10-10"/>
    <s v="jueves"/>
    <x v="8"/>
    <s v="2024"/>
    <x v="3"/>
    <x v="4"/>
    <x v="0"/>
    <x v="2"/>
    <x v="1"/>
    <n v="15"/>
    <n v="26580"/>
    <n v="398700"/>
    <x v="1"/>
  </r>
  <r>
    <s v="2024-11-18"/>
    <s v="lunes"/>
    <x v="5"/>
    <s v="2024"/>
    <x v="4"/>
    <x v="0"/>
    <x v="1"/>
    <x v="0"/>
    <x v="2"/>
    <n v="7"/>
    <n v="54155"/>
    <n v="379085"/>
    <x v="3"/>
  </r>
  <r>
    <s v="2024-03-18"/>
    <s v="lunes"/>
    <x v="6"/>
    <s v="2024"/>
    <x v="4"/>
    <x v="3"/>
    <x v="4"/>
    <x v="2"/>
    <x v="1"/>
    <n v="10"/>
    <n v="48254"/>
    <n v="482540"/>
    <x v="1"/>
  </r>
  <r>
    <s v="2024-11-08"/>
    <s v="viernes"/>
    <x v="5"/>
    <s v="2024"/>
    <x v="1"/>
    <x v="1"/>
    <x v="4"/>
    <x v="0"/>
    <x v="2"/>
    <n v="20"/>
    <n v="43175"/>
    <n v="863500"/>
    <x v="2"/>
  </r>
  <r>
    <s v="2024-12-02"/>
    <s v="lunes"/>
    <x v="7"/>
    <s v="2024"/>
    <x v="3"/>
    <x v="2"/>
    <x v="2"/>
    <x v="2"/>
    <x v="1"/>
    <n v="15"/>
    <n v="49444"/>
    <n v="741660"/>
    <x v="3"/>
  </r>
  <r>
    <s v="2024-03-17"/>
    <s v="domingo"/>
    <x v="6"/>
    <s v="2024"/>
    <x v="4"/>
    <x v="1"/>
    <x v="1"/>
    <x v="1"/>
    <x v="1"/>
    <n v="16"/>
    <n v="42935"/>
    <n v="686960"/>
    <x v="3"/>
  </r>
  <r>
    <s v="2024-02-27"/>
    <s v="martes"/>
    <x v="10"/>
    <s v="2024"/>
    <x v="4"/>
    <x v="1"/>
    <x v="0"/>
    <x v="4"/>
    <x v="2"/>
    <n v="16"/>
    <n v="55433"/>
    <n v="886928"/>
    <x v="3"/>
  </r>
  <r>
    <s v="2024-08-16"/>
    <s v="viernes"/>
    <x v="2"/>
    <s v="2024"/>
    <x v="3"/>
    <x v="1"/>
    <x v="2"/>
    <x v="0"/>
    <x v="2"/>
    <n v="3"/>
    <n v="17925"/>
    <n v="53775"/>
    <x v="3"/>
  </r>
  <r>
    <s v="2024-12-17"/>
    <s v="martes"/>
    <x v="7"/>
    <s v="2024"/>
    <x v="4"/>
    <x v="3"/>
    <x v="0"/>
    <x v="2"/>
    <x v="1"/>
    <n v="6"/>
    <n v="18406"/>
    <n v="110436"/>
    <x v="1"/>
  </r>
  <r>
    <s v="2024-06-16"/>
    <s v="domingo"/>
    <x v="9"/>
    <s v="2024"/>
    <x v="2"/>
    <x v="1"/>
    <x v="1"/>
    <x v="2"/>
    <x v="0"/>
    <n v="1"/>
    <n v="21961"/>
    <n v="21961"/>
    <x v="2"/>
  </r>
  <r>
    <s v="2024-05-29"/>
    <s v="miércoles"/>
    <x v="4"/>
    <s v="2024"/>
    <x v="4"/>
    <x v="1"/>
    <x v="4"/>
    <x v="3"/>
    <x v="2"/>
    <n v="11"/>
    <n v="21318"/>
    <n v="234498"/>
    <x v="2"/>
  </r>
  <r>
    <s v="2024-08-10"/>
    <s v="sábado"/>
    <x v="2"/>
    <s v="2024"/>
    <x v="4"/>
    <x v="1"/>
    <x v="0"/>
    <x v="2"/>
    <x v="1"/>
    <n v="10"/>
    <n v="25532"/>
    <n v="255320"/>
    <x v="2"/>
  </r>
  <r>
    <s v="2024-06-24"/>
    <s v="lunes"/>
    <x v="9"/>
    <s v="2024"/>
    <x v="2"/>
    <x v="4"/>
    <x v="1"/>
    <x v="4"/>
    <x v="1"/>
    <n v="13"/>
    <n v="53147"/>
    <n v="690911"/>
    <x v="2"/>
  </r>
  <r>
    <s v="2024-09-29"/>
    <s v="domingo"/>
    <x v="1"/>
    <s v="2024"/>
    <x v="2"/>
    <x v="1"/>
    <x v="2"/>
    <x v="0"/>
    <x v="0"/>
    <n v="11"/>
    <n v="44104"/>
    <n v="485144"/>
    <x v="2"/>
  </r>
  <r>
    <s v="2024-01-09"/>
    <s v="martes"/>
    <x v="11"/>
    <s v="2024"/>
    <x v="3"/>
    <x v="3"/>
    <x v="0"/>
    <x v="3"/>
    <x v="1"/>
    <n v="1"/>
    <n v="47358"/>
    <n v="47358"/>
    <x v="3"/>
  </r>
  <r>
    <s v="2024-05-30"/>
    <s v="jueves"/>
    <x v="4"/>
    <s v="2024"/>
    <x v="2"/>
    <x v="3"/>
    <x v="3"/>
    <x v="0"/>
    <x v="1"/>
    <n v="18"/>
    <n v="37818"/>
    <n v="680724"/>
    <x v="1"/>
  </r>
  <r>
    <s v="2024-06-03"/>
    <s v="lunes"/>
    <x v="9"/>
    <s v="2024"/>
    <x v="2"/>
    <x v="1"/>
    <x v="3"/>
    <x v="2"/>
    <x v="1"/>
    <n v="8"/>
    <n v="34758"/>
    <n v="278064"/>
    <x v="2"/>
  </r>
  <r>
    <s v="2024-09-15"/>
    <s v="domingo"/>
    <x v="1"/>
    <s v="2024"/>
    <x v="1"/>
    <x v="0"/>
    <x v="0"/>
    <x v="0"/>
    <x v="1"/>
    <n v="19"/>
    <n v="32944"/>
    <n v="625936"/>
    <x v="2"/>
  </r>
  <r>
    <s v="2024-01-07"/>
    <s v="domingo"/>
    <x v="11"/>
    <s v="2024"/>
    <x v="3"/>
    <x v="3"/>
    <x v="2"/>
    <x v="4"/>
    <x v="0"/>
    <n v="15"/>
    <n v="30118"/>
    <n v="451770"/>
    <x v="3"/>
  </r>
  <r>
    <s v="2024-10-29"/>
    <s v="martes"/>
    <x v="8"/>
    <s v="2024"/>
    <x v="1"/>
    <x v="1"/>
    <x v="4"/>
    <x v="3"/>
    <x v="1"/>
    <n v="6"/>
    <n v="53102"/>
    <n v="318612"/>
    <x v="3"/>
  </r>
  <r>
    <s v="2024-07-21"/>
    <s v="domingo"/>
    <x v="0"/>
    <s v="2024"/>
    <x v="4"/>
    <x v="4"/>
    <x v="3"/>
    <x v="0"/>
    <x v="0"/>
    <n v="20"/>
    <n v="17524"/>
    <n v="350480"/>
    <x v="0"/>
  </r>
  <r>
    <s v="2024-09-11"/>
    <s v="miércoles"/>
    <x v="1"/>
    <s v="2024"/>
    <x v="3"/>
    <x v="4"/>
    <x v="3"/>
    <x v="1"/>
    <x v="1"/>
    <n v="12"/>
    <n v="19449"/>
    <n v="233388"/>
    <x v="3"/>
  </r>
  <r>
    <s v="2024-09-23"/>
    <s v="lunes"/>
    <x v="1"/>
    <s v="2024"/>
    <x v="1"/>
    <x v="3"/>
    <x v="4"/>
    <x v="3"/>
    <x v="1"/>
    <n v="14"/>
    <n v="42700"/>
    <n v="597800"/>
    <x v="0"/>
  </r>
  <r>
    <s v="2024-10-28"/>
    <s v="lunes"/>
    <x v="8"/>
    <s v="2024"/>
    <x v="3"/>
    <x v="0"/>
    <x v="4"/>
    <x v="3"/>
    <x v="1"/>
    <n v="16"/>
    <n v="51025"/>
    <n v="816400"/>
    <x v="0"/>
  </r>
  <r>
    <s v="2024-02-03"/>
    <s v="sábado"/>
    <x v="10"/>
    <s v="2024"/>
    <x v="2"/>
    <x v="0"/>
    <x v="0"/>
    <x v="3"/>
    <x v="2"/>
    <n v="18"/>
    <n v="25963"/>
    <n v="467334"/>
    <x v="1"/>
  </r>
  <r>
    <s v="2024-01-19"/>
    <s v="viernes"/>
    <x v="11"/>
    <s v="2024"/>
    <x v="2"/>
    <x v="4"/>
    <x v="1"/>
    <x v="1"/>
    <x v="1"/>
    <n v="13"/>
    <n v="24910"/>
    <n v="323830"/>
    <x v="0"/>
  </r>
  <r>
    <s v="2024-07-21"/>
    <s v="domingo"/>
    <x v="0"/>
    <s v="2024"/>
    <x v="0"/>
    <x v="1"/>
    <x v="2"/>
    <x v="0"/>
    <x v="2"/>
    <n v="3"/>
    <n v="51375"/>
    <n v="154125"/>
    <x v="2"/>
  </r>
  <r>
    <s v="2024-03-04"/>
    <s v="lunes"/>
    <x v="6"/>
    <s v="2024"/>
    <x v="2"/>
    <x v="1"/>
    <x v="4"/>
    <x v="1"/>
    <x v="2"/>
    <n v="16"/>
    <n v="15349"/>
    <n v="245584"/>
    <x v="2"/>
  </r>
  <r>
    <s v="2024-10-15"/>
    <s v="martes"/>
    <x v="8"/>
    <s v="2024"/>
    <x v="1"/>
    <x v="0"/>
    <x v="3"/>
    <x v="3"/>
    <x v="2"/>
    <n v="3"/>
    <n v="54646"/>
    <n v="163938"/>
    <x v="3"/>
  </r>
  <r>
    <s v="2024-07-26"/>
    <s v="viernes"/>
    <x v="0"/>
    <s v="2024"/>
    <x v="1"/>
    <x v="0"/>
    <x v="0"/>
    <x v="3"/>
    <x v="1"/>
    <n v="2"/>
    <n v="55961"/>
    <n v="111922"/>
    <x v="1"/>
  </r>
  <r>
    <s v="2024-05-15"/>
    <s v="miércoles"/>
    <x v="4"/>
    <s v="2024"/>
    <x v="1"/>
    <x v="3"/>
    <x v="4"/>
    <x v="4"/>
    <x v="0"/>
    <n v="7"/>
    <n v="51559"/>
    <n v="360913"/>
    <x v="2"/>
  </r>
  <r>
    <s v="2024-01-24"/>
    <s v="miércoles"/>
    <x v="11"/>
    <s v="2024"/>
    <x v="2"/>
    <x v="1"/>
    <x v="4"/>
    <x v="4"/>
    <x v="0"/>
    <n v="16"/>
    <n v="37007"/>
    <n v="592112"/>
    <x v="2"/>
  </r>
  <r>
    <s v="2024-11-04"/>
    <s v="lunes"/>
    <x v="5"/>
    <s v="2024"/>
    <x v="2"/>
    <x v="3"/>
    <x v="1"/>
    <x v="4"/>
    <x v="1"/>
    <n v="18"/>
    <n v="54676"/>
    <n v="984168"/>
    <x v="3"/>
  </r>
  <r>
    <s v="2024-03-07"/>
    <s v="jueves"/>
    <x v="6"/>
    <s v="2024"/>
    <x v="3"/>
    <x v="0"/>
    <x v="4"/>
    <x v="0"/>
    <x v="2"/>
    <n v="12"/>
    <n v="23505"/>
    <n v="282060"/>
    <x v="1"/>
  </r>
  <r>
    <s v="2024-12-30"/>
    <s v="lunes"/>
    <x v="7"/>
    <s v="2024"/>
    <x v="2"/>
    <x v="4"/>
    <x v="0"/>
    <x v="2"/>
    <x v="0"/>
    <n v="7"/>
    <n v="32094"/>
    <n v="224658"/>
    <x v="0"/>
  </r>
  <r>
    <s v="2024-05-28"/>
    <s v="martes"/>
    <x v="4"/>
    <s v="2024"/>
    <x v="0"/>
    <x v="4"/>
    <x v="4"/>
    <x v="0"/>
    <x v="0"/>
    <n v="15"/>
    <n v="19489"/>
    <n v="292335"/>
    <x v="1"/>
  </r>
  <r>
    <s v="2024-07-24"/>
    <s v="miércoles"/>
    <x v="0"/>
    <s v="2024"/>
    <x v="0"/>
    <x v="2"/>
    <x v="1"/>
    <x v="0"/>
    <x v="0"/>
    <n v="8"/>
    <n v="40102"/>
    <n v="320816"/>
    <x v="2"/>
  </r>
  <r>
    <s v="2024-03-11"/>
    <s v="lunes"/>
    <x v="6"/>
    <s v="2024"/>
    <x v="1"/>
    <x v="2"/>
    <x v="4"/>
    <x v="4"/>
    <x v="2"/>
    <n v="8"/>
    <n v="39400"/>
    <n v="315200"/>
    <x v="0"/>
  </r>
  <r>
    <s v="2024-07-30"/>
    <s v="martes"/>
    <x v="0"/>
    <s v="2024"/>
    <x v="2"/>
    <x v="3"/>
    <x v="0"/>
    <x v="2"/>
    <x v="2"/>
    <n v="13"/>
    <n v="39861"/>
    <n v="518193"/>
    <x v="0"/>
  </r>
  <r>
    <s v="2024-01-18"/>
    <s v="jueves"/>
    <x v="11"/>
    <s v="2024"/>
    <x v="0"/>
    <x v="0"/>
    <x v="1"/>
    <x v="3"/>
    <x v="2"/>
    <n v="4"/>
    <n v="44931"/>
    <n v="179724"/>
    <x v="2"/>
  </r>
  <r>
    <s v="2024-09-18"/>
    <s v="miércoles"/>
    <x v="1"/>
    <s v="2024"/>
    <x v="4"/>
    <x v="3"/>
    <x v="2"/>
    <x v="1"/>
    <x v="0"/>
    <n v="9"/>
    <n v="21550"/>
    <n v="193950"/>
    <x v="0"/>
  </r>
  <r>
    <s v="2024-03-12"/>
    <s v="martes"/>
    <x v="6"/>
    <s v="2024"/>
    <x v="1"/>
    <x v="0"/>
    <x v="3"/>
    <x v="3"/>
    <x v="2"/>
    <n v="14"/>
    <n v="53625"/>
    <n v="750750"/>
    <x v="0"/>
  </r>
  <r>
    <s v="2024-06-03"/>
    <s v="lunes"/>
    <x v="9"/>
    <s v="2024"/>
    <x v="2"/>
    <x v="4"/>
    <x v="3"/>
    <x v="2"/>
    <x v="0"/>
    <n v="14"/>
    <n v="41912"/>
    <n v="586768"/>
    <x v="1"/>
  </r>
  <r>
    <s v="2024-07-10"/>
    <s v="miércoles"/>
    <x v="0"/>
    <s v="2024"/>
    <x v="3"/>
    <x v="0"/>
    <x v="3"/>
    <x v="0"/>
    <x v="2"/>
    <n v="5"/>
    <n v="41032"/>
    <n v="205160"/>
    <x v="2"/>
  </r>
  <r>
    <s v="2024-03-11"/>
    <s v="lunes"/>
    <x v="6"/>
    <s v="2024"/>
    <x v="1"/>
    <x v="1"/>
    <x v="3"/>
    <x v="0"/>
    <x v="2"/>
    <n v="6"/>
    <n v="23895"/>
    <n v="143370"/>
    <x v="0"/>
  </r>
  <r>
    <s v="2024-07-26"/>
    <s v="viernes"/>
    <x v="0"/>
    <s v="2024"/>
    <x v="3"/>
    <x v="3"/>
    <x v="0"/>
    <x v="0"/>
    <x v="2"/>
    <n v="16"/>
    <n v="49021"/>
    <n v="784336"/>
    <x v="0"/>
  </r>
  <r>
    <s v="2024-03-29"/>
    <s v="viernes"/>
    <x v="6"/>
    <s v="2024"/>
    <x v="2"/>
    <x v="3"/>
    <x v="1"/>
    <x v="1"/>
    <x v="0"/>
    <n v="18"/>
    <n v="27211"/>
    <n v="489798"/>
    <x v="0"/>
  </r>
  <r>
    <s v="2024-09-14"/>
    <s v="sábado"/>
    <x v="1"/>
    <s v="2024"/>
    <x v="2"/>
    <x v="2"/>
    <x v="3"/>
    <x v="1"/>
    <x v="1"/>
    <n v="6"/>
    <n v="17097"/>
    <n v="102582"/>
    <x v="1"/>
  </r>
  <r>
    <s v="2024-07-20"/>
    <s v="sábado"/>
    <x v="0"/>
    <s v="2024"/>
    <x v="2"/>
    <x v="4"/>
    <x v="1"/>
    <x v="3"/>
    <x v="2"/>
    <n v="9"/>
    <n v="58073"/>
    <n v="522657"/>
    <x v="3"/>
  </r>
  <r>
    <s v="2024-07-27"/>
    <s v="sábado"/>
    <x v="0"/>
    <s v="2024"/>
    <x v="1"/>
    <x v="2"/>
    <x v="4"/>
    <x v="1"/>
    <x v="0"/>
    <n v="15"/>
    <n v="55662"/>
    <n v="834930"/>
    <x v="2"/>
  </r>
  <r>
    <s v="2024-09-22"/>
    <s v="domingo"/>
    <x v="1"/>
    <s v="2024"/>
    <x v="3"/>
    <x v="0"/>
    <x v="2"/>
    <x v="1"/>
    <x v="1"/>
    <n v="1"/>
    <n v="38639"/>
    <n v="38639"/>
    <x v="1"/>
  </r>
  <r>
    <s v="2024-09-25"/>
    <s v="miércoles"/>
    <x v="1"/>
    <s v="2024"/>
    <x v="3"/>
    <x v="2"/>
    <x v="1"/>
    <x v="4"/>
    <x v="2"/>
    <n v="16"/>
    <n v="34105"/>
    <n v="545680"/>
    <x v="1"/>
  </r>
  <r>
    <s v="2024-06-03"/>
    <s v="lunes"/>
    <x v="9"/>
    <s v="2024"/>
    <x v="4"/>
    <x v="1"/>
    <x v="2"/>
    <x v="4"/>
    <x v="2"/>
    <n v="16"/>
    <n v="37048"/>
    <n v="592768"/>
    <x v="3"/>
  </r>
  <r>
    <s v="2024-01-19"/>
    <s v="viernes"/>
    <x v="11"/>
    <s v="2024"/>
    <x v="3"/>
    <x v="1"/>
    <x v="4"/>
    <x v="3"/>
    <x v="2"/>
    <n v="12"/>
    <n v="37088"/>
    <n v="445056"/>
    <x v="1"/>
  </r>
  <r>
    <s v="2024-03-31"/>
    <s v="domingo"/>
    <x v="6"/>
    <s v="2024"/>
    <x v="3"/>
    <x v="4"/>
    <x v="3"/>
    <x v="1"/>
    <x v="0"/>
    <n v="3"/>
    <n v="44001"/>
    <n v="132003"/>
    <x v="1"/>
  </r>
  <r>
    <s v="2024-06-07"/>
    <s v="viernes"/>
    <x v="9"/>
    <s v="2024"/>
    <x v="2"/>
    <x v="0"/>
    <x v="4"/>
    <x v="2"/>
    <x v="2"/>
    <n v="11"/>
    <n v="35502"/>
    <n v="390522"/>
    <x v="0"/>
  </r>
  <r>
    <s v="2024-10-29"/>
    <s v="martes"/>
    <x v="8"/>
    <s v="2024"/>
    <x v="2"/>
    <x v="0"/>
    <x v="4"/>
    <x v="0"/>
    <x v="2"/>
    <n v="10"/>
    <n v="52887"/>
    <n v="528870"/>
    <x v="3"/>
  </r>
  <r>
    <s v="2024-09-13"/>
    <s v="viernes"/>
    <x v="1"/>
    <s v="2024"/>
    <x v="0"/>
    <x v="3"/>
    <x v="1"/>
    <x v="2"/>
    <x v="2"/>
    <n v="16"/>
    <n v="28744"/>
    <n v="459904"/>
    <x v="1"/>
  </r>
  <r>
    <s v="2024-11-11"/>
    <s v="lunes"/>
    <x v="5"/>
    <s v="2024"/>
    <x v="0"/>
    <x v="0"/>
    <x v="4"/>
    <x v="4"/>
    <x v="1"/>
    <n v="15"/>
    <n v="51047"/>
    <n v="765705"/>
    <x v="3"/>
  </r>
  <r>
    <s v="2024-10-06"/>
    <s v="domingo"/>
    <x v="8"/>
    <s v="2024"/>
    <x v="2"/>
    <x v="2"/>
    <x v="0"/>
    <x v="1"/>
    <x v="0"/>
    <n v="4"/>
    <n v="37447"/>
    <n v="149788"/>
    <x v="1"/>
  </r>
  <r>
    <s v="2024-08-11"/>
    <s v="domingo"/>
    <x v="2"/>
    <s v="2024"/>
    <x v="3"/>
    <x v="0"/>
    <x v="3"/>
    <x v="2"/>
    <x v="2"/>
    <n v="5"/>
    <n v="51960"/>
    <n v="259800"/>
    <x v="0"/>
  </r>
  <r>
    <s v="2024-01-29"/>
    <s v="lunes"/>
    <x v="11"/>
    <s v="2024"/>
    <x v="1"/>
    <x v="3"/>
    <x v="3"/>
    <x v="3"/>
    <x v="2"/>
    <n v="20"/>
    <n v="17853"/>
    <n v="357060"/>
    <x v="1"/>
  </r>
  <r>
    <s v="2024-09-19"/>
    <s v="jueves"/>
    <x v="1"/>
    <s v="2024"/>
    <x v="4"/>
    <x v="3"/>
    <x v="1"/>
    <x v="0"/>
    <x v="1"/>
    <n v="12"/>
    <n v="54829"/>
    <n v="657948"/>
    <x v="3"/>
  </r>
  <r>
    <s v="2024-06-03"/>
    <s v="lunes"/>
    <x v="9"/>
    <s v="2024"/>
    <x v="2"/>
    <x v="4"/>
    <x v="3"/>
    <x v="4"/>
    <x v="2"/>
    <n v="5"/>
    <n v="32988"/>
    <n v="164940"/>
    <x v="2"/>
  </r>
  <r>
    <s v="2024-03-21"/>
    <s v="jueves"/>
    <x v="6"/>
    <s v="2024"/>
    <x v="3"/>
    <x v="0"/>
    <x v="4"/>
    <x v="3"/>
    <x v="2"/>
    <n v="5"/>
    <n v="36275"/>
    <n v="181375"/>
    <x v="2"/>
  </r>
  <r>
    <s v="2024-03-11"/>
    <s v="lunes"/>
    <x v="6"/>
    <s v="2024"/>
    <x v="0"/>
    <x v="0"/>
    <x v="3"/>
    <x v="2"/>
    <x v="2"/>
    <n v="19"/>
    <n v="25029"/>
    <n v="475551"/>
    <x v="2"/>
  </r>
  <r>
    <s v="2024-11-14"/>
    <s v="jueves"/>
    <x v="5"/>
    <s v="2024"/>
    <x v="2"/>
    <x v="1"/>
    <x v="2"/>
    <x v="0"/>
    <x v="0"/>
    <n v="2"/>
    <n v="32647"/>
    <n v="65294"/>
    <x v="1"/>
  </r>
  <r>
    <s v="2024-04-19"/>
    <s v="viernes"/>
    <x v="3"/>
    <s v="2024"/>
    <x v="1"/>
    <x v="3"/>
    <x v="1"/>
    <x v="3"/>
    <x v="2"/>
    <n v="8"/>
    <n v="39350"/>
    <n v="314800"/>
    <x v="3"/>
  </r>
  <r>
    <s v="2024-04-07"/>
    <s v="domingo"/>
    <x v="3"/>
    <s v="2024"/>
    <x v="0"/>
    <x v="4"/>
    <x v="3"/>
    <x v="3"/>
    <x v="2"/>
    <n v="20"/>
    <n v="16005"/>
    <n v="320100"/>
    <x v="2"/>
  </r>
  <r>
    <s v="2024-12-12"/>
    <s v="jueves"/>
    <x v="7"/>
    <s v="2024"/>
    <x v="2"/>
    <x v="0"/>
    <x v="1"/>
    <x v="3"/>
    <x v="0"/>
    <n v="7"/>
    <n v="50868"/>
    <n v="356076"/>
    <x v="0"/>
  </r>
  <r>
    <s v="2024-09-08"/>
    <s v="domingo"/>
    <x v="1"/>
    <s v="2024"/>
    <x v="3"/>
    <x v="4"/>
    <x v="3"/>
    <x v="0"/>
    <x v="2"/>
    <n v="14"/>
    <n v="35924"/>
    <n v="502936"/>
    <x v="3"/>
  </r>
  <r>
    <s v="2024-10-04"/>
    <s v="viernes"/>
    <x v="8"/>
    <s v="2024"/>
    <x v="3"/>
    <x v="3"/>
    <x v="4"/>
    <x v="0"/>
    <x v="2"/>
    <n v="10"/>
    <n v="18514"/>
    <n v="185140"/>
    <x v="2"/>
  </r>
  <r>
    <s v="2024-08-27"/>
    <s v="martes"/>
    <x v="2"/>
    <s v="2024"/>
    <x v="2"/>
    <x v="1"/>
    <x v="4"/>
    <x v="3"/>
    <x v="1"/>
    <n v="16"/>
    <n v="26076"/>
    <n v="417216"/>
    <x v="3"/>
  </r>
  <r>
    <s v="2024-10-19"/>
    <s v="sábado"/>
    <x v="8"/>
    <s v="2024"/>
    <x v="3"/>
    <x v="3"/>
    <x v="0"/>
    <x v="1"/>
    <x v="0"/>
    <n v="19"/>
    <n v="50244"/>
    <n v="954636"/>
    <x v="3"/>
  </r>
  <r>
    <s v="2024-01-27"/>
    <s v="sábado"/>
    <x v="11"/>
    <s v="2024"/>
    <x v="4"/>
    <x v="4"/>
    <x v="2"/>
    <x v="2"/>
    <x v="0"/>
    <n v="4"/>
    <n v="29412"/>
    <n v="117648"/>
    <x v="0"/>
  </r>
  <r>
    <s v="2024-04-22"/>
    <s v="lunes"/>
    <x v="3"/>
    <s v="2024"/>
    <x v="2"/>
    <x v="3"/>
    <x v="1"/>
    <x v="3"/>
    <x v="2"/>
    <n v="12"/>
    <n v="34176"/>
    <n v="410112"/>
    <x v="1"/>
  </r>
  <r>
    <s v="2024-01-21"/>
    <s v="domingo"/>
    <x v="11"/>
    <s v="2024"/>
    <x v="0"/>
    <x v="1"/>
    <x v="3"/>
    <x v="3"/>
    <x v="0"/>
    <n v="1"/>
    <n v="17898"/>
    <n v="17898"/>
    <x v="1"/>
  </r>
  <r>
    <s v="2024-10-17"/>
    <s v="jueves"/>
    <x v="8"/>
    <s v="2024"/>
    <x v="4"/>
    <x v="2"/>
    <x v="3"/>
    <x v="0"/>
    <x v="1"/>
    <n v="10"/>
    <n v="24793"/>
    <n v="247930"/>
    <x v="2"/>
  </r>
  <r>
    <s v="2024-08-09"/>
    <s v="viernes"/>
    <x v="2"/>
    <s v="2024"/>
    <x v="2"/>
    <x v="3"/>
    <x v="1"/>
    <x v="0"/>
    <x v="2"/>
    <n v="13"/>
    <n v="38147"/>
    <n v="495911"/>
    <x v="0"/>
  </r>
  <r>
    <s v="2024-10-16"/>
    <s v="miércoles"/>
    <x v="8"/>
    <s v="2024"/>
    <x v="4"/>
    <x v="1"/>
    <x v="1"/>
    <x v="4"/>
    <x v="1"/>
    <n v="15"/>
    <n v="51871"/>
    <n v="778065"/>
    <x v="2"/>
  </r>
  <r>
    <s v="2024-08-11"/>
    <s v="domingo"/>
    <x v="2"/>
    <s v="2024"/>
    <x v="2"/>
    <x v="4"/>
    <x v="0"/>
    <x v="0"/>
    <x v="2"/>
    <n v="20"/>
    <n v="39728"/>
    <n v="794560"/>
    <x v="1"/>
  </r>
  <r>
    <s v="2024-11-11"/>
    <s v="lunes"/>
    <x v="5"/>
    <s v="2024"/>
    <x v="1"/>
    <x v="2"/>
    <x v="4"/>
    <x v="4"/>
    <x v="2"/>
    <n v="4"/>
    <n v="31077"/>
    <n v="124308"/>
    <x v="1"/>
  </r>
  <r>
    <s v="2024-09-22"/>
    <s v="domingo"/>
    <x v="1"/>
    <s v="2024"/>
    <x v="0"/>
    <x v="2"/>
    <x v="4"/>
    <x v="1"/>
    <x v="1"/>
    <n v="9"/>
    <n v="37230"/>
    <n v="335070"/>
    <x v="0"/>
  </r>
  <r>
    <s v="2024-11-30"/>
    <s v="sábado"/>
    <x v="5"/>
    <s v="2024"/>
    <x v="0"/>
    <x v="3"/>
    <x v="3"/>
    <x v="3"/>
    <x v="2"/>
    <n v="9"/>
    <n v="22597"/>
    <n v="203373"/>
    <x v="1"/>
  </r>
  <r>
    <s v="2024-03-18"/>
    <s v="lunes"/>
    <x v="6"/>
    <s v="2024"/>
    <x v="4"/>
    <x v="0"/>
    <x v="4"/>
    <x v="4"/>
    <x v="1"/>
    <n v="2"/>
    <n v="45256"/>
    <n v="90512"/>
    <x v="1"/>
  </r>
  <r>
    <s v="2024-11-20"/>
    <s v="miércoles"/>
    <x v="5"/>
    <s v="2024"/>
    <x v="3"/>
    <x v="0"/>
    <x v="2"/>
    <x v="4"/>
    <x v="2"/>
    <n v="20"/>
    <n v="39377"/>
    <n v="787540"/>
    <x v="0"/>
  </r>
  <r>
    <s v="2024-07-18"/>
    <s v="jueves"/>
    <x v="0"/>
    <s v="2024"/>
    <x v="2"/>
    <x v="1"/>
    <x v="3"/>
    <x v="3"/>
    <x v="2"/>
    <n v="20"/>
    <n v="35624"/>
    <n v="712480"/>
    <x v="3"/>
  </r>
  <r>
    <s v="2024-03-31"/>
    <s v="domingo"/>
    <x v="6"/>
    <s v="2024"/>
    <x v="3"/>
    <x v="3"/>
    <x v="1"/>
    <x v="2"/>
    <x v="0"/>
    <n v="18"/>
    <n v="43539"/>
    <n v="783702"/>
    <x v="3"/>
  </r>
  <r>
    <s v="2024-03-20"/>
    <s v="miércoles"/>
    <x v="6"/>
    <s v="2024"/>
    <x v="0"/>
    <x v="1"/>
    <x v="3"/>
    <x v="3"/>
    <x v="1"/>
    <n v="19"/>
    <n v="51789"/>
    <n v="983991"/>
    <x v="2"/>
  </r>
  <r>
    <s v="2024-09-11"/>
    <s v="miércoles"/>
    <x v="1"/>
    <s v="2024"/>
    <x v="0"/>
    <x v="0"/>
    <x v="3"/>
    <x v="4"/>
    <x v="2"/>
    <n v="12"/>
    <n v="59406"/>
    <n v="712872"/>
    <x v="0"/>
  </r>
  <r>
    <s v="2024-05-06"/>
    <s v="lunes"/>
    <x v="4"/>
    <s v="2024"/>
    <x v="1"/>
    <x v="0"/>
    <x v="2"/>
    <x v="4"/>
    <x v="2"/>
    <n v="4"/>
    <n v="53287"/>
    <n v="213148"/>
    <x v="3"/>
  </r>
  <r>
    <s v="2024-12-21"/>
    <s v="sábado"/>
    <x v="7"/>
    <s v="2024"/>
    <x v="2"/>
    <x v="0"/>
    <x v="1"/>
    <x v="1"/>
    <x v="0"/>
    <n v="11"/>
    <n v="51794"/>
    <n v="569734"/>
    <x v="3"/>
  </r>
  <r>
    <s v="2024-06-14"/>
    <s v="viernes"/>
    <x v="9"/>
    <s v="2024"/>
    <x v="3"/>
    <x v="3"/>
    <x v="2"/>
    <x v="3"/>
    <x v="0"/>
    <n v="17"/>
    <n v="58927"/>
    <n v="1001759"/>
    <x v="1"/>
  </r>
  <r>
    <s v="2024-10-28"/>
    <s v="lunes"/>
    <x v="8"/>
    <s v="2024"/>
    <x v="3"/>
    <x v="4"/>
    <x v="4"/>
    <x v="3"/>
    <x v="0"/>
    <n v="5"/>
    <n v="31650"/>
    <n v="158250"/>
    <x v="2"/>
  </r>
  <r>
    <s v="2024-09-21"/>
    <s v="sábado"/>
    <x v="1"/>
    <s v="2024"/>
    <x v="3"/>
    <x v="3"/>
    <x v="3"/>
    <x v="3"/>
    <x v="0"/>
    <n v="15"/>
    <n v="21569"/>
    <n v="323535"/>
    <x v="2"/>
  </r>
  <r>
    <s v="2024-11-29"/>
    <s v="viernes"/>
    <x v="5"/>
    <s v="2024"/>
    <x v="4"/>
    <x v="2"/>
    <x v="2"/>
    <x v="1"/>
    <x v="1"/>
    <n v="20"/>
    <n v="36409"/>
    <n v="728180"/>
    <x v="3"/>
  </r>
  <r>
    <s v="2024-06-13"/>
    <s v="jueves"/>
    <x v="9"/>
    <s v="2024"/>
    <x v="3"/>
    <x v="0"/>
    <x v="3"/>
    <x v="3"/>
    <x v="1"/>
    <n v="3"/>
    <n v="23272"/>
    <n v="69816"/>
    <x v="3"/>
  </r>
  <r>
    <s v="2024-12-14"/>
    <s v="sábado"/>
    <x v="7"/>
    <s v="2024"/>
    <x v="2"/>
    <x v="4"/>
    <x v="2"/>
    <x v="1"/>
    <x v="0"/>
    <n v="15"/>
    <n v="50437"/>
    <n v="756555"/>
    <x v="3"/>
  </r>
  <r>
    <s v="2024-12-26"/>
    <s v="jueves"/>
    <x v="7"/>
    <s v="2024"/>
    <x v="4"/>
    <x v="1"/>
    <x v="4"/>
    <x v="4"/>
    <x v="0"/>
    <n v="12"/>
    <n v="25521"/>
    <n v="306252"/>
    <x v="1"/>
  </r>
  <r>
    <s v="2024-08-17"/>
    <s v="sábado"/>
    <x v="2"/>
    <s v="2024"/>
    <x v="4"/>
    <x v="3"/>
    <x v="2"/>
    <x v="2"/>
    <x v="2"/>
    <n v="9"/>
    <n v="19849"/>
    <n v="178641"/>
    <x v="3"/>
  </r>
  <r>
    <s v="2024-11-20"/>
    <s v="miércoles"/>
    <x v="5"/>
    <s v="2024"/>
    <x v="1"/>
    <x v="4"/>
    <x v="0"/>
    <x v="1"/>
    <x v="1"/>
    <n v="18"/>
    <n v="28317"/>
    <n v="509706"/>
    <x v="1"/>
  </r>
  <r>
    <s v="2024-09-24"/>
    <s v="martes"/>
    <x v="1"/>
    <s v="2024"/>
    <x v="3"/>
    <x v="0"/>
    <x v="2"/>
    <x v="4"/>
    <x v="0"/>
    <n v="3"/>
    <n v="41749"/>
    <n v="125247"/>
    <x v="1"/>
  </r>
  <r>
    <s v="2024-12-21"/>
    <s v="sábado"/>
    <x v="7"/>
    <s v="2024"/>
    <x v="1"/>
    <x v="1"/>
    <x v="4"/>
    <x v="3"/>
    <x v="0"/>
    <n v="10"/>
    <n v="51240"/>
    <n v="512400"/>
    <x v="3"/>
  </r>
  <r>
    <s v="2024-04-20"/>
    <s v="sábado"/>
    <x v="3"/>
    <s v="2024"/>
    <x v="1"/>
    <x v="0"/>
    <x v="3"/>
    <x v="2"/>
    <x v="1"/>
    <n v="5"/>
    <n v="23522"/>
    <n v="117610"/>
    <x v="0"/>
  </r>
  <r>
    <s v="2024-12-30"/>
    <s v="lunes"/>
    <x v="7"/>
    <s v="2024"/>
    <x v="2"/>
    <x v="2"/>
    <x v="3"/>
    <x v="4"/>
    <x v="0"/>
    <n v="16"/>
    <n v="16451"/>
    <n v="263216"/>
    <x v="0"/>
  </r>
  <r>
    <s v="2024-12-25"/>
    <s v="miércoles"/>
    <x v="7"/>
    <s v="2024"/>
    <x v="3"/>
    <x v="1"/>
    <x v="3"/>
    <x v="3"/>
    <x v="1"/>
    <n v="16"/>
    <n v="18840"/>
    <n v="301440"/>
    <x v="3"/>
  </r>
  <r>
    <s v="2024-06-16"/>
    <s v="domingo"/>
    <x v="9"/>
    <s v="2024"/>
    <x v="0"/>
    <x v="0"/>
    <x v="2"/>
    <x v="2"/>
    <x v="0"/>
    <n v="8"/>
    <n v="32722"/>
    <n v="261776"/>
    <x v="3"/>
  </r>
  <r>
    <s v="2024-10-04"/>
    <s v="viernes"/>
    <x v="8"/>
    <s v="2024"/>
    <x v="1"/>
    <x v="1"/>
    <x v="3"/>
    <x v="2"/>
    <x v="0"/>
    <n v="13"/>
    <n v="55343"/>
    <n v="719459"/>
    <x v="2"/>
  </r>
  <r>
    <s v="2024-06-21"/>
    <s v="viernes"/>
    <x v="9"/>
    <s v="2024"/>
    <x v="4"/>
    <x v="3"/>
    <x v="2"/>
    <x v="3"/>
    <x v="0"/>
    <n v="12"/>
    <n v="47969"/>
    <n v="575628"/>
    <x v="0"/>
  </r>
  <r>
    <s v="2024-12-13"/>
    <s v="viernes"/>
    <x v="7"/>
    <s v="2024"/>
    <x v="3"/>
    <x v="2"/>
    <x v="0"/>
    <x v="3"/>
    <x v="0"/>
    <n v="3"/>
    <n v="45171"/>
    <n v="135513"/>
    <x v="0"/>
  </r>
  <r>
    <s v="2024-11-18"/>
    <s v="lunes"/>
    <x v="5"/>
    <s v="2024"/>
    <x v="2"/>
    <x v="0"/>
    <x v="4"/>
    <x v="1"/>
    <x v="1"/>
    <n v="11"/>
    <n v="45803"/>
    <n v="503833"/>
    <x v="2"/>
  </r>
  <r>
    <s v="2024-10-17"/>
    <s v="jueves"/>
    <x v="8"/>
    <s v="2024"/>
    <x v="4"/>
    <x v="2"/>
    <x v="2"/>
    <x v="1"/>
    <x v="1"/>
    <n v="19"/>
    <n v="26852"/>
    <n v="510188"/>
    <x v="2"/>
  </r>
  <r>
    <s v="2024-09-29"/>
    <s v="domingo"/>
    <x v="1"/>
    <s v="2024"/>
    <x v="2"/>
    <x v="3"/>
    <x v="0"/>
    <x v="4"/>
    <x v="1"/>
    <n v="16"/>
    <n v="56434"/>
    <n v="902944"/>
    <x v="2"/>
  </r>
  <r>
    <s v="2024-09-07"/>
    <s v="sábado"/>
    <x v="1"/>
    <s v="2024"/>
    <x v="1"/>
    <x v="2"/>
    <x v="0"/>
    <x v="2"/>
    <x v="1"/>
    <n v="10"/>
    <n v="59089"/>
    <n v="590890"/>
    <x v="0"/>
  </r>
  <r>
    <s v="2024-04-10"/>
    <s v="miércoles"/>
    <x v="3"/>
    <s v="2024"/>
    <x v="3"/>
    <x v="2"/>
    <x v="0"/>
    <x v="3"/>
    <x v="1"/>
    <n v="20"/>
    <n v="29790"/>
    <n v="595800"/>
    <x v="1"/>
  </r>
  <r>
    <s v="2024-06-13"/>
    <s v="jueves"/>
    <x v="9"/>
    <s v="2024"/>
    <x v="3"/>
    <x v="3"/>
    <x v="2"/>
    <x v="0"/>
    <x v="1"/>
    <n v="5"/>
    <n v="19751"/>
    <n v="98755"/>
    <x v="2"/>
  </r>
  <r>
    <s v="2024-09-02"/>
    <s v="lunes"/>
    <x v="1"/>
    <s v="2024"/>
    <x v="2"/>
    <x v="2"/>
    <x v="2"/>
    <x v="3"/>
    <x v="2"/>
    <n v="19"/>
    <n v="27035"/>
    <n v="513665"/>
    <x v="3"/>
  </r>
  <r>
    <s v="2024-12-07"/>
    <s v="sábado"/>
    <x v="7"/>
    <s v="2024"/>
    <x v="1"/>
    <x v="4"/>
    <x v="1"/>
    <x v="3"/>
    <x v="2"/>
    <n v="7"/>
    <n v="33886"/>
    <n v="237202"/>
    <x v="1"/>
  </r>
  <r>
    <s v="2024-11-01"/>
    <s v="viernes"/>
    <x v="5"/>
    <s v="2024"/>
    <x v="2"/>
    <x v="1"/>
    <x v="1"/>
    <x v="0"/>
    <x v="2"/>
    <n v="14"/>
    <n v="39942"/>
    <n v="559188"/>
    <x v="0"/>
  </r>
  <r>
    <s v="2024-01-27"/>
    <s v="sábado"/>
    <x v="11"/>
    <s v="2024"/>
    <x v="2"/>
    <x v="2"/>
    <x v="2"/>
    <x v="0"/>
    <x v="2"/>
    <n v="16"/>
    <n v="16034"/>
    <n v="256544"/>
    <x v="3"/>
  </r>
  <r>
    <s v="2024-08-11"/>
    <s v="domingo"/>
    <x v="2"/>
    <s v="2024"/>
    <x v="2"/>
    <x v="0"/>
    <x v="0"/>
    <x v="2"/>
    <x v="0"/>
    <n v="17"/>
    <n v="42131"/>
    <n v="716227"/>
    <x v="1"/>
  </r>
  <r>
    <s v="2024-03-28"/>
    <s v="jueves"/>
    <x v="6"/>
    <s v="2024"/>
    <x v="2"/>
    <x v="2"/>
    <x v="3"/>
    <x v="4"/>
    <x v="2"/>
    <n v="19"/>
    <n v="51588"/>
    <n v="980172"/>
    <x v="1"/>
  </r>
  <r>
    <s v="2024-01-12"/>
    <s v="viernes"/>
    <x v="11"/>
    <s v="2024"/>
    <x v="0"/>
    <x v="2"/>
    <x v="0"/>
    <x v="4"/>
    <x v="1"/>
    <n v="5"/>
    <n v="50487"/>
    <n v="252435"/>
    <x v="2"/>
  </r>
  <r>
    <s v="2024-07-08"/>
    <s v="lunes"/>
    <x v="0"/>
    <s v="2024"/>
    <x v="1"/>
    <x v="4"/>
    <x v="3"/>
    <x v="3"/>
    <x v="0"/>
    <n v="10"/>
    <n v="54983"/>
    <n v="549830"/>
    <x v="2"/>
  </r>
  <r>
    <s v="2024-11-09"/>
    <s v="sábado"/>
    <x v="5"/>
    <s v="2024"/>
    <x v="1"/>
    <x v="4"/>
    <x v="0"/>
    <x v="2"/>
    <x v="2"/>
    <n v="8"/>
    <n v="43106"/>
    <n v="344848"/>
    <x v="3"/>
  </r>
  <r>
    <s v="2024-07-20"/>
    <s v="sábado"/>
    <x v="0"/>
    <s v="2024"/>
    <x v="1"/>
    <x v="0"/>
    <x v="2"/>
    <x v="2"/>
    <x v="2"/>
    <n v="9"/>
    <n v="53855"/>
    <n v="484695"/>
    <x v="2"/>
  </r>
  <r>
    <s v="2024-04-17"/>
    <s v="miércoles"/>
    <x v="3"/>
    <s v="2024"/>
    <x v="3"/>
    <x v="4"/>
    <x v="2"/>
    <x v="3"/>
    <x v="0"/>
    <n v="6"/>
    <n v="18806"/>
    <n v="112836"/>
    <x v="0"/>
  </r>
  <r>
    <s v="2024-07-11"/>
    <s v="jueves"/>
    <x v="0"/>
    <s v="2024"/>
    <x v="4"/>
    <x v="0"/>
    <x v="4"/>
    <x v="4"/>
    <x v="0"/>
    <n v="9"/>
    <n v="16064"/>
    <n v="144576"/>
    <x v="3"/>
  </r>
  <r>
    <s v="2024-04-24"/>
    <s v="miércoles"/>
    <x v="3"/>
    <s v="2024"/>
    <x v="0"/>
    <x v="3"/>
    <x v="1"/>
    <x v="3"/>
    <x v="0"/>
    <n v="11"/>
    <n v="35303"/>
    <n v="388333"/>
    <x v="2"/>
  </r>
  <r>
    <s v="2024-07-06"/>
    <s v="sábado"/>
    <x v="0"/>
    <s v="2024"/>
    <x v="0"/>
    <x v="0"/>
    <x v="1"/>
    <x v="2"/>
    <x v="2"/>
    <n v="17"/>
    <n v="53031"/>
    <n v="901527"/>
    <x v="3"/>
  </r>
  <r>
    <s v="2024-04-06"/>
    <s v="sábado"/>
    <x v="3"/>
    <s v="2024"/>
    <x v="4"/>
    <x v="0"/>
    <x v="4"/>
    <x v="1"/>
    <x v="2"/>
    <n v="3"/>
    <n v="38138"/>
    <n v="114414"/>
    <x v="1"/>
  </r>
  <r>
    <s v="2024-08-08"/>
    <s v="jueves"/>
    <x v="2"/>
    <s v="2024"/>
    <x v="1"/>
    <x v="0"/>
    <x v="2"/>
    <x v="4"/>
    <x v="2"/>
    <n v="4"/>
    <n v="19233"/>
    <n v="76932"/>
    <x v="2"/>
  </r>
  <r>
    <s v="2024-12-22"/>
    <s v="domingo"/>
    <x v="7"/>
    <s v="2024"/>
    <x v="2"/>
    <x v="0"/>
    <x v="3"/>
    <x v="4"/>
    <x v="0"/>
    <n v="4"/>
    <n v="38806"/>
    <n v="155224"/>
    <x v="1"/>
  </r>
  <r>
    <s v="2024-06-03"/>
    <s v="lunes"/>
    <x v="9"/>
    <s v="2024"/>
    <x v="1"/>
    <x v="4"/>
    <x v="1"/>
    <x v="3"/>
    <x v="1"/>
    <n v="20"/>
    <n v="59936"/>
    <n v="1198720"/>
    <x v="2"/>
  </r>
  <r>
    <s v="2024-09-08"/>
    <s v="domingo"/>
    <x v="1"/>
    <s v="2024"/>
    <x v="0"/>
    <x v="4"/>
    <x v="0"/>
    <x v="0"/>
    <x v="2"/>
    <n v="17"/>
    <n v="45372"/>
    <n v="771324"/>
    <x v="2"/>
  </r>
  <r>
    <s v="2024-06-13"/>
    <s v="jueves"/>
    <x v="9"/>
    <s v="2024"/>
    <x v="1"/>
    <x v="2"/>
    <x v="2"/>
    <x v="3"/>
    <x v="2"/>
    <n v="17"/>
    <n v="53302"/>
    <n v="906134"/>
    <x v="1"/>
  </r>
  <r>
    <s v="2024-10-25"/>
    <s v="viernes"/>
    <x v="8"/>
    <s v="2024"/>
    <x v="0"/>
    <x v="4"/>
    <x v="4"/>
    <x v="0"/>
    <x v="0"/>
    <n v="10"/>
    <n v="40251"/>
    <n v="402510"/>
    <x v="2"/>
  </r>
  <r>
    <s v="2024-10-06"/>
    <s v="domingo"/>
    <x v="8"/>
    <s v="2024"/>
    <x v="1"/>
    <x v="2"/>
    <x v="0"/>
    <x v="3"/>
    <x v="0"/>
    <n v="4"/>
    <n v="54792"/>
    <n v="219168"/>
    <x v="1"/>
  </r>
  <r>
    <s v="2024-01-31"/>
    <s v="miércoles"/>
    <x v="11"/>
    <s v="2024"/>
    <x v="2"/>
    <x v="3"/>
    <x v="2"/>
    <x v="1"/>
    <x v="2"/>
    <n v="5"/>
    <n v="49488"/>
    <n v="247440"/>
    <x v="1"/>
  </r>
  <r>
    <s v="2024-01-27"/>
    <s v="sábado"/>
    <x v="11"/>
    <s v="2024"/>
    <x v="4"/>
    <x v="3"/>
    <x v="4"/>
    <x v="0"/>
    <x v="1"/>
    <n v="19"/>
    <n v="21669"/>
    <n v="411711"/>
    <x v="0"/>
  </r>
  <r>
    <s v="2024-05-29"/>
    <s v="miércoles"/>
    <x v="4"/>
    <s v="2024"/>
    <x v="0"/>
    <x v="2"/>
    <x v="3"/>
    <x v="3"/>
    <x v="2"/>
    <n v="11"/>
    <n v="51994"/>
    <n v="571934"/>
    <x v="3"/>
  </r>
  <r>
    <s v="2024-04-12"/>
    <s v="viernes"/>
    <x v="3"/>
    <s v="2024"/>
    <x v="3"/>
    <x v="1"/>
    <x v="0"/>
    <x v="0"/>
    <x v="1"/>
    <n v="4"/>
    <n v="48753"/>
    <n v="195012"/>
    <x v="1"/>
  </r>
  <r>
    <s v="2024-10-03"/>
    <s v="jueves"/>
    <x v="8"/>
    <s v="2024"/>
    <x v="3"/>
    <x v="4"/>
    <x v="3"/>
    <x v="3"/>
    <x v="1"/>
    <n v="11"/>
    <n v="26261"/>
    <n v="288871"/>
    <x v="0"/>
  </r>
  <r>
    <s v="2024-07-23"/>
    <s v="martes"/>
    <x v="0"/>
    <s v="2024"/>
    <x v="0"/>
    <x v="1"/>
    <x v="3"/>
    <x v="4"/>
    <x v="2"/>
    <n v="8"/>
    <n v="31753"/>
    <n v="254024"/>
    <x v="0"/>
  </r>
  <r>
    <s v="2024-05-12"/>
    <s v="domingo"/>
    <x v="4"/>
    <s v="2024"/>
    <x v="1"/>
    <x v="3"/>
    <x v="3"/>
    <x v="0"/>
    <x v="2"/>
    <n v="14"/>
    <n v="37705"/>
    <n v="527870"/>
    <x v="3"/>
  </r>
  <r>
    <s v="2024-03-04"/>
    <s v="lunes"/>
    <x v="6"/>
    <s v="2024"/>
    <x v="4"/>
    <x v="3"/>
    <x v="1"/>
    <x v="0"/>
    <x v="1"/>
    <n v="11"/>
    <n v="17126"/>
    <n v="188386"/>
    <x v="3"/>
  </r>
  <r>
    <s v="2024-01-01"/>
    <s v="lunes"/>
    <x v="11"/>
    <s v="2024"/>
    <x v="0"/>
    <x v="0"/>
    <x v="0"/>
    <x v="1"/>
    <x v="0"/>
    <n v="9"/>
    <n v="16638"/>
    <n v="149742"/>
    <x v="2"/>
  </r>
  <r>
    <s v="2024-09-09"/>
    <s v="lunes"/>
    <x v="1"/>
    <s v="2024"/>
    <x v="0"/>
    <x v="2"/>
    <x v="0"/>
    <x v="3"/>
    <x v="2"/>
    <n v="2"/>
    <n v="34955"/>
    <n v="69910"/>
    <x v="0"/>
  </r>
  <r>
    <s v="2024-02-01"/>
    <s v="jueves"/>
    <x v="10"/>
    <s v="2024"/>
    <x v="1"/>
    <x v="0"/>
    <x v="0"/>
    <x v="4"/>
    <x v="1"/>
    <n v="10"/>
    <n v="37021"/>
    <n v="370210"/>
    <x v="1"/>
  </r>
  <r>
    <s v="2024-05-16"/>
    <s v="jueves"/>
    <x v="4"/>
    <s v="2024"/>
    <x v="1"/>
    <x v="2"/>
    <x v="2"/>
    <x v="2"/>
    <x v="2"/>
    <n v="20"/>
    <n v="42520"/>
    <n v="850400"/>
    <x v="3"/>
  </r>
  <r>
    <s v="2024-02-19"/>
    <s v="lunes"/>
    <x v="10"/>
    <s v="2024"/>
    <x v="3"/>
    <x v="0"/>
    <x v="2"/>
    <x v="2"/>
    <x v="0"/>
    <n v="7"/>
    <n v="51169"/>
    <n v="358183"/>
    <x v="2"/>
  </r>
  <r>
    <s v="2024-03-02"/>
    <s v="sábado"/>
    <x v="6"/>
    <s v="2024"/>
    <x v="1"/>
    <x v="1"/>
    <x v="2"/>
    <x v="0"/>
    <x v="2"/>
    <n v="9"/>
    <n v="17139"/>
    <n v="154251"/>
    <x v="3"/>
  </r>
  <r>
    <s v="2024-08-15"/>
    <s v="jueves"/>
    <x v="2"/>
    <s v="2024"/>
    <x v="2"/>
    <x v="2"/>
    <x v="3"/>
    <x v="4"/>
    <x v="1"/>
    <n v="5"/>
    <n v="58452"/>
    <n v="292260"/>
    <x v="3"/>
  </r>
  <r>
    <s v="2024-02-11"/>
    <s v="domingo"/>
    <x v="10"/>
    <s v="2024"/>
    <x v="2"/>
    <x v="2"/>
    <x v="4"/>
    <x v="0"/>
    <x v="0"/>
    <n v="3"/>
    <n v="30476"/>
    <n v="91428"/>
    <x v="3"/>
  </r>
  <r>
    <s v="2024-03-28"/>
    <s v="jueves"/>
    <x v="6"/>
    <s v="2024"/>
    <x v="4"/>
    <x v="0"/>
    <x v="2"/>
    <x v="0"/>
    <x v="1"/>
    <n v="11"/>
    <n v="47146"/>
    <n v="518606"/>
    <x v="2"/>
  </r>
  <r>
    <s v="2024-09-07"/>
    <s v="sábado"/>
    <x v="1"/>
    <s v="2024"/>
    <x v="0"/>
    <x v="1"/>
    <x v="3"/>
    <x v="4"/>
    <x v="0"/>
    <n v="10"/>
    <n v="59041"/>
    <n v="590410"/>
    <x v="2"/>
  </r>
  <r>
    <s v="2024-08-10"/>
    <s v="sábado"/>
    <x v="2"/>
    <s v="2024"/>
    <x v="0"/>
    <x v="4"/>
    <x v="0"/>
    <x v="3"/>
    <x v="2"/>
    <n v="9"/>
    <n v="38622"/>
    <n v="347598"/>
    <x v="3"/>
  </r>
  <r>
    <s v="2024-11-09"/>
    <s v="sábado"/>
    <x v="5"/>
    <s v="2024"/>
    <x v="3"/>
    <x v="3"/>
    <x v="1"/>
    <x v="3"/>
    <x v="0"/>
    <n v="6"/>
    <n v="44797"/>
    <n v="268782"/>
    <x v="2"/>
  </r>
  <r>
    <s v="2024-02-04"/>
    <s v="domingo"/>
    <x v="10"/>
    <s v="2024"/>
    <x v="2"/>
    <x v="2"/>
    <x v="1"/>
    <x v="1"/>
    <x v="0"/>
    <n v="13"/>
    <n v="22848"/>
    <n v="297024"/>
    <x v="0"/>
  </r>
  <r>
    <s v="2024-04-25"/>
    <s v="jueves"/>
    <x v="3"/>
    <s v="2024"/>
    <x v="3"/>
    <x v="0"/>
    <x v="2"/>
    <x v="2"/>
    <x v="0"/>
    <n v="13"/>
    <n v="57347"/>
    <n v="745511"/>
    <x v="1"/>
  </r>
  <r>
    <s v="2024-09-29"/>
    <s v="domingo"/>
    <x v="1"/>
    <s v="2024"/>
    <x v="4"/>
    <x v="0"/>
    <x v="1"/>
    <x v="3"/>
    <x v="2"/>
    <n v="16"/>
    <n v="42069"/>
    <n v="673104"/>
    <x v="1"/>
  </r>
  <r>
    <s v="2024-12-16"/>
    <s v="lunes"/>
    <x v="7"/>
    <s v="2024"/>
    <x v="1"/>
    <x v="4"/>
    <x v="2"/>
    <x v="2"/>
    <x v="1"/>
    <n v="16"/>
    <n v="31789"/>
    <n v="508624"/>
    <x v="2"/>
  </r>
  <r>
    <s v="2024-07-19"/>
    <s v="viernes"/>
    <x v="0"/>
    <s v="2024"/>
    <x v="3"/>
    <x v="4"/>
    <x v="0"/>
    <x v="1"/>
    <x v="0"/>
    <n v="19"/>
    <n v="17201"/>
    <n v="326819"/>
    <x v="1"/>
  </r>
  <r>
    <s v="2024-05-27"/>
    <s v="lunes"/>
    <x v="4"/>
    <s v="2024"/>
    <x v="2"/>
    <x v="1"/>
    <x v="3"/>
    <x v="4"/>
    <x v="1"/>
    <n v="19"/>
    <n v="30156"/>
    <n v="572964"/>
    <x v="0"/>
  </r>
  <r>
    <s v="2024-06-20"/>
    <s v="jueves"/>
    <x v="9"/>
    <s v="2024"/>
    <x v="3"/>
    <x v="0"/>
    <x v="0"/>
    <x v="4"/>
    <x v="0"/>
    <n v="10"/>
    <n v="46039"/>
    <n v="460390"/>
    <x v="2"/>
  </r>
  <r>
    <s v="2024-12-23"/>
    <s v="lunes"/>
    <x v="7"/>
    <s v="2024"/>
    <x v="1"/>
    <x v="3"/>
    <x v="2"/>
    <x v="2"/>
    <x v="2"/>
    <n v="13"/>
    <n v="49459"/>
    <n v="642967"/>
    <x v="0"/>
  </r>
  <r>
    <s v="2024-08-21"/>
    <s v="miércoles"/>
    <x v="2"/>
    <s v="2024"/>
    <x v="1"/>
    <x v="2"/>
    <x v="3"/>
    <x v="3"/>
    <x v="1"/>
    <n v="13"/>
    <n v="26047"/>
    <n v="338611"/>
    <x v="1"/>
  </r>
  <r>
    <s v="2024-07-31"/>
    <s v="miércoles"/>
    <x v="0"/>
    <s v="2024"/>
    <x v="2"/>
    <x v="3"/>
    <x v="0"/>
    <x v="4"/>
    <x v="0"/>
    <n v="18"/>
    <n v="27232"/>
    <n v="490176"/>
    <x v="1"/>
  </r>
  <r>
    <s v="2024-05-04"/>
    <s v="sábado"/>
    <x v="4"/>
    <s v="2024"/>
    <x v="4"/>
    <x v="4"/>
    <x v="0"/>
    <x v="2"/>
    <x v="2"/>
    <n v="18"/>
    <n v="45864"/>
    <n v="825552"/>
    <x v="3"/>
  </r>
  <r>
    <s v="2024-12-11"/>
    <s v="miércoles"/>
    <x v="7"/>
    <s v="2024"/>
    <x v="2"/>
    <x v="1"/>
    <x v="1"/>
    <x v="1"/>
    <x v="0"/>
    <n v="8"/>
    <n v="24027"/>
    <n v="192216"/>
    <x v="0"/>
  </r>
  <r>
    <s v="2024-09-07"/>
    <s v="sábado"/>
    <x v="1"/>
    <s v="2024"/>
    <x v="2"/>
    <x v="2"/>
    <x v="3"/>
    <x v="4"/>
    <x v="2"/>
    <n v="12"/>
    <n v="31619"/>
    <n v="379428"/>
    <x v="3"/>
  </r>
  <r>
    <s v="2024-10-31"/>
    <s v="jueves"/>
    <x v="8"/>
    <s v="2024"/>
    <x v="2"/>
    <x v="0"/>
    <x v="0"/>
    <x v="2"/>
    <x v="2"/>
    <n v="6"/>
    <n v="47540"/>
    <n v="285240"/>
    <x v="2"/>
  </r>
  <r>
    <s v="2024-04-27"/>
    <s v="sábado"/>
    <x v="3"/>
    <s v="2024"/>
    <x v="4"/>
    <x v="0"/>
    <x v="2"/>
    <x v="0"/>
    <x v="0"/>
    <n v="10"/>
    <n v="35450"/>
    <n v="354500"/>
    <x v="1"/>
  </r>
  <r>
    <s v="2024-05-11"/>
    <s v="sábado"/>
    <x v="4"/>
    <s v="2024"/>
    <x v="3"/>
    <x v="2"/>
    <x v="4"/>
    <x v="3"/>
    <x v="2"/>
    <n v="8"/>
    <n v="20549"/>
    <n v="164392"/>
    <x v="2"/>
  </r>
  <r>
    <s v="2024-12-07"/>
    <s v="sábado"/>
    <x v="7"/>
    <s v="2024"/>
    <x v="2"/>
    <x v="2"/>
    <x v="4"/>
    <x v="0"/>
    <x v="2"/>
    <n v="17"/>
    <n v="42384"/>
    <n v="720528"/>
    <x v="1"/>
  </r>
  <r>
    <s v="2024-11-05"/>
    <s v="martes"/>
    <x v="5"/>
    <s v="2024"/>
    <x v="3"/>
    <x v="1"/>
    <x v="1"/>
    <x v="3"/>
    <x v="1"/>
    <n v="14"/>
    <n v="45433"/>
    <n v="636062"/>
    <x v="3"/>
  </r>
  <r>
    <s v="2024-06-18"/>
    <s v="martes"/>
    <x v="9"/>
    <s v="2024"/>
    <x v="1"/>
    <x v="1"/>
    <x v="2"/>
    <x v="2"/>
    <x v="0"/>
    <n v="19"/>
    <n v="22124"/>
    <n v="420356"/>
    <x v="0"/>
  </r>
  <r>
    <s v="2024-06-22"/>
    <s v="sábado"/>
    <x v="9"/>
    <s v="2024"/>
    <x v="1"/>
    <x v="4"/>
    <x v="1"/>
    <x v="3"/>
    <x v="2"/>
    <n v="20"/>
    <n v="50692"/>
    <n v="1013840"/>
    <x v="0"/>
  </r>
  <r>
    <s v="2024-08-31"/>
    <s v="sábado"/>
    <x v="2"/>
    <s v="2024"/>
    <x v="4"/>
    <x v="4"/>
    <x v="4"/>
    <x v="3"/>
    <x v="2"/>
    <n v="20"/>
    <n v="28894"/>
    <n v="577880"/>
    <x v="3"/>
  </r>
  <r>
    <s v="2024-04-18"/>
    <s v="jueves"/>
    <x v="3"/>
    <s v="2024"/>
    <x v="2"/>
    <x v="1"/>
    <x v="2"/>
    <x v="0"/>
    <x v="0"/>
    <n v="3"/>
    <n v="29723"/>
    <n v="89169"/>
    <x v="0"/>
  </r>
  <r>
    <s v="2024-07-06"/>
    <s v="sábado"/>
    <x v="0"/>
    <s v="2024"/>
    <x v="1"/>
    <x v="0"/>
    <x v="1"/>
    <x v="4"/>
    <x v="1"/>
    <n v="11"/>
    <n v="51902"/>
    <n v="570922"/>
    <x v="0"/>
  </r>
  <r>
    <s v="2024-09-12"/>
    <s v="jueves"/>
    <x v="1"/>
    <s v="2024"/>
    <x v="0"/>
    <x v="4"/>
    <x v="1"/>
    <x v="4"/>
    <x v="2"/>
    <n v="15"/>
    <n v="57492"/>
    <n v="862380"/>
    <x v="3"/>
  </r>
  <r>
    <s v="2024-12-15"/>
    <s v="domingo"/>
    <x v="7"/>
    <s v="2024"/>
    <x v="1"/>
    <x v="1"/>
    <x v="1"/>
    <x v="4"/>
    <x v="2"/>
    <n v="5"/>
    <n v="41093"/>
    <n v="205465"/>
    <x v="2"/>
  </r>
  <r>
    <s v="2024-04-16"/>
    <s v="martes"/>
    <x v="3"/>
    <s v="2024"/>
    <x v="0"/>
    <x v="2"/>
    <x v="1"/>
    <x v="0"/>
    <x v="2"/>
    <n v="11"/>
    <n v="53435"/>
    <n v="587785"/>
    <x v="0"/>
  </r>
  <r>
    <s v="2024-07-24"/>
    <s v="miércoles"/>
    <x v="0"/>
    <s v="2024"/>
    <x v="3"/>
    <x v="2"/>
    <x v="2"/>
    <x v="2"/>
    <x v="0"/>
    <n v="10"/>
    <n v="29122"/>
    <n v="291220"/>
    <x v="1"/>
  </r>
  <r>
    <s v="2024-01-19"/>
    <s v="viernes"/>
    <x v="11"/>
    <s v="2024"/>
    <x v="3"/>
    <x v="3"/>
    <x v="2"/>
    <x v="2"/>
    <x v="1"/>
    <n v="18"/>
    <n v="36798"/>
    <n v="662364"/>
    <x v="3"/>
  </r>
  <r>
    <s v="2024-09-27"/>
    <s v="viernes"/>
    <x v="1"/>
    <s v="2024"/>
    <x v="2"/>
    <x v="2"/>
    <x v="0"/>
    <x v="3"/>
    <x v="2"/>
    <n v="2"/>
    <n v="41962"/>
    <n v="83924"/>
    <x v="0"/>
  </r>
  <r>
    <s v="2024-04-19"/>
    <s v="viernes"/>
    <x v="3"/>
    <s v="2024"/>
    <x v="3"/>
    <x v="0"/>
    <x v="0"/>
    <x v="2"/>
    <x v="0"/>
    <n v="9"/>
    <n v="20672"/>
    <n v="186048"/>
    <x v="3"/>
  </r>
  <r>
    <s v="2024-10-08"/>
    <s v="martes"/>
    <x v="8"/>
    <s v="2024"/>
    <x v="4"/>
    <x v="1"/>
    <x v="0"/>
    <x v="3"/>
    <x v="0"/>
    <n v="20"/>
    <n v="21279"/>
    <n v="425580"/>
    <x v="0"/>
  </r>
  <r>
    <s v="2024-06-17"/>
    <s v="lunes"/>
    <x v="9"/>
    <s v="2024"/>
    <x v="2"/>
    <x v="0"/>
    <x v="2"/>
    <x v="1"/>
    <x v="2"/>
    <n v="12"/>
    <n v="35302"/>
    <n v="423624"/>
    <x v="3"/>
  </r>
  <r>
    <s v="2024-02-25"/>
    <s v="domingo"/>
    <x v="10"/>
    <s v="2024"/>
    <x v="4"/>
    <x v="0"/>
    <x v="0"/>
    <x v="2"/>
    <x v="1"/>
    <n v="1"/>
    <n v="46034"/>
    <n v="46034"/>
    <x v="2"/>
  </r>
  <r>
    <s v="2024-04-10"/>
    <s v="miércoles"/>
    <x v="3"/>
    <s v="2024"/>
    <x v="1"/>
    <x v="1"/>
    <x v="4"/>
    <x v="0"/>
    <x v="0"/>
    <n v="14"/>
    <n v="55695"/>
    <n v="779730"/>
    <x v="3"/>
  </r>
  <r>
    <s v="2024-05-29"/>
    <s v="miércoles"/>
    <x v="4"/>
    <s v="2024"/>
    <x v="2"/>
    <x v="0"/>
    <x v="0"/>
    <x v="2"/>
    <x v="0"/>
    <n v="5"/>
    <n v="28118"/>
    <n v="140590"/>
    <x v="3"/>
  </r>
  <r>
    <s v="2024-07-29"/>
    <s v="lunes"/>
    <x v="0"/>
    <s v="2024"/>
    <x v="2"/>
    <x v="0"/>
    <x v="0"/>
    <x v="1"/>
    <x v="2"/>
    <n v="2"/>
    <n v="34193"/>
    <n v="68386"/>
    <x v="3"/>
  </r>
  <r>
    <s v="2024-06-15"/>
    <s v="sábado"/>
    <x v="9"/>
    <s v="2024"/>
    <x v="2"/>
    <x v="2"/>
    <x v="2"/>
    <x v="2"/>
    <x v="1"/>
    <n v="9"/>
    <n v="20266"/>
    <n v="182394"/>
    <x v="1"/>
  </r>
  <r>
    <s v="2024-12-24"/>
    <s v="martes"/>
    <x v="7"/>
    <s v="2024"/>
    <x v="0"/>
    <x v="3"/>
    <x v="4"/>
    <x v="3"/>
    <x v="0"/>
    <n v="3"/>
    <n v="26763"/>
    <n v="80289"/>
    <x v="3"/>
  </r>
  <r>
    <s v="2024-03-30"/>
    <s v="sábado"/>
    <x v="6"/>
    <s v="2024"/>
    <x v="4"/>
    <x v="0"/>
    <x v="1"/>
    <x v="4"/>
    <x v="2"/>
    <n v="20"/>
    <n v="33483"/>
    <n v="669660"/>
    <x v="1"/>
  </r>
  <r>
    <s v="2024-11-25"/>
    <s v="lunes"/>
    <x v="5"/>
    <s v="2024"/>
    <x v="0"/>
    <x v="2"/>
    <x v="2"/>
    <x v="0"/>
    <x v="2"/>
    <n v="2"/>
    <n v="24408"/>
    <n v="48816"/>
    <x v="1"/>
  </r>
  <r>
    <s v="2024-05-29"/>
    <s v="miércoles"/>
    <x v="4"/>
    <s v="2024"/>
    <x v="3"/>
    <x v="4"/>
    <x v="4"/>
    <x v="1"/>
    <x v="2"/>
    <n v="8"/>
    <n v="38182"/>
    <n v="305456"/>
    <x v="3"/>
  </r>
  <r>
    <s v="2024-05-04"/>
    <s v="sábado"/>
    <x v="4"/>
    <s v="2024"/>
    <x v="0"/>
    <x v="1"/>
    <x v="4"/>
    <x v="0"/>
    <x v="2"/>
    <n v="20"/>
    <n v="42489"/>
    <n v="849780"/>
    <x v="2"/>
  </r>
  <r>
    <s v="2024-08-12"/>
    <s v="lunes"/>
    <x v="2"/>
    <s v="2024"/>
    <x v="2"/>
    <x v="3"/>
    <x v="4"/>
    <x v="0"/>
    <x v="1"/>
    <n v="6"/>
    <n v="28768"/>
    <n v="172608"/>
    <x v="2"/>
  </r>
  <r>
    <s v="2024-03-25"/>
    <s v="lunes"/>
    <x v="6"/>
    <s v="2024"/>
    <x v="3"/>
    <x v="1"/>
    <x v="3"/>
    <x v="0"/>
    <x v="0"/>
    <n v="19"/>
    <n v="50812"/>
    <n v="965428"/>
    <x v="2"/>
  </r>
  <r>
    <s v="2024-11-22"/>
    <s v="viernes"/>
    <x v="5"/>
    <s v="2024"/>
    <x v="2"/>
    <x v="4"/>
    <x v="2"/>
    <x v="4"/>
    <x v="1"/>
    <n v="16"/>
    <n v="17674"/>
    <n v="282784"/>
    <x v="0"/>
  </r>
  <r>
    <s v="2024-09-23"/>
    <s v="lunes"/>
    <x v="1"/>
    <s v="2024"/>
    <x v="1"/>
    <x v="4"/>
    <x v="2"/>
    <x v="1"/>
    <x v="0"/>
    <n v="4"/>
    <n v="40041"/>
    <n v="160164"/>
    <x v="0"/>
  </r>
  <r>
    <s v="2024-11-24"/>
    <s v="domingo"/>
    <x v="5"/>
    <s v="2024"/>
    <x v="4"/>
    <x v="3"/>
    <x v="2"/>
    <x v="2"/>
    <x v="0"/>
    <n v="14"/>
    <n v="19201"/>
    <n v="268814"/>
    <x v="0"/>
  </r>
  <r>
    <s v="2024-04-26"/>
    <s v="viernes"/>
    <x v="3"/>
    <s v="2024"/>
    <x v="2"/>
    <x v="0"/>
    <x v="3"/>
    <x v="2"/>
    <x v="0"/>
    <n v="19"/>
    <n v="26504"/>
    <n v="503576"/>
    <x v="1"/>
  </r>
  <r>
    <s v="2024-09-16"/>
    <s v="lunes"/>
    <x v="1"/>
    <s v="2024"/>
    <x v="0"/>
    <x v="0"/>
    <x v="0"/>
    <x v="3"/>
    <x v="1"/>
    <n v="12"/>
    <n v="53746"/>
    <n v="644952"/>
    <x v="1"/>
  </r>
  <r>
    <s v="2024-09-04"/>
    <s v="miércoles"/>
    <x v="1"/>
    <s v="2024"/>
    <x v="2"/>
    <x v="3"/>
    <x v="3"/>
    <x v="0"/>
    <x v="2"/>
    <n v="12"/>
    <n v="52317"/>
    <n v="627804"/>
    <x v="2"/>
  </r>
  <r>
    <s v="2024-12-28"/>
    <s v="sábado"/>
    <x v="7"/>
    <s v="2024"/>
    <x v="4"/>
    <x v="4"/>
    <x v="0"/>
    <x v="1"/>
    <x v="1"/>
    <n v="3"/>
    <n v="43778"/>
    <n v="131334"/>
    <x v="3"/>
  </r>
  <r>
    <s v="2024-07-06"/>
    <s v="sábado"/>
    <x v="0"/>
    <s v="2024"/>
    <x v="2"/>
    <x v="3"/>
    <x v="0"/>
    <x v="3"/>
    <x v="1"/>
    <n v="10"/>
    <n v="51753"/>
    <n v="517530"/>
    <x v="3"/>
  </r>
  <r>
    <s v="2024-03-22"/>
    <s v="viernes"/>
    <x v="6"/>
    <s v="2024"/>
    <x v="0"/>
    <x v="1"/>
    <x v="2"/>
    <x v="2"/>
    <x v="2"/>
    <n v="18"/>
    <n v="21638"/>
    <n v="389484"/>
    <x v="2"/>
  </r>
  <r>
    <s v="2024-07-19"/>
    <s v="viernes"/>
    <x v="0"/>
    <s v="2024"/>
    <x v="4"/>
    <x v="1"/>
    <x v="3"/>
    <x v="1"/>
    <x v="1"/>
    <n v="7"/>
    <n v="53057"/>
    <n v="371399"/>
    <x v="3"/>
  </r>
  <r>
    <s v="2024-11-05"/>
    <s v="martes"/>
    <x v="5"/>
    <s v="2024"/>
    <x v="1"/>
    <x v="3"/>
    <x v="0"/>
    <x v="0"/>
    <x v="2"/>
    <n v="9"/>
    <n v="48713"/>
    <n v="438417"/>
    <x v="2"/>
  </r>
  <r>
    <s v="2024-10-04"/>
    <s v="viernes"/>
    <x v="8"/>
    <s v="2024"/>
    <x v="4"/>
    <x v="2"/>
    <x v="0"/>
    <x v="3"/>
    <x v="2"/>
    <n v="11"/>
    <n v="50888"/>
    <n v="559768"/>
    <x v="0"/>
  </r>
  <r>
    <s v="2024-09-18"/>
    <s v="miércoles"/>
    <x v="1"/>
    <s v="2024"/>
    <x v="2"/>
    <x v="1"/>
    <x v="4"/>
    <x v="3"/>
    <x v="2"/>
    <n v="15"/>
    <n v="38943"/>
    <n v="584145"/>
    <x v="2"/>
  </r>
  <r>
    <s v="2024-08-02"/>
    <s v="viernes"/>
    <x v="2"/>
    <s v="2024"/>
    <x v="4"/>
    <x v="2"/>
    <x v="4"/>
    <x v="2"/>
    <x v="0"/>
    <n v="14"/>
    <n v="40942"/>
    <n v="573188"/>
    <x v="2"/>
  </r>
  <r>
    <s v="2024-01-03"/>
    <s v="miércoles"/>
    <x v="11"/>
    <s v="2024"/>
    <x v="2"/>
    <x v="4"/>
    <x v="1"/>
    <x v="0"/>
    <x v="2"/>
    <n v="18"/>
    <n v="16396"/>
    <n v="295128"/>
    <x v="0"/>
  </r>
  <r>
    <s v="2024-03-23"/>
    <s v="sábado"/>
    <x v="6"/>
    <s v="2024"/>
    <x v="3"/>
    <x v="0"/>
    <x v="4"/>
    <x v="4"/>
    <x v="1"/>
    <n v="6"/>
    <n v="39018"/>
    <n v="234108"/>
    <x v="3"/>
  </r>
  <r>
    <s v="2024-12-25"/>
    <s v="miércoles"/>
    <x v="7"/>
    <s v="2024"/>
    <x v="3"/>
    <x v="4"/>
    <x v="4"/>
    <x v="1"/>
    <x v="2"/>
    <n v="1"/>
    <n v="44110"/>
    <n v="44110"/>
    <x v="2"/>
  </r>
  <r>
    <s v="2024-11-27"/>
    <s v="miércoles"/>
    <x v="5"/>
    <s v="2024"/>
    <x v="1"/>
    <x v="3"/>
    <x v="0"/>
    <x v="4"/>
    <x v="2"/>
    <n v="14"/>
    <n v="15536"/>
    <n v="217504"/>
    <x v="1"/>
  </r>
  <r>
    <s v="2024-03-16"/>
    <s v="sábado"/>
    <x v="6"/>
    <s v="2024"/>
    <x v="3"/>
    <x v="0"/>
    <x v="0"/>
    <x v="4"/>
    <x v="1"/>
    <n v="6"/>
    <n v="43891"/>
    <n v="263346"/>
    <x v="1"/>
  </r>
  <r>
    <s v="2024-01-01"/>
    <s v="lunes"/>
    <x v="11"/>
    <s v="2024"/>
    <x v="1"/>
    <x v="0"/>
    <x v="3"/>
    <x v="2"/>
    <x v="2"/>
    <n v="13"/>
    <n v="48033"/>
    <n v="624429"/>
    <x v="2"/>
  </r>
  <r>
    <s v="2024-03-21"/>
    <s v="jueves"/>
    <x v="6"/>
    <s v="2024"/>
    <x v="1"/>
    <x v="1"/>
    <x v="1"/>
    <x v="3"/>
    <x v="0"/>
    <n v="14"/>
    <n v="21868"/>
    <n v="306152"/>
    <x v="3"/>
  </r>
  <r>
    <s v="2024-02-22"/>
    <s v="jueves"/>
    <x v="10"/>
    <s v="2024"/>
    <x v="0"/>
    <x v="4"/>
    <x v="4"/>
    <x v="1"/>
    <x v="0"/>
    <n v="2"/>
    <n v="49293"/>
    <n v="98586"/>
    <x v="0"/>
  </r>
  <r>
    <s v="2024-10-14"/>
    <s v="lunes"/>
    <x v="8"/>
    <s v="2024"/>
    <x v="3"/>
    <x v="3"/>
    <x v="1"/>
    <x v="2"/>
    <x v="2"/>
    <n v="12"/>
    <n v="45059"/>
    <n v="540708"/>
    <x v="0"/>
  </r>
  <r>
    <s v="2024-10-10"/>
    <s v="jueves"/>
    <x v="8"/>
    <s v="2024"/>
    <x v="4"/>
    <x v="1"/>
    <x v="3"/>
    <x v="0"/>
    <x v="2"/>
    <n v="15"/>
    <n v="46341"/>
    <n v="695115"/>
    <x v="1"/>
  </r>
  <r>
    <s v="2024-04-06"/>
    <s v="sábado"/>
    <x v="3"/>
    <s v="2024"/>
    <x v="1"/>
    <x v="1"/>
    <x v="3"/>
    <x v="2"/>
    <x v="1"/>
    <n v="6"/>
    <n v="49221"/>
    <n v="295326"/>
    <x v="0"/>
  </r>
  <r>
    <s v="2024-06-08"/>
    <s v="sábado"/>
    <x v="9"/>
    <s v="2024"/>
    <x v="2"/>
    <x v="1"/>
    <x v="4"/>
    <x v="0"/>
    <x v="0"/>
    <n v="19"/>
    <n v="20543"/>
    <n v="390317"/>
    <x v="2"/>
  </r>
  <r>
    <s v="2024-03-31"/>
    <s v="domingo"/>
    <x v="6"/>
    <s v="2024"/>
    <x v="0"/>
    <x v="0"/>
    <x v="2"/>
    <x v="0"/>
    <x v="1"/>
    <n v="12"/>
    <n v="28972"/>
    <n v="347664"/>
    <x v="1"/>
  </r>
  <r>
    <s v="2024-04-01"/>
    <s v="lunes"/>
    <x v="3"/>
    <s v="2024"/>
    <x v="0"/>
    <x v="2"/>
    <x v="2"/>
    <x v="2"/>
    <x v="1"/>
    <n v="18"/>
    <n v="18170"/>
    <n v="327060"/>
    <x v="0"/>
  </r>
  <r>
    <s v="2024-10-09"/>
    <s v="miércoles"/>
    <x v="8"/>
    <s v="2024"/>
    <x v="3"/>
    <x v="1"/>
    <x v="2"/>
    <x v="2"/>
    <x v="0"/>
    <n v="12"/>
    <n v="50669"/>
    <n v="608028"/>
    <x v="1"/>
  </r>
  <r>
    <s v="2024-08-18"/>
    <s v="domingo"/>
    <x v="2"/>
    <s v="2024"/>
    <x v="3"/>
    <x v="0"/>
    <x v="2"/>
    <x v="4"/>
    <x v="1"/>
    <n v="14"/>
    <n v="26802"/>
    <n v="375228"/>
    <x v="3"/>
  </r>
  <r>
    <s v="2024-05-09"/>
    <s v="jueves"/>
    <x v="4"/>
    <s v="2024"/>
    <x v="2"/>
    <x v="3"/>
    <x v="0"/>
    <x v="2"/>
    <x v="2"/>
    <n v="4"/>
    <n v="48292"/>
    <n v="193168"/>
    <x v="2"/>
  </r>
  <r>
    <s v="2024-07-21"/>
    <s v="domingo"/>
    <x v="0"/>
    <s v="2024"/>
    <x v="1"/>
    <x v="1"/>
    <x v="0"/>
    <x v="0"/>
    <x v="2"/>
    <n v="17"/>
    <n v="40426"/>
    <n v="687242"/>
    <x v="1"/>
  </r>
  <r>
    <s v="2024-10-19"/>
    <s v="sábado"/>
    <x v="8"/>
    <s v="2024"/>
    <x v="0"/>
    <x v="1"/>
    <x v="3"/>
    <x v="4"/>
    <x v="2"/>
    <n v="3"/>
    <n v="48756"/>
    <n v="146268"/>
    <x v="3"/>
  </r>
  <r>
    <s v="2024-02-08"/>
    <s v="jueves"/>
    <x v="10"/>
    <s v="2024"/>
    <x v="4"/>
    <x v="1"/>
    <x v="1"/>
    <x v="3"/>
    <x v="0"/>
    <n v="7"/>
    <n v="21243"/>
    <n v="148701"/>
    <x v="1"/>
  </r>
  <r>
    <s v="2024-11-17"/>
    <s v="domingo"/>
    <x v="5"/>
    <s v="2024"/>
    <x v="3"/>
    <x v="0"/>
    <x v="0"/>
    <x v="0"/>
    <x v="2"/>
    <n v="12"/>
    <n v="50783"/>
    <n v="609396"/>
    <x v="0"/>
  </r>
  <r>
    <s v="2024-08-23"/>
    <s v="viernes"/>
    <x v="2"/>
    <s v="2024"/>
    <x v="0"/>
    <x v="3"/>
    <x v="1"/>
    <x v="2"/>
    <x v="1"/>
    <n v="10"/>
    <n v="55322"/>
    <n v="553220"/>
    <x v="0"/>
  </r>
  <r>
    <s v="2024-11-04"/>
    <s v="lunes"/>
    <x v="5"/>
    <s v="2024"/>
    <x v="4"/>
    <x v="4"/>
    <x v="2"/>
    <x v="2"/>
    <x v="0"/>
    <n v="17"/>
    <n v="37040"/>
    <n v="629680"/>
    <x v="2"/>
  </r>
  <r>
    <s v="2024-10-23"/>
    <s v="miércoles"/>
    <x v="8"/>
    <s v="2024"/>
    <x v="4"/>
    <x v="4"/>
    <x v="0"/>
    <x v="0"/>
    <x v="0"/>
    <n v="11"/>
    <n v="26835"/>
    <n v="295185"/>
    <x v="1"/>
  </r>
  <r>
    <s v="2024-02-28"/>
    <s v="miércoles"/>
    <x v="10"/>
    <s v="2024"/>
    <x v="1"/>
    <x v="1"/>
    <x v="1"/>
    <x v="4"/>
    <x v="1"/>
    <n v="10"/>
    <n v="42460"/>
    <n v="424600"/>
    <x v="3"/>
  </r>
  <r>
    <s v="2024-11-15"/>
    <s v="viernes"/>
    <x v="5"/>
    <s v="2024"/>
    <x v="4"/>
    <x v="2"/>
    <x v="1"/>
    <x v="1"/>
    <x v="0"/>
    <n v="15"/>
    <n v="56675"/>
    <n v="850125"/>
    <x v="3"/>
  </r>
  <r>
    <s v="2024-03-05"/>
    <s v="martes"/>
    <x v="6"/>
    <s v="2024"/>
    <x v="0"/>
    <x v="1"/>
    <x v="1"/>
    <x v="3"/>
    <x v="1"/>
    <n v="20"/>
    <n v="26815"/>
    <n v="536300"/>
    <x v="2"/>
  </r>
  <r>
    <s v="2024-05-18"/>
    <s v="sábado"/>
    <x v="4"/>
    <s v="2024"/>
    <x v="2"/>
    <x v="3"/>
    <x v="1"/>
    <x v="0"/>
    <x v="0"/>
    <n v="14"/>
    <n v="39952"/>
    <n v="559328"/>
    <x v="1"/>
  </r>
  <r>
    <s v="2024-01-14"/>
    <s v="domingo"/>
    <x v="11"/>
    <s v="2024"/>
    <x v="2"/>
    <x v="3"/>
    <x v="4"/>
    <x v="2"/>
    <x v="2"/>
    <n v="6"/>
    <n v="16063"/>
    <n v="96378"/>
    <x v="2"/>
  </r>
  <r>
    <s v="2024-04-13"/>
    <s v="sábado"/>
    <x v="3"/>
    <s v="2024"/>
    <x v="3"/>
    <x v="1"/>
    <x v="1"/>
    <x v="4"/>
    <x v="2"/>
    <n v="17"/>
    <n v="15158"/>
    <n v="257686"/>
    <x v="0"/>
  </r>
  <r>
    <s v="2024-06-03"/>
    <s v="lunes"/>
    <x v="9"/>
    <s v="2024"/>
    <x v="4"/>
    <x v="2"/>
    <x v="0"/>
    <x v="2"/>
    <x v="0"/>
    <n v="3"/>
    <n v="41877"/>
    <n v="125631"/>
    <x v="1"/>
  </r>
  <r>
    <s v="2024-03-11"/>
    <s v="lunes"/>
    <x v="6"/>
    <s v="2024"/>
    <x v="3"/>
    <x v="0"/>
    <x v="4"/>
    <x v="0"/>
    <x v="2"/>
    <n v="13"/>
    <n v="57167"/>
    <n v="743171"/>
    <x v="2"/>
  </r>
  <r>
    <s v="2024-08-03"/>
    <s v="sábado"/>
    <x v="2"/>
    <s v="2024"/>
    <x v="1"/>
    <x v="2"/>
    <x v="0"/>
    <x v="2"/>
    <x v="0"/>
    <n v="20"/>
    <n v="26995"/>
    <n v="539900"/>
    <x v="2"/>
  </r>
  <r>
    <s v="2024-08-20"/>
    <s v="martes"/>
    <x v="2"/>
    <s v="2024"/>
    <x v="0"/>
    <x v="0"/>
    <x v="2"/>
    <x v="3"/>
    <x v="1"/>
    <n v="17"/>
    <n v="42017"/>
    <n v="714289"/>
    <x v="1"/>
  </r>
  <r>
    <s v="2024-02-17"/>
    <s v="sábado"/>
    <x v="10"/>
    <s v="2024"/>
    <x v="3"/>
    <x v="0"/>
    <x v="1"/>
    <x v="2"/>
    <x v="2"/>
    <n v="18"/>
    <n v="26027"/>
    <n v="468486"/>
    <x v="2"/>
  </r>
  <r>
    <s v="2024-07-19"/>
    <s v="viernes"/>
    <x v="0"/>
    <s v="2024"/>
    <x v="2"/>
    <x v="2"/>
    <x v="4"/>
    <x v="1"/>
    <x v="2"/>
    <n v="12"/>
    <n v="54941"/>
    <n v="659292"/>
    <x v="2"/>
  </r>
  <r>
    <s v="2024-03-09"/>
    <s v="sábado"/>
    <x v="6"/>
    <s v="2024"/>
    <x v="4"/>
    <x v="3"/>
    <x v="3"/>
    <x v="1"/>
    <x v="2"/>
    <n v="4"/>
    <n v="34212"/>
    <n v="136848"/>
    <x v="3"/>
  </r>
  <r>
    <s v="2024-04-03"/>
    <s v="miércoles"/>
    <x v="3"/>
    <s v="2024"/>
    <x v="0"/>
    <x v="2"/>
    <x v="3"/>
    <x v="4"/>
    <x v="1"/>
    <n v="11"/>
    <n v="34448"/>
    <n v="378928"/>
    <x v="0"/>
  </r>
  <r>
    <s v="2024-06-06"/>
    <s v="jueves"/>
    <x v="9"/>
    <s v="2024"/>
    <x v="3"/>
    <x v="4"/>
    <x v="1"/>
    <x v="0"/>
    <x v="2"/>
    <n v="2"/>
    <n v="59437"/>
    <n v="118874"/>
    <x v="1"/>
  </r>
  <r>
    <s v="2024-05-05"/>
    <s v="domingo"/>
    <x v="4"/>
    <s v="2024"/>
    <x v="0"/>
    <x v="3"/>
    <x v="4"/>
    <x v="1"/>
    <x v="0"/>
    <n v="5"/>
    <n v="33517"/>
    <n v="167585"/>
    <x v="1"/>
  </r>
  <r>
    <s v="2024-02-16"/>
    <s v="viernes"/>
    <x v="10"/>
    <s v="2024"/>
    <x v="0"/>
    <x v="0"/>
    <x v="3"/>
    <x v="2"/>
    <x v="0"/>
    <n v="7"/>
    <n v="16046"/>
    <n v="112322"/>
    <x v="3"/>
  </r>
  <r>
    <s v="2024-04-12"/>
    <s v="viernes"/>
    <x v="3"/>
    <s v="2024"/>
    <x v="2"/>
    <x v="1"/>
    <x v="4"/>
    <x v="2"/>
    <x v="1"/>
    <n v="12"/>
    <n v="53982"/>
    <n v="647784"/>
    <x v="3"/>
  </r>
  <r>
    <s v="2024-12-10"/>
    <s v="martes"/>
    <x v="7"/>
    <s v="2024"/>
    <x v="1"/>
    <x v="2"/>
    <x v="0"/>
    <x v="0"/>
    <x v="0"/>
    <n v="2"/>
    <n v="46200"/>
    <n v="92400"/>
    <x v="3"/>
  </r>
  <r>
    <s v="2024-07-26"/>
    <s v="viernes"/>
    <x v="0"/>
    <s v="2024"/>
    <x v="3"/>
    <x v="1"/>
    <x v="0"/>
    <x v="0"/>
    <x v="2"/>
    <n v="5"/>
    <n v="18521"/>
    <n v="92605"/>
    <x v="1"/>
  </r>
  <r>
    <s v="2024-08-15"/>
    <s v="jueves"/>
    <x v="2"/>
    <s v="2024"/>
    <x v="0"/>
    <x v="3"/>
    <x v="2"/>
    <x v="2"/>
    <x v="2"/>
    <n v="13"/>
    <n v="45800"/>
    <n v="595400"/>
    <x v="2"/>
  </r>
  <r>
    <s v="2024-04-11"/>
    <s v="jueves"/>
    <x v="3"/>
    <s v="2024"/>
    <x v="1"/>
    <x v="0"/>
    <x v="4"/>
    <x v="4"/>
    <x v="1"/>
    <n v="12"/>
    <n v="21260"/>
    <n v="255120"/>
    <x v="3"/>
  </r>
  <r>
    <s v="2024-10-19"/>
    <s v="sábado"/>
    <x v="8"/>
    <s v="2024"/>
    <x v="0"/>
    <x v="2"/>
    <x v="2"/>
    <x v="4"/>
    <x v="2"/>
    <n v="18"/>
    <n v="25295"/>
    <n v="455310"/>
    <x v="3"/>
  </r>
  <r>
    <s v="2024-07-15"/>
    <s v="lunes"/>
    <x v="0"/>
    <s v="2024"/>
    <x v="2"/>
    <x v="4"/>
    <x v="2"/>
    <x v="0"/>
    <x v="0"/>
    <n v="7"/>
    <n v="21219"/>
    <n v="148533"/>
    <x v="0"/>
  </r>
  <r>
    <s v="2024-11-09"/>
    <s v="sábado"/>
    <x v="5"/>
    <s v="2024"/>
    <x v="2"/>
    <x v="1"/>
    <x v="3"/>
    <x v="3"/>
    <x v="1"/>
    <n v="1"/>
    <n v="59123"/>
    <n v="59123"/>
    <x v="3"/>
  </r>
  <r>
    <s v="2024-01-25"/>
    <s v="jueves"/>
    <x v="11"/>
    <s v="2024"/>
    <x v="4"/>
    <x v="1"/>
    <x v="4"/>
    <x v="0"/>
    <x v="1"/>
    <n v="17"/>
    <n v="53119"/>
    <n v="903023"/>
    <x v="0"/>
  </r>
  <r>
    <s v="2024-07-27"/>
    <s v="sábado"/>
    <x v="0"/>
    <s v="2024"/>
    <x v="2"/>
    <x v="4"/>
    <x v="0"/>
    <x v="3"/>
    <x v="1"/>
    <n v="2"/>
    <n v="19694"/>
    <n v="39388"/>
    <x v="0"/>
  </r>
  <r>
    <s v="2024-01-07"/>
    <s v="domingo"/>
    <x v="11"/>
    <s v="2024"/>
    <x v="1"/>
    <x v="0"/>
    <x v="1"/>
    <x v="1"/>
    <x v="2"/>
    <n v="19"/>
    <n v="33079"/>
    <n v="628501"/>
    <x v="2"/>
  </r>
  <r>
    <s v="2024-07-20"/>
    <s v="sábado"/>
    <x v="0"/>
    <s v="2024"/>
    <x v="4"/>
    <x v="2"/>
    <x v="0"/>
    <x v="3"/>
    <x v="1"/>
    <n v="13"/>
    <n v="46277"/>
    <n v="601601"/>
    <x v="3"/>
  </r>
  <r>
    <s v="2024-01-11"/>
    <s v="jueves"/>
    <x v="11"/>
    <s v="2024"/>
    <x v="0"/>
    <x v="4"/>
    <x v="1"/>
    <x v="1"/>
    <x v="0"/>
    <n v="9"/>
    <n v="45567"/>
    <n v="410103"/>
    <x v="1"/>
  </r>
  <r>
    <s v="2024-11-20"/>
    <s v="miércoles"/>
    <x v="5"/>
    <s v="2024"/>
    <x v="4"/>
    <x v="3"/>
    <x v="2"/>
    <x v="2"/>
    <x v="0"/>
    <n v="12"/>
    <n v="42905"/>
    <n v="514860"/>
    <x v="1"/>
  </r>
  <r>
    <s v="2024-03-08"/>
    <s v="viernes"/>
    <x v="6"/>
    <s v="2024"/>
    <x v="1"/>
    <x v="1"/>
    <x v="3"/>
    <x v="3"/>
    <x v="0"/>
    <n v="9"/>
    <n v="39991"/>
    <n v="359919"/>
    <x v="3"/>
  </r>
  <r>
    <s v="2024-01-29"/>
    <s v="lunes"/>
    <x v="11"/>
    <s v="2024"/>
    <x v="1"/>
    <x v="3"/>
    <x v="1"/>
    <x v="2"/>
    <x v="2"/>
    <n v="20"/>
    <n v="32666"/>
    <n v="653320"/>
    <x v="2"/>
  </r>
  <r>
    <s v="2024-04-18"/>
    <s v="jueves"/>
    <x v="3"/>
    <s v="2024"/>
    <x v="1"/>
    <x v="1"/>
    <x v="3"/>
    <x v="0"/>
    <x v="2"/>
    <n v="5"/>
    <n v="50736"/>
    <n v="253680"/>
    <x v="2"/>
  </r>
  <r>
    <s v="2024-02-14"/>
    <s v="miércoles"/>
    <x v="10"/>
    <s v="2024"/>
    <x v="1"/>
    <x v="2"/>
    <x v="4"/>
    <x v="2"/>
    <x v="0"/>
    <n v="5"/>
    <n v="35786"/>
    <n v="178930"/>
    <x v="3"/>
  </r>
  <r>
    <s v="2024-08-05"/>
    <s v="lunes"/>
    <x v="2"/>
    <s v="2024"/>
    <x v="3"/>
    <x v="3"/>
    <x v="0"/>
    <x v="3"/>
    <x v="0"/>
    <n v="13"/>
    <n v="31067"/>
    <n v="403871"/>
    <x v="3"/>
  </r>
  <r>
    <s v="2024-06-08"/>
    <s v="sábado"/>
    <x v="9"/>
    <s v="2024"/>
    <x v="3"/>
    <x v="2"/>
    <x v="0"/>
    <x v="1"/>
    <x v="1"/>
    <n v="7"/>
    <n v="53081"/>
    <n v="371567"/>
    <x v="0"/>
  </r>
  <r>
    <s v="2024-03-05"/>
    <s v="martes"/>
    <x v="6"/>
    <s v="2024"/>
    <x v="4"/>
    <x v="2"/>
    <x v="1"/>
    <x v="0"/>
    <x v="0"/>
    <n v="5"/>
    <n v="43903"/>
    <n v="219515"/>
    <x v="2"/>
  </r>
  <r>
    <s v="2024-11-04"/>
    <s v="lunes"/>
    <x v="5"/>
    <s v="2024"/>
    <x v="4"/>
    <x v="3"/>
    <x v="3"/>
    <x v="2"/>
    <x v="2"/>
    <n v="16"/>
    <n v="36843"/>
    <n v="589488"/>
    <x v="0"/>
  </r>
  <r>
    <s v="2024-09-02"/>
    <s v="lunes"/>
    <x v="1"/>
    <s v="2024"/>
    <x v="3"/>
    <x v="1"/>
    <x v="0"/>
    <x v="1"/>
    <x v="2"/>
    <n v="7"/>
    <n v="28741"/>
    <n v="201187"/>
    <x v="2"/>
  </r>
  <r>
    <s v="2024-04-20"/>
    <s v="sábado"/>
    <x v="3"/>
    <s v="2024"/>
    <x v="4"/>
    <x v="4"/>
    <x v="4"/>
    <x v="1"/>
    <x v="1"/>
    <n v="12"/>
    <n v="29783"/>
    <n v="357396"/>
    <x v="2"/>
  </r>
  <r>
    <s v="2024-05-20"/>
    <s v="lunes"/>
    <x v="4"/>
    <s v="2024"/>
    <x v="4"/>
    <x v="1"/>
    <x v="4"/>
    <x v="3"/>
    <x v="1"/>
    <n v="4"/>
    <n v="44319"/>
    <n v="177276"/>
    <x v="3"/>
  </r>
  <r>
    <s v="2024-06-20"/>
    <s v="jueves"/>
    <x v="9"/>
    <s v="2024"/>
    <x v="2"/>
    <x v="0"/>
    <x v="3"/>
    <x v="3"/>
    <x v="2"/>
    <n v="3"/>
    <n v="35076"/>
    <n v="105228"/>
    <x v="0"/>
  </r>
  <r>
    <s v="2024-12-05"/>
    <s v="jueves"/>
    <x v="7"/>
    <s v="2024"/>
    <x v="4"/>
    <x v="0"/>
    <x v="0"/>
    <x v="1"/>
    <x v="0"/>
    <n v="15"/>
    <n v="43719"/>
    <n v="655785"/>
    <x v="3"/>
  </r>
  <r>
    <s v="2024-06-27"/>
    <s v="jueves"/>
    <x v="9"/>
    <s v="2024"/>
    <x v="3"/>
    <x v="0"/>
    <x v="3"/>
    <x v="3"/>
    <x v="1"/>
    <n v="15"/>
    <n v="22145"/>
    <n v="332175"/>
    <x v="2"/>
  </r>
  <r>
    <s v="2024-08-11"/>
    <s v="domingo"/>
    <x v="2"/>
    <s v="2024"/>
    <x v="2"/>
    <x v="2"/>
    <x v="0"/>
    <x v="3"/>
    <x v="0"/>
    <n v="4"/>
    <n v="30577"/>
    <n v="122308"/>
    <x v="2"/>
  </r>
  <r>
    <s v="2024-02-15"/>
    <s v="jueves"/>
    <x v="10"/>
    <s v="2024"/>
    <x v="1"/>
    <x v="3"/>
    <x v="0"/>
    <x v="2"/>
    <x v="2"/>
    <n v="4"/>
    <n v="24122"/>
    <n v="96488"/>
    <x v="3"/>
  </r>
  <r>
    <s v="2024-03-08"/>
    <s v="viernes"/>
    <x v="6"/>
    <s v="2024"/>
    <x v="0"/>
    <x v="3"/>
    <x v="2"/>
    <x v="4"/>
    <x v="2"/>
    <n v="17"/>
    <n v="53846"/>
    <n v="915382"/>
    <x v="2"/>
  </r>
  <r>
    <s v="2024-12-16"/>
    <s v="lunes"/>
    <x v="7"/>
    <s v="2024"/>
    <x v="2"/>
    <x v="0"/>
    <x v="0"/>
    <x v="1"/>
    <x v="2"/>
    <n v="16"/>
    <n v="52016"/>
    <n v="832256"/>
    <x v="2"/>
  </r>
  <r>
    <s v="2024-04-26"/>
    <s v="viernes"/>
    <x v="3"/>
    <s v="2024"/>
    <x v="3"/>
    <x v="2"/>
    <x v="2"/>
    <x v="3"/>
    <x v="1"/>
    <n v="8"/>
    <n v="59794"/>
    <n v="478352"/>
    <x v="3"/>
  </r>
  <r>
    <s v="2024-01-02"/>
    <s v="martes"/>
    <x v="11"/>
    <s v="2024"/>
    <x v="1"/>
    <x v="3"/>
    <x v="2"/>
    <x v="3"/>
    <x v="2"/>
    <n v="1"/>
    <n v="16854"/>
    <n v="16854"/>
    <x v="0"/>
  </r>
  <r>
    <s v="2024-02-02"/>
    <s v="viernes"/>
    <x v="10"/>
    <s v="2024"/>
    <x v="0"/>
    <x v="1"/>
    <x v="1"/>
    <x v="3"/>
    <x v="1"/>
    <n v="3"/>
    <n v="26919"/>
    <n v="80757"/>
    <x v="1"/>
  </r>
  <r>
    <s v="2024-09-20"/>
    <s v="viernes"/>
    <x v="1"/>
    <s v="2024"/>
    <x v="2"/>
    <x v="0"/>
    <x v="3"/>
    <x v="0"/>
    <x v="1"/>
    <n v="13"/>
    <n v="43811"/>
    <n v="569543"/>
    <x v="0"/>
  </r>
  <r>
    <s v="2024-08-12"/>
    <s v="lunes"/>
    <x v="2"/>
    <s v="2024"/>
    <x v="4"/>
    <x v="3"/>
    <x v="1"/>
    <x v="4"/>
    <x v="1"/>
    <n v="17"/>
    <n v="42383"/>
    <n v="720511"/>
    <x v="1"/>
  </r>
  <r>
    <s v="2024-05-31"/>
    <s v="viernes"/>
    <x v="4"/>
    <s v="2024"/>
    <x v="3"/>
    <x v="2"/>
    <x v="3"/>
    <x v="2"/>
    <x v="0"/>
    <n v="9"/>
    <n v="44089"/>
    <n v="396801"/>
    <x v="1"/>
  </r>
  <r>
    <s v="2024-02-27"/>
    <s v="martes"/>
    <x v="10"/>
    <s v="2024"/>
    <x v="2"/>
    <x v="3"/>
    <x v="4"/>
    <x v="3"/>
    <x v="1"/>
    <n v="1"/>
    <n v="29613"/>
    <n v="29613"/>
    <x v="1"/>
  </r>
  <r>
    <s v="2024-11-05"/>
    <s v="martes"/>
    <x v="5"/>
    <s v="2024"/>
    <x v="1"/>
    <x v="1"/>
    <x v="0"/>
    <x v="1"/>
    <x v="0"/>
    <n v="11"/>
    <n v="48331"/>
    <n v="531641"/>
    <x v="2"/>
  </r>
  <r>
    <s v="2024-02-01"/>
    <s v="jueves"/>
    <x v="10"/>
    <s v="2024"/>
    <x v="3"/>
    <x v="3"/>
    <x v="1"/>
    <x v="4"/>
    <x v="2"/>
    <n v="10"/>
    <n v="39283"/>
    <n v="392830"/>
    <x v="3"/>
  </r>
  <r>
    <s v="2024-06-18"/>
    <s v="martes"/>
    <x v="9"/>
    <s v="2024"/>
    <x v="2"/>
    <x v="2"/>
    <x v="2"/>
    <x v="1"/>
    <x v="2"/>
    <n v="11"/>
    <n v="50360"/>
    <n v="553960"/>
    <x v="2"/>
  </r>
  <r>
    <s v="2024-01-01"/>
    <s v="lunes"/>
    <x v="11"/>
    <s v="2024"/>
    <x v="1"/>
    <x v="0"/>
    <x v="1"/>
    <x v="2"/>
    <x v="0"/>
    <n v="3"/>
    <n v="32747"/>
    <n v="98241"/>
    <x v="1"/>
  </r>
  <r>
    <s v="2024-08-03"/>
    <s v="sábado"/>
    <x v="2"/>
    <s v="2024"/>
    <x v="3"/>
    <x v="0"/>
    <x v="0"/>
    <x v="3"/>
    <x v="1"/>
    <n v="13"/>
    <n v="49134"/>
    <n v="638742"/>
    <x v="0"/>
  </r>
  <r>
    <s v="2024-12-08"/>
    <s v="domingo"/>
    <x v="7"/>
    <s v="2024"/>
    <x v="2"/>
    <x v="3"/>
    <x v="3"/>
    <x v="3"/>
    <x v="2"/>
    <n v="20"/>
    <n v="40352"/>
    <n v="807040"/>
    <x v="1"/>
  </r>
  <r>
    <s v="2024-12-17"/>
    <s v="martes"/>
    <x v="7"/>
    <s v="2024"/>
    <x v="3"/>
    <x v="0"/>
    <x v="3"/>
    <x v="4"/>
    <x v="0"/>
    <n v="14"/>
    <n v="50479"/>
    <n v="706706"/>
    <x v="0"/>
  </r>
  <r>
    <s v="2024-09-26"/>
    <s v="jueves"/>
    <x v="1"/>
    <s v="2024"/>
    <x v="0"/>
    <x v="2"/>
    <x v="3"/>
    <x v="4"/>
    <x v="0"/>
    <n v="17"/>
    <n v="23265"/>
    <n v="395505"/>
    <x v="1"/>
  </r>
  <r>
    <s v="2024-07-29"/>
    <s v="lunes"/>
    <x v="0"/>
    <s v="2024"/>
    <x v="0"/>
    <x v="2"/>
    <x v="3"/>
    <x v="3"/>
    <x v="2"/>
    <n v="3"/>
    <n v="35934"/>
    <n v="107802"/>
    <x v="1"/>
  </r>
  <r>
    <s v="2024-02-27"/>
    <s v="martes"/>
    <x v="10"/>
    <s v="2024"/>
    <x v="3"/>
    <x v="1"/>
    <x v="3"/>
    <x v="2"/>
    <x v="0"/>
    <n v="9"/>
    <n v="49841"/>
    <n v="448569"/>
    <x v="1"/>
  </r>
  <r>
    <s v="2024-05-09"/>
    <s v="jueves"/>
    <x v="4"/>
    <s v="2024"/>
    <x v="3"/>
    <x v="1"/>
    <x v="0"/>
    <x v="2"/>
    <x v="2"/>
    <n v="17"/>
    <n v="27241"/>
    <n v="463097"/>
    <x v="0"/>
  </r>
  <r>
    <s v="2024-03-08"/>
    <s v="viernes"/>
    <x v="6"/>
    <s v="2024"/>
    <x v="1"/>
    <x v="3"/>
    <x v="2"/>
    <x v="3"/>
    <x v="0"/>
    <n v="14"/>
    <n v="58753"/>
    <n v="822542"/>
    <x v="0"/>
  </r>
  <r>
    <s v="2024-08-04"/>
    <s v="domingo"/>
    <x v="2"/>
    <s v="2024"/>
    <x v="4"/>
    <x v="4"/>
    <x v="2"/>
    <x v="4"/>
    <x v="0"/>
    <n v="7"/>
    <n v="51726"/>
    <n v="362082"/>
    <x v="1"/>
  </r>
  <r>
    <s v="2024-06-08"/>
    <s v="sábado"/>
    <x v="9"/>
    <s v="2024"/>
    <x v="0"/>
    <x v="2"/>
    <x v="3"/>
    <x v="2"/>
    <x v="1"/>
    <n v="11"/>
    <n v="15097"/>
    <n v="166067"/>
    <x v="0"/>
  </r>
  <r>
    <s v="2024-12-19"/>
    <s v="jueves"/>
    <x v="7"/>
    <s v="2024"/>
    <x v="2"/>
    <x v="2"/>
    <x v="4"/>
    <x v="2"/>
    <x v="1"/>
    <n v="14"/>
    <n v="18879"/>
    <n v="264306"/>
    <x v="0"/>
  </r>
  <r>
    <s v="2024-07-30"/>
    <s v="martes"/>
    <x v="0"/>
    <s v="2024"/>
    <x v="2"/>
    <x v="1"/>
    <x v="0"/>
    <x v="3"/>
    <x v="1"/>
    <n v="13"/>
    <n v="51948"/>
    <n v="675324"/>
    <x v="1"/>
  </r>
  <r>
    <s v="2024-06-07"/>
    <s v="viernes"/>
    <x v="9"/>
    <s v="2024"/>
    <x v="0"/>
    <x v="1"/>
    <x v="1"/>
    <x v="4"/>
    <x v="2"/>
    <n v="9"/>
    <n v="26417"/>
    <n v="237753"/>
    <x v="1"/>
  </r>
  <r>
    <s v="2024-05-02"/>
    <s v="jueves"/>
    <x v="4"/>
    <s v="2024"/>
    <x v="3"/>
    <x v="3"/>
    <x v="2"/>
    <x v="3"/>
    <x v="0"/>
    <n v="20"/>
    <n v="35882"/>
    <n v="717640"/>
    <x v="1"/>
  </r>
  <r>
    <s v="2024-02-14"/>
    <s v="miércoles"/>
    <x v="10"/>
    <s v="2024"/>
    <x v="3"/>
    <x v="0"/>
    <x v="4"/>
    <x v="4"/>
    <x v="0"/>
    <n v="2"/>
    <n v="29181"/>
    <n v="58362"/>
    <x v="1"/>
  </r>
  <r>
    <s v="2024-10-30"/>
    <s v="miércoles"/>
    <x v="8"/>
    <s v="2024"/>
    <x v="2"/>
    <x v="4"/>
    <x v="3"/>
    <x v="1"/>
    <x v="0"/>
    <n v="15"/>
    <n v="27744"/>
    <n v="416160"/>
    <x v="3"/>
  </r>
  <r>
    <s v="2024-02-22"/>
    <s v="jueves"/>
    <x v="10"/>
    <s v="2024"/>
    <x v="3"/>
    <x v="4"/>
    <x v="3"/>
    <x v="1"/>
    <x v="1"/>
    <n v="19"/>
    <n v="48116"/>
    <n v="914204"/>
    <x v="2"/>
  </r>
  <r>
    <s v="2024-08-13"/>
    <s v="martes"/>
    <x v="2"/>
    <s v="2024"/>
    <x v="2"/>
    <x v="2"/>
    <x v="2"/>
    <x v="3"/>
    <x v="1"/>
    <n v="17"/>
    <n v="34833"/>
    <n v="592161"/>
    <x v="3"/>
  </r>
  <r>
    <s v="2024-06-09"/>
    <s v="domingo"/>
    <x v="9"/>
    <s v="2024"/>
    <x v="2"/>
    <x v="4"/>
    <x v="0"/>
    <x v="2"/>
    <x v="2"/>
    <n v="7"/>
    <n v="45128"/>
    <n v="315896"/>
    <x v="1"/>
  </r>
  <r>
    <s v="2024-06-12"/>
    <s v="miércoles"/>
    <x v="9"/>
    <s v="2024"/>
    <x v="4"/>
    <x v="4"/>
    <x v="2"/>
    <x v="2"/>
    <x v="2"/>
    <n v="2"/>
    <n v="48939"/>
    <n v="97878"/>
    <x v="1"/>
  </r>
  <r>
    <s v="2024-02-07"/>
    <s v="miércoles"/>
    <x v="10"/>
    <s v="2024"/>
    <x v="2"/>
    <x v="4"/>
    <x v="2"/>
    <x v="3"/>
    <x v="0"/>
    <n v="3"/>
    <n v="58351"/>
    <n v="175053"/>
    <x v="0"/>
  </r>
  <r>
    <s v="2024-09-04"/>
    <s v="miércoles"/>
    <x v="1"/>
    <s v="2024"/>
    <x v="3"/>
    <x v="3"/>
    <x v="3"/>
    <x v="3"/>
    <x v="1"/>
    <n v="19"/>
    <n v="48610"/>
    <n v="923590"/>
    <x v="0"/>
  </r>
  <r>
    <s v="2024-07-02"/>
    <s v="martes"/>
    <x v="0"/>
    <s v="2024"/>
    <x v="3"/>
    <x v="3"/>
    <x v="2"/>
    <x v="1"/>
    <x v="1"/>
    <n v="12"/>
    <n v="52204"/>
    <n v="626448"/>
    <x v="0"/>
  </r>
  <r>
    <s v="2024-08-11"/>
    <s v="domingo"/>
    <x v="2"/>
    <s v="2024"/>
    <x v="4"/>
    <x v="4"/>
    <x v="1"/>
    <x v="3"/>
    <x v="0"/>
    <n v="12"/>
    <n v="51803"/>
    <n v="621636"/>
    <x v="3"/>
  </r>
  <r>
    <s v="2024-01-14"/>
    <s v="domingo"/>
    <x v="11"/>
    <s v="2024"/>
    <x v="2"/>
    <x v="4"/>
    <x v="1"/>
    <x v="3"/>
    <x v="0"/>
    <n v="7"/>
    <n v="17363"/>
    <n v="121541"/>
    <x v="2"/>
  </r>
  <r>
    <s v="2024-05-25"/>
    <s v="sábado"/>
    <x v="4"/>
    <s v="2024"/>
    <x v="2"/>
    <x v="4"/>
    <x v="4"/>
    <x v="0"/>
    <x v="2"/>
    <n v="13"/>
    <n v="45190"/>
    <n v="587470"/>
    <x v="0"/>
  </r>
  <r>
    <s v="2024-07-06"/>
    <s v="sábado"/>
    <x v="0"/>
    <s v="2024"/>
    <x v="1"/>
    <x v="3"/>
    <x v="2"/>
    <x v="1"/>
    <x v="0"/>
    <n v="9"/>
    <n v="21367"/>
    <n v="192303"/>
    <x v="0"/>
  </r>
  <r>
    <s v="2024-02-15"/>
    <s v="jueves"/>
    <x v="10"/>
    <s v="2024"/>
    <x v="0"/>
    <x v="2"/>
    <x v="1"/>
    <x v="0"/>
    <x v="2"/>
    <n v="13"/>
    <n v="58828"/>
    <n v="764764"/>
    <x v="3"/>
  </r>
  <r>
    <s v="2024-06-23"/>
    <s v="domingo"/>
    <x v="9"/>
    <s v="2024"/>
    <x v="2"/>
    <x v="0"/>
    <x v="3"/>
    <x v="4"/>
    <x v="1"/>
    <n v="10"/>
    <n v="34107"/>
    <n v="341070"/>
    <x v="1"/>
  </r>
  <r>
    <s v="2024-05-20"/>
    <s v="lunes"/>
    <x v="4"/>
    <s v="2024"/>
    <x v="2"/>
    <x v="0"/>
    <x v="0"/>
    <x v="1"/>
    <x v="1"/>
    <n v="18"/>
    <n v="39158"/>
    <n v="704844"/>
    <x v="1"/>
  </r>
  <r>
    <s v="2024-07-01"/>
    <s v="lunes"/>
    <x v="0"/>
    <s v="2024"/>
    <x v="3"/>
    <x v="3"/>
    <x v="1"/>
    <x v="4"/>
    <x v="1"/>
    <n v="6"/>
    <n v="25611"/>
    <n v="153666"/>
    <x v="0"/>
  </r>
  <r>
    <s v="2024-05-18"/>
    <s v="sábado"/>
    <x v="4"/>
    <s v="2024"/>
    <x v="0"/>
    <x v="2"/>
    <x v="0"/>
    <x v="0"/>
    <x v="1"/>
    <n v="14"/>
    <n v="22041"/>
    <n v="308574"/>
    <x v="2"/>
  </r>
  <r>
    <s v="2024-06-12"/>
    <s v="miércoles"/>
    <x v="9"/>
    <s v="2024"/>
    <x v="1"/>
    <x v="2"/>
    <x v="0"/>
    <x v="3"/>
    <x v="2"/>
    <n v="11"/>
    <n v="53316"/>
    <n v="586476"/>
    <x v="1"/>
  </r>
  <r>
    <s v="2024-01-21"/>
    <s v="domingo"/>
    <x v="11"/>
    <s v="2024"/>
    <x v="0"/>
    <x v="2"/>
    <x v="3"/>
    <x v="0"/>
    <x v="0"/>
    <n v="13"/>
    <n v="52359"/>
    <n v="680667"/>
    <x v="3"/>
  </r>
  <r>
    <s v="2024-12-28"/>
    <s v="sábado"/>
    <x v="7"/>
    <s v="2024"/>
    <x v="4"/>
    <x v="2"/>
    <x v="3"/>
    <x v="4"/>
    <x v="0"/>
    <n v="14"/>
    <n v="58314"/>
    <n v="816396"/>
    <x v="0"/>
  </r>
  <r>
    <s v="2024-04-15"/>
    <s v="lunes"/>
    <x v="3"/>
    <s v="2024"/>
    <x v="2"/>
    <x v="4"/>
    <x v="0"/>
    <x v="0"/>
    <x v="2"/>
    <n v="20"/>
    <n v="18281"/>
    <n v="365620"/>
    <x v="0"/>
  </r>
  <r>
    <s v="2024-12-25"/>
    <s v="miércoles"/>
    <x v="7"/>
    <s v="2024"/>
    <x v="0"/>
    <x v="1"/>
    <x v="2"/>
    <x v="3"/>
    <x v="2"/>
    <n v="6"/>
    <n v="18790"/>
    <n v="112740"/>
    <x v="0"/>
  </r>
  <r>
    <s v="2024-09-07"/>
    <s v="sábado"/>
    <x v="1"/>
    <s v="2024"/>
    <x v="2"/>
    <x v="1"/>
    <x v="1"/>
    <x v="4"/>
    <x v="0"/>
    <n v="17"/>
    <n v="47132"/>
    <n v="801244"/>
    <x v="3"/>
  </r>
  <r>
    <s v="2024-05-10"/>
    <s v="viernes"/>
    <x v="4"/>
    <s v="2024"/>
    <x v="2"/>
    <x v="2"/>
    <x v="3"/>
    <x v="1"/>
    <x v="0"/>
    <n v="4"/>
    <n v="24568"/>
    <n v="98272"/>
    <x v="0"/>
  </r>
  <r>
    <s v="2024-08-27"/>
    <s v="martes"/>
    <x v="2"/>
    <s v="2024"/>
    <x v="3"/>
    <x v="4"/>
    <x v="2"/>
    <x v="2"/>
    <x v="2"/>
    <n v="8"/>
    <n v="33148"/>
    <n v="265184"/>
    <x v="3"/>
  </r>
  <r>
    <s v="2024-12-01"/>
    <s v="domingo"/>
    <x v="7"/>
    <s v="2024"/>
    <x v="2"/>
    <x v="0"/>
    <x v="1"/>
    <x v="3"/>
    <x v="1"/>
    <n v="8"/>
    <n v="53249"/>
    <n v="425992"/>
    <x v="0"/>
  </r>
  <r>
    <s v="2024-03-06"/>
    <s v="miércoles"/>
    <x v="6"/>
    <s v="2024"/>
    <x v="1"/>
    <x v="0"/>
    <x v="1"/>
    <x v="1"/>
    <x v="1"/>
    <n v="16"/>
    <n v="17149"/>
    <n v="274384"/>
    <x v="1"/>
  </r>
  <r>
    <s v="2024-03-15"/>
    <s v="viernes"/>
    <x v="6"/>
    <s v="2024"/>
    <x v="2"/>
    <x v="2"/>
    <x v="3"/>
    <x v="1"/>
    <x v="2"/>
    <n v="15"/>
    <n v="55860"/>
    <n v="837900"/>
    <x v="1"/>
  </r>
  <r>
    <s v="2024-02-14"/>
    <s v="miércoles"/>
    <x v="10"/>
    <s v="2024"/>
    <x v="4"/>
    <x v="1"/>
    <x v="0"/>
    <x v="1"/>
    <x v="0"/>
    <n v="13"/>
    <n v="50480"/>
    <n v="656240"/>
    <x v="2"/>
  </r>
  <r>
    <s v="2024-02-06"/>
    <s v="martes"/>
    <x v="10"/>
    <s v="2024"/>
    <x v="2"/>
    <x v="0"/>
    <x v="4"/>
    <x v="4"/>
    <x v="0"/>
    <n v="8"/>
    <n v="27548"/>
    <n v="220384"/>
    <x v="1"/>
  </r>
  <r>
    <s v="2024-10-25"/>
    <s v="viernes"/>
    <x v="8"/>
    <s v="2024"/>
    <x v="0"/>
    <x v="0"/>
    <x v="4"/>
    <x v="4"/>
    <x v="0"/>
    <n v="17"/>
    <n v="20652"/>
    <n v="351084"/>
    <x v="3"/>
  </r>
  <r>
    <s v="2024-12-29"/>
    <s v="domingo"/>
    <x v="7"/>
    <s v="2024"/>
    <x v="2"/>
    <x v="4"/>
    <x v="1"/>
    <x v="2"/>
    <x v="1"/>
    <n v="12"/>
    <n v="31610"/>
    <n v="379320"/>
    <x v="2"/>
  </r>
  <r>
    <s v="2024-12-30"/>
    <s v="lunes"/>
    <x v="7"/>
    <s v="2024"/>
    <x v="4"/>
    <x v="0"/>
    <x v="3"/>
    <x v="3"/>
    <x v="1"/>
    <n v="1"/>
    <n v="20292"/>
    <n v="20292"/>
    <x v="2"/>
  </r>
  <r>
    <s v="2024-06-16"/>
    <s v="domingo"/>
    <x v="9"/>
    <s v="2024"/>
    <x v="4"/>
    <x v="4"/>
    <x v="4"/>
    <x v="1"/>
    <x v="1"/>
    <n v="2"/>
    <n v="36577"/>
    <n v="73154"/>
    <x v="3"/>
  </r>
  <r>
    <s v="2024-08-12"/>
    <s v="lunes"/>
    <x v="2"/>
    <s v="2024"/>
    <x v="1"/>
    <x v="0"/>
    <x v="4"/>
    <x v="0"/>
    <x v="2"/>
    <n v="5"/>
    <n v="15590"/>
    <n v="77950"/>
    <x v="3"/>
  </r>
  <r>
    <s v="2024-06-11"/>
    <s v="martes"/>
    <x v="9"/>
    <s v="2024"/>
    <x v="3"/>
    <x v="2"/>
    <x v="3"/>
    <x v="0"/>
    <x v="2"/>
    <n v="1"/>
    <n v="35057"/>
    <n v="35057"/>
    <x v="1"/>
  </r>
  <r>
    <s v="2024-12-21"/>
    <s v="sábado"/>
    <x v="7"/>
    <s v="2024"/>
    <x v="2"/>
    <x v="2"/>
    <x v="2"/>
    <x v="1"/>
    <x v="2"/>
    <n v="6"/>
    <n v="28686"/>
    <n v="172116"/>
    <x v="0"/>
  </r>
  <r>
    <s v="2024-12-27"/>
    <s v="viernes"/>
    <x v="7"/>
    <s v="2024"/>
    <x v="4"/>
    <x v="3"/>
    <x v="1"/>
    <x v="2"/>
    <x v="0"/>
    <n v="15"/>
    <n v="39742"/>
    <n v="596130"/>
    <x v="3"/>
  </r>
  <r>
    <s v="2024-07-12"/>
    <s v="viernes"/>
    <x v="0"/>
    <s v="2024"/>
    <x v="4"/>
    <x v="3"/>
    <x v="1"/>
    <x v="2"/>
    <x v="2"/>
    <n v="5"/>
    <n v="16744"/>
    <n v="83720"/>
    <x v="1"/>
  </r>
  <r>
    <s v="2024-04-17"/>
    <s v="miércoles"/>
    <x v="3"/>
    <s v="2024"/>
    <x v="0"/>
    <x v="4"/>
    <x v="0"/>
    <x v="1"/>
    <x v="0"/>
    <n v="20"/>
    <n v="39928"/>
    <n v="798560"/>
    <x v="3"/>
  </r>
  <r>
    <s v="2024-09-01"/>
    <s v="domingo"/>
    <x v="1"/>
    <s v="2024"/>
    <x v="2"/>
    <x v="2"/>
    <x v="1"/>
    <x v="3"/>
    <x v="0"/>
    <n v="13"/>
    <n v="29276"/>
    <n v="380588"/>
    <x v="2"/>
  </r>
  <r>
    <s v="2024-10-30"/>
    <s v="miércoles"/>
    <x v="8"/>
    <s v="2024"/>
    <x v="2"/>
    <x v="4"/>
    <x v="1"/>
    <x v="0"/>
    <x v="2"/>
    <n v="9"/>
    <n v="35303"/>
    <n v="317727"/>
    <x v="2"/>
  </r>
  <r>
    <s v="2024-12-19"/>
    <s v="jueves"/>
    <x v="7"/>
    <s v="2024"/>
    <x v="1"/>
    <x v="1"/>
    <x v="4"/>
    <x v="0"/>
    <x v="2"/>
    <n v="13"/>
    <n v="36291"/>
    <n v="471783"/>
    <x v="0"/>
  </r>
  <r>
    <s v="2024-05-07"/>
    <s v="martes"/>
    <x v="4"/>
    <s v="2024"/>
    <x v="2"/>
    <x v="3"/>
    <x v="4"/>
    <x v="4"/>
    <x v="0"/>
    <n v="15"/>
    <n v="30972"/>
    <n v="464580"/>
    <x v="0"/>
  </r>
  <r>
    <s v="2024-07-06"/>
    <s v="sábado"/>
    <x v="0"/>
    <s v="2024"/>
    <x v="0"/>
    <x v="2"/>
    <x v="2"/>
    <x v="4"/>
    <x v="1"/>
    <n v="1"/>
    <n v="27817"/>
    <n v="27817"/>
    <x v="2"/>
  </r>
  <r>
    <s v="2024-04-03"/>
    <s v="miércoles"/>
    <x v="3"/>
    <s v="2024"/>
    <x v="3"/>
    <x v="0"/>
    <x v="3"/>
    <x v="1"/>
    <x v="1"/>
    <n v="18"/>
    <n v="34152"/>
    <n v="614736"/>
    <x v="1"/>
  </r>
  <r>
    <s v="2024-12-19"/>
    <s v="jueves"/>
    <x v="7"/>
    <s v="2024"/>
    <x v="4"/>
    <x v="1"/>
    <x v="2"/>
    <x v="1"/>
    <x v="2"/>
    <n v="17"/>
    <n v="19057"/>
    <n v="323969"/>
    <x v="3"/>
  </r>
  <r>
    <s v="2024-12-20"/>
    <s v="viernes"/>
    <x v="7"/>
    <s v="2024"/>
    <x v="1"/>
    <x v="4"/>
    <x v="4"/>
    <x v="3"/>
    <x v="1"/>
    <n v="6"/>
    <n v="48798"/>
    <n v="292788"/>
    <x v="3"/>
  </r>
  <r>
    <s v="2024-08-02"/>
    <s v="viernes"/>
    <x v="2"/>
    <s v="2024"/>
    <x v="2"/>
    <x v="2"/>
    <x v="4"/>
    <x v="1"/>
    <x v="0"/>
    <n v="4"/>
    <n v="51097"/>
    <n v="204388"/>
    <x v="0"/>
  </r>
  <r>
    <s v="2024-05-12"/>
    <s v="domingo"/>
    <x v="4"/>
    <s v="2024"/>
    <x v="1"/>
    <x v="4"/>
    <x v="3"/>
    <x v="2"/>
    <x v="1"/>
    <n v="17"/>
    <n v="43430"/>
    <n v="738310"/>
    <x v="0"/>
  </r>
  <r>
    <s v="2024-06-05"/>
    <s v="miércoles"/>
    <x v="9"/>
    <s v="2024"/>
    <x v="0"/>
    <x v="2"/>
    <x v="0"/>
    <x v="2"/>
    <x v="1"/>
    <n v="10"/>
    <n v="37585"/>
    <n v="375850"/>
    <x v="1"/>
  </r>
  <r>
    <s v="2024-12-05"/>
    <s v="jueves"/>
    <x v="7"/>
    <s v="2024"/>
    <x v="2"/>
    <x v="2"/>
    <x v="4"/>
    <x v="1"/>
    <x v="2"/>
    <n v="15"/>
    <n v="55907"/>
    <n v="838605"/>
    <x v="3"/>
  </r>
  <r>
    <s v="2024-03-23"/>
    <s v="sábado"/>
    <x v="6"/>
    <s v="2024"/>
    <x v="1"/>
    <x v="3"/>
    <x v="0"/>
    <x v="2"/>
    <x v="2"/>
    <n v="6"/>
    <n v="57788"/>
    <n v="346728"/>
    <x v="2"/>
  </r>
  <r>
    <s v="2024-10-23"/>
    <s v="miércoles"/>
    <x v="8"/>
    <s v="2024"/>
    <x v="0"/>
    <x v="0"/>
    <x v="1"/>
    <x v="4"/>
    <x v="1"/>
    <n v="6"/>
    <n v="54963"/>
    <n v="329778"/>
    <x v="3"/>
  </r>
  <r>
    <s v="2024-05-04"/>
    <s v="sábado"/>
    <x v="4"/>
    <s v="2024"/>
    <x v="2"/>
    <x v="4"/>
    <x v="4"/>
    <x v="0"/>
    <x v="1"/>
    <n v="20"/>
    <n v="47338"/>
    <n v="946760"/>
    <x v="1"/>
  </r>
  <r>
    <s v="2024-04-14"/>
    <s v="domingo"/>
    <x v="3"/>
    <s v="2024"/>
    <x v="0"/>
    <x v="1"/>
    <x v="3"/>
    <x v="1"/>
    <x v="0"/>
    <n v="18"/>
    <n v="42485"/>
    <n v="764730"/>
    <x v="3"/>
  </r>
  <r>
    <s v="2024-04-03"/>
    <s v="miércoles"/>
    <x v="3"/>
    <s v="2024"/>
    <x v="2"/>
    <x v="4"/>
    <x v="2"/>
    <x v="1"/>
    <x v="0"/>
    <n v="20"/>
    <n v="58871"/>
    <n v="1177420"/>
    <x v="2"/>
  </r>
  <r>
    <s v="2024-02-08"/>
    <s v="jueves"/>
    <x v="10"/>
    <s v="2024"/>
    <x v="1"/>
    <x v="1"/>
    <x v="4"/>
    <x v="2"/>
    <x v="1"/>
    <n v="10"/>
    <n v="28769"/>
    <n v="287690"/>
    <x v="0"/>
  </r>
  <r>
    <s v="2024-04-25"/>
    <s v="jueves"/>
    <x v="3"/>
    <s v="2024"/>
    <x v="3"/>
    <x v="1"/>
    <x v="4"/>
    <x v="2"/>
    <x v="1"/>
    <n v="3"/>
    <n v="15956"/>
    <n v="47868"/>
    <x v="0"/>
  </r>
  <r>
    <s v="2024-12-06"/>
    <s v="viernes"/>
    <x v="7"/>
    <s v="2024"/>
    <x v="2"/>
    <x v="4"/>
    <x v="3"/>
    <x v="1"/>
    <x v="2"/>
    <n v="13"/>
    <n v="17779"/>
    <n v="231127"/>
    <x v="1"/>
  </r>
  <r>
    <s v="2024-09-14"/>
    <s v="sábado"/>
    <x v="1"/>
    <s v="2024"/>
    <x v="2"/>
    <x v="2"/>
    <x v="3"/>
    <x v="3"/>
    <x v="0"/>
    <n v="8"/>
    <n v="20778"/>
    <n v="166224"/>
    <x v="3"/>
  </r>
  <r>
    <s v="2024-07-23"/>
    <s v="martes"/>
    <x v="0"/>
    <s v="2024"/>
    <x v="2"/>
    <x v="4"/>
    <x v="3"/>
    <x v="0"/>
    <x v="2"/>
    <n v="1"/>
    <n v="44436"/>
    <n v="44436"/>
    <x v="0"/>
  </r>
  <r>
    <s v="2024-03-31"/>
    <s v="domingo"/>
    <x v="6"/>
    <s v="2024"/>
    <x v="1"/>
    <x v="4"/>
    <x v="4"/>
    <x v="0"/>
    <x v="2"/>
    <n v="15"/>
    <n v="27237"/>
    <n v="408555"/>
    <x v="1"/>
  </r>
  <r>
    <s v="2024-03-30"/>
    <s v="sábado"/>
    <x v="6"/>
    <s v="2024"/>
    <x v="3"/>
    <x v="4"/>
    <x v="2"/>
    <x v="0"/>
    <x v="0"/>
    <n v="9"/>
    <n v="46921"/>
    <n v="422289"/>
    <x v="3"/>
  </r>
  <r>
    <s v="2024-12-01"/>
    <s v="domingo"/>
    <x v="7"/>
    <s v="2024"/>
    <x v="3"/>
    <x v="0"/>
    <x v="1"/>
    <x v="1"/>
    <x v="0"/>
    <n v="13"/>
    <n v="58744"/>
    <n v="763672"/>
    <x v="1"/>
  </r>
  <r>
    <s v="2024-08-01"/>
    <s v="jueves"/>
    <x v="2"/>
    <s v="2024"/>
    <x v="0"/>
    <x v="0"/>
    <x v="0"/>
    <x v="3"/>
    <x v="2"/>
    <n v="6"/>
    <n v="24847"/>
    <n v="149082"/>
    <x v="1"/>
  </r>
  <r>
    <s v="2024-02-11"/>
    <s v="domingo"/>
    <x v="10"/>
    <s v="2024"/>
    <x v="4"/>
    <x v="3"/>
    <x v="3"/>
    <x v="0"/>
    <x v="0"/>
    <n v="15"/>
    <n v="22656"/>
    <n v="339840"/>
    <x v="1"/>
  </r>
  <r>
    <s v="2024-05-04"/>
    <s v="sábado"/>
    <x v="4"/>
    <s v="2024"/>
    <x v="3"/>
    <x v="0"/>
    <x v="4"/>
    <x v="1"/>
    <x v="2"/>
    <n v="17"/>
    <n v="20009"/>
    <n v="340153"/>
    <x v="1"/>
  </r>
  <r>
    <s v="2024-10-16"/>
    <s v="miércoles"/>
    <x v="8"/>
    <s v="2024"/>
    <x v="0"/>
    <x v="3"/>
    <x v="4"/>
    <x v="4"/>
    <x v="1"/>
    <n v="16"/>
    <n v="22654"/>
    <n v="362464"/>
    <x v="2"/>
  </r>
  <r>
    <s v="2024-08-13"/>
    <s v="martes"/>
    <x v="2"/>
    <s v="2024"/>
    <x v="2"/>
    <x v="1"/>
    <x v="2"/>
    <x v="2"/>
    <x v="2"/>
    <n v="20"/>
    <n v="46419"/>
    <n v="928380"/>
    <x v="1"/>
  </r>
  <r>
    <s v="2024-04-21"/>
    <s v="domingo"/>
    <x v="3"/>
    <s v="2024"/>
    <x v="0"/>
    <x v="4"/>
    <x v="3"/>
    <x v="3"/>
    <x v="0"/>
    <n v="5"/>
    <n v="34875"/>
    <n v="174375"/>
    <x v="1"/>
  </r>
  <r>
    <s v="2024-02-27"/>
    <s v="martes"/>
    <x v="10"/>
    <s v="2024"/>
    <x v="3"/>
    <x v="3"/>
    <x v="2"/>
    <x v="2"/>
    <x v="1"/>
    <n v="1"/>
    <n v="38293"/>
    <n v="38293"/>
    <x v="2"/>
  </r>
  <r>
    <s v="2024-07-21"/>
    <s v="domingo"/>
    <x v="0"/>
    <s v="2024"/>
    <x v="4"/>
    <x v="2"/>
    <x v="0"/>
    <x v="3"/>
    <x v="0"/>
    <n v="15"/>
    <n v="54023"/>
    <n v="810345"/>
    <x v="2"/>
  </r>
  <r>
    <s v="2024-02-07"/>
    <s v="miércoles"/>
    <x v="10"/>
    <s v="2024"/>
    <x v="2"/>
    <x v="3"/>
    <x v="1"/>
    <x v="4"/>
    <x v="1"/>
    <n v="3"/>
    <n v="56806"/>
    <n v="170418"/>
    <x v="1"/>
  </r>
  <r>
    <s v="2024-12-26"/>
    <s v="jueves"/>
    <x v="7"/>
    <s v="2024"/>
    <x v="1"/>
    <x v="3"/>
    <x v="1"/>
    <x v="4"/>
    <x v="2"/>
    <n v="11"/>
    <n v="37318"/>
    <n v="410498"/>
    <x v="0"/>
  </r>
  <r>
    <s v="2024-03-29"/>
    <s v="viernes"/>
    <x v="6"/>
    <s v="2024"/>
    <x v="3"/>
    <x v="1"/>
    <x v="0"/>
    <x v="1"/>
    <x v="1"/>
    <n v="20"/>
    <n v="35312"/>
    <n v="706240"/>
    <x v="2"/>
  </r>
  <r>
    <s v="2024-03-05"/>
    <s v="martes"/>
    <x v="6"/>
    <s v="2024"/>
    <x v="0"/>
    <x v="2"/>
    <x v="0"/>
    <x v="2"/>
    <x v="2"/>
    <n v="10"/>
    <n v="32754"/>
    <n v="327540"/>
    <x v="0"/>
  </r>
  <r>
    <s v="2024-11-09"/>
    <s v="sábado"/>
    <x v="5"/>
    <s v="2024"/>
    <x v="4"/>
    <x v="4"/>
    <x v="4"/>
    <x v="1"/>
    <x v="2"/>
    <n v="16"/>
    <n v="22602"/>
    <n v="361632"/>
    <x v="2"/>
  </r>
  <r>
    <s v="2024-07-08"/>
    <s v="lunes"/>
    <x v="0"/>
    <s v="2024"/>
    <x v="0"/>
    <x v="0"/>
    <x v="0"/>
    <x v="1"/>
    <x v="0"/>
    <n v="7"/>
    <n v="45982"/>
    <n v="321874"/>
    <x v="2"/>
  </r>
  <r>
    <s v="2024-12-07"/>
    <s v="sábado"/>
    <x v="7"/>
    <s v="2024"/>
    <x v="4"/>
    <x v="0"/>
    <x v="3"/>
    <x v="3"/>
    <x v="2"/>
    <n v="14"/>
    <n v="25071"/>
    <n v="350994"/>
    <x v="0"/>
  </r>
  <r>
    <s v="2024-11-09"/>
    <s v="sábado"/>
    <x v="5"/>
    <s v="2024"/>
    <x v="0"/>
    <x v="0"/>
    <x v="2"/>
    <x v="3"/>
    <x v="1"/>
    <n v="18"/>
    <n v="15606"/>
    <n v="280908"/>
    <x v="2"/>
  </r>
  <r>
    <s v="2024-08-01"/>
    <s v="jueves"/>
    <x v="2"/>
    <s v="2024"/>
    <x v="3"/>
    <x v="4"/>
    <x v="4"/>
    <x v="3"/>
    <x v="0"/>
    <n v="10"/>
    <n v="43603"/>
    <n v="436030"/>
    <x v="1"/>
  </r>
  <r>
    <s v="2024-07-25"/>
    <s v="jueves"/>
    <x v="0"/>
    <s v="2024"/>
    <x v="3"/>
    <x v="1"/>
    <x v="2"/>
    <x v="2"/>
    <x v="0"/>
    <n v="11"/>
    <n v="49112"/>
    <n v="540232"/>
    <x v="3"/>
  </r>
  <r>
    <s v="2024-08-05"/>
    <s v="lunes"/>
    <x v="2"/>
    <s v="2024"/>
    <x v="1"/>
    <x v="0"/>
    <x v="0"/>
    <x v="2"/>
    <x v="1"/>
    <n v="12"/>
    <n v="37841"/>
    <n v="454092"/>
    <x v="1"/>
  </r>
  <r>
    <s v="2024-02-16"/>
    <s v="viernes"/>
    <x v="10"/>
    <s v="2024"/>
    <x v="4"/>
    <x v="3"/>
    <x v="1"/>
    <x v="4"/>
    <x v="0"/>
    <n v="15"/>
    <n v="43251"/>
    <n v="648765"/>
    <x v="2"/>
  </r>
  <r>
    <s v="2024-03-01"/>
    <s v="viernes"/>
    <x v="6"/>
    <s v="2024"/>
    <x v="3"/>
    <x v="0"/>
    <x v="1"/>
    <x v="1"/>
    <x v="2"/>
    <n v="6"/>
    <n v="46094"/>
    <n v="276564"/>
    <x v="0"/>
  </r>
  <r>
    <s v="2024-08-10"/>
    <s v="sábado"/>
    <x v="2"/>
    <s v="2024"/>
    <x v="1"/>
    <x v="1"/>
    <x v="3"/>
    <x v="4"/>
    <x v="0"/>
    <n v="19"/>
    <n v="16798"/>
    <n v="319162"/>
    <x v="3"/>
  </r>
  <r>
    <s v="2024-11-03"/>
    <s v="domingo"/>
    <x v="5"/>
    <s v="2024"/>
    <x v="4"/>
    <x v="1"/>
    <x v="1"/>
    <x v="0"/>
    <x v="0"/>
    <n v="10"/>
    <n v="53793"/>
    <n v="537930"/>
    <x v="3"/>
  </r>
  <r>
    <s v="2024-09-24"/>
    <s v="martes"/>
    <x v="1"/>
    <s v="2024"/>
    <x v="3"/>
    <x v="4"/>
    <x v="3"/>
    <x v="1"/>
    <x v="2"/>
    <n v="17"/>
    <n v="53768"/>
    <n v="914056"/>
    <x v="3"/>
  </r>
  <r>
    <s v="2024-05-05"/>
    <s v="domingo"/>
    <x v="4"/>
    <s v="2024"/>
    <x v="3"/>
    <x v="3"/>
    <x v="3"/>
    <x v="0"/>
    <x v="2"/>
    <n v="6"/>
    <n v="53443"/>
    <n v="320658"/>
    <x v="0"/>
  </r>
  <r>
    <s v="2024-05-26"/>
    <s v="domingo"/>
    <x v="4"/>
    <s v="2024"/>
    <x v="2"/>
    <x v="1"/>
    <x v="3"/>
    <x v="0"/>
    <x v="2"/>
    <n v="4"/>
    <n v="55506"/>
    <n v="222024"/>
    <x v="1"/>
  </r>
  <r>
    <s v="2024-01-16"/>
    <s v="martes"/>
    <x v="11"/>
    <s v="2024"/>
    <x v="2"/>
    <x v="3"/>
    <x v="3"/>
    <x v="0"/>
    <x v="1"/>
    <n v="19"/>
    <n v="40053"/>
    <n v="761007"/>
    <x v="3"/>
  </r>
  <r>
    <s v="2024-09-18"/>
    <s v="miércoles"/>
    <x v="1"/>
    <s v="2024"/>
    <x v="1"/>
    <x v="3"/>
    <x v="2"/>
    <x v="3"/>
    <x v="2"/>
    <n v="14"/>
    <n v="24737"/>
    <n v="346318"/>
    <x v="2"/>
  </r>
  <r>
    <s v="2024-08-04"/>
    <s v="domingo"/>
    <x v="2"/>
    <s v="2024"/>
    <x v="3"/>
    <x v="1"/>
    <x v="2"/>
    <x v="0"/>
    <x v="2"/>
    <n v="4"/>
    <n v="24380"/>
    <n v="97520"/>
    <x v="3"/>
  </r>
  <r>
    <s v="2024-09-30"/>
    <s v="lunes"/>
    <x v="1"/>
    <s v="2024"/>
    <x v="2"/>
    <x v="3"/>
    <x v="2"/>
    <x v="1"/>
    <x v="1"/>
    <n v="18"/>
    <n v="22216"/>
    <n v="399888"/>
    <x v="0"/>
  </r>
  <r>
    <s v="2024-07-06"/>
    <s v="sábado"/>
    <x v="0"/>
    <s v="2024"/>
    <x v="2"/>
    <x v="3"/>
    <x v="1"/>
    <x v="1"/>
    <x v="0"/>
    <n v="9"/>
    <n v="23985"/>
    <n v="215865"/>
    <x v="0"/>
  </r>
  <r>
    <s v="2024-10-13"/>
    <s v="domingo"/>
    <x v="8"/>
    <s v="2024"/>
    <x v="4"/>
    <x v="2"/>
    <x v="0"/>
    <x v="2"/>
    <x v="2"/>
    <n v="14"/>
    <n v="30727"/>
    <n v="430178"/>
    <x v="2"/>
  </r>
  <r>
    <s v="2024-09-18"/>
    <s v="miércoles"/>
    <x v="1"/>
    <s v="2024"/>
    <x v="2"/>
    <x v="2"/>
    <x v="2"/>
    <x v="2"/>
    <x v="0"/>
    <n v="5"/>
    <n v="33495"/>
    <n v="167475"/>
    <x v="3"/>
  </r>
  <r>
    <s v="2024-01-24"/>
    <s v="miércoles"/>
    <x v="11"/>
    <s v="2024"/>
    <x v="3"/>
    <x v="2"/>
    <x v="2"/>
    <x v="0"/>
    <x v="0"/>
    <n v="3"/>
    <n v="26950"/>
    <n v="80850"/>
    <x v="0"/>
  </r>
  <r>
    <s v="2024-01-26"/>
    <s v="viernes"/>
    <x v="11"/>
    <s v="2024"/>
    <x v="1"/>
    <x v="3"/>
    <x v="0"/>
    <x v="3"/>
    <x v="1"/>
    <n v="10"/>
    <n v="16026"/>
    <n v="160260"/>
    <x v="3"/>
  </r>
  <r>
    <s v="2024-04-20"/>
    <s v="sábado"/>
    <x v="3"/>
    <s v="2024"/>
    <x v="1"/>
    <x v="4"/>
    <x v="1"/>
    <x v="4"/>
    <x v="1"/>
    <n v="6"/>
    <n v="17429"/>
    <n v="104574"/>
    <x v="0"/>
  </r>
  <r>
    <s v="2024-06-01"/>
    <s v="sábado"/>
    <x v="9"/>
    <s v="2024"/>
    <x v="2"/>
    <x v="2"/>
    <x v="2"/>
    <x v="1"/>
    <x v="0"/>
    <n v="5"/>
    <n v="42608"/>
    <n v="213040"/>
    <x v="1"/>
  </r>
  <r>
    <s v="2024-05-06"/>
    <s v="lunes"/>
    <x v="4"/>
    <s v="2024"/>
    <x v="4"/>
    <x v="1"/>
    <x v="4"/>
    <x v="1"/>
    <x v="0"/>
    <n v="14"/>
    <n v="38042"/>
    <n v="532588"/>
    <x v="0"/>
  </r>
  <r>
    <s v="2024-03-04"/>
    <s v="lunes"/>
    <x v="6"/>
    <s v="2024"/>
    <x v="0"/>
    <x v="0"/>
    <x v="0"/>
    <x v="2"/>
    <x v="2"/>
    <n v="4"/>
    <n v="48801"/>
    <n v="195204"/>
    <x v="0"/>
  </r>
  <r>
    <s v="2024-08-26"/>
    <s v="lunes"/>
    <x v="2"/>
    <s v="2024"/>
    <x v="3"/>
    <x v="0"/>
    <x v="2"/>
    <x v="0"/>
    <x v="2"/>
    <n v="9"/>
    <n v="51838"/>
    <n v="466542"/>
    <x v="3"/>
  </r>
  <r>
    <s v="2024-05-22"/>
    <s v="miércoles"/>
    <x v="4"/>
    <s v="2024"/>
    <x v="1"/>
    <x v="0"/>
    <x v="1"/>
    <x v="1"/>
    <x v="1"/>
    <n v="17"/>
    <n v="59429"/>
    <n v="1010293"/>
    <x v="1"/>
  </r>
  <r>
    <s v="2024-11-18"/>
    <s v="lunes"/>
    <x v="5"/>
    <s v="2024"/>
    <x v="3"/>
    <x v="1"/>
    <x v="0"/>
    <x v="3"/>
    <x v="1"/>
    <n v="3"/>
    <n v="44249"/>
    <n v="132747"/>
    <x v="3"/>
  </r>
  <r>
    <s v="2024-05-18"/>
    <s v="sábado"/>
    <x v="4"/>
    <s v="2024"/>
    <x v="0"/>
    <x v="4"/>
    <x v="3"/>
    <x v="0"/>
    <x v="1"/>
    <n v="16"/>
    <n v="59160"/>
    <n v="946560"/>
    <x v="3"/>
  </r>
  <r>
    <s v="2024-08-07"/>
    <s v="miércoles"/>
    <x v="2"/>
    <s v="2024"/>
    <x v="4"/>
    <x v="4"/>
    <x v="3"/>
    <x v="4"/>
    <x v="1"/>
    <n v="15"/>
    <n v="52684"/>
    <n v="790260"/>
    <x v="3"/>
  </r>
  <r>
    <s v="2024-10-29"/>
    <s v="martes"/>
    <x v="8"/>
    <s v="2024"/>
    <x v="3"/>
    <x v="0"/>
    <x v="2"/>
    <x v="1"/>
    <x v="1"/>
    <n v="16"/>
    <n v="55963"/>
    <n v="895408"/>
    <x v="2"/>
  </r>
  <r>
    <s v="2024-01-13"/>
    <s v="sábado"/>
    <x v="11"/>
    <s v="2024"/>
    <x v="1"/>
    <x v="1"/>
    <x v="4"/>
    <x v="2"/>
    <x v="1"/>
    <n v="10"/>
    <n v="56641"/>
    <n v="566410"/>
    <x v="2"/>
  </r>
  <r>
    <s v="2024-09-09"/>
    <s v="lunes"/>
    <x v="1"/>
    <s v="2024"/>
    <x v="4"/>
    <x v="0"/>
    <x v="2"/>
    <x v="3"/>
    <x v="2"/>
    <n v="20"/>
    <n v="39996"/>
    <n v="799920"/>
    <x v="2"/>
  </r>
  <r>
    <s v="2024-05-01"/>
    <s v="miércoles"/>
    <x v="4"/>
    <s v="2024"/>
    <x v="4"/>
    <x v="0"/>
    <x v="4"/>
    <x v="3"/>
    <x v="2"/>
    <n v="12"/>
    <n v="41050"/>
    <n v="492600"/>
    <x v="3"/>
  </r>
  <r>
    <s v="2024-06-21"/>
    <s v="viernes"/>
    <x v="9"/>
    <s v="2024"/>
    <x v="2"/>
    <x v="0"/>
    <x v="3"/>
    <x v="3"/>
    <x v="2"/>
    <n v="6"/>
    <n v="24656"/>
    <n v="147936"/>
    <x v="0"/>
  </r>
  <r>
    <s v="2024-09-15"/>
    <s v="domingo"/>
    <x v="1"/>
    <s v="2024"/>
    <x v="0"/>
    <x v="0"/>
    <x v="3"/>
    <x v="2"/>
    <x v="2"/>
    <n v="8"/>
    <n v="26845"/>
    <n v="214760"/>
    <x v="1"/>
  </r>
  <r>
    <s v="2024-07-10"/>
    <s v="miércoles"/>
    <x v="0"/>
    <s v="2024"/>
    <x v="0"/>
    <x v="1"/>
    <x v="4"/>
    <x v="3"/>
    <x v="1"/>
    <n v="20"/>
    <n v="38685"/>
    <n v="773700"/>
    <x v="1"/>
  </r>
  <r>
    <s v="2024-01-23"/>
    <s v="martes"/>
    <x v="11"/>
    <s v="2024"/>
    <x v="4"/>
    <x v="0"/>
    <x v="2"/>
    <x v="3"/>
    <x v="2"/>
    <n v="13"/>
    <n v="32880"/>
    <n v="427440"/>
    <x v="0"/>
  </r>
  <r>
    <s v="2024-04-03"/>
    <s v="miércoles"/>
    <x v="3"/>
    <s v="2024"/>
    <x v="4"/>
    <x v="0"/>
    <x v="2"/>
    <x v="0"/>
    <x v="0"/>
    <n v="4"/>
    <n v="25965"/>
    <n v="103860"/>
    <x v="1"/>
  </r>
  <r>
    <s v="2024-09-16"/>
    <s v="lunes"/>
    <x v="1"/>
    <s v="2024"/>
    <x v="3"/>
    <x v="4"/>
    <x v="1"/>
    <x v="3"/>
    <x v="2"/>
    <n v="20"/>
    <n v="32571"/>
    <n v="651420"/>
    <x v="3"/>
  </r>
  <r>
    <s v="2024-02-16"/>
    <s v="viernes"/>
    <x v="10"/>
    <s v="2024"/>
    <x v="2"/>
    <x v="4"/>
    <x v="4"/>
    <x v="1"/>
    <x v="0"/>
    <n v="17"/>
    <n v="59769"/>
    <n v="1016073"/>
    <x v="2"/>
  </r>
  <r>
    <s v="2024-01-07"/>
    <s v="domingo"/>
    <x v="11"/>
    <s v="2024"/>
    <x v="2"/>
    <x v="2"/>
    <x v="2"/>
    <x v="2"/>
    <x v="1"/>
    <n v="20"/>
    <n v="55299"/>
    <n v="1105980"/>
    <x v="1"/>
  </r>
  <r>
    <s v="2024-02-25"/>
    <s v="domingo"/>
    <x v="10"/>
    <s v="2024"/>
    <x v="1"/>
    <x v="4"/>
    <x v="4"/>
    <x v="0"/>
    <x v="0"/>
    <n v="16"/>
    <n v="43227"/>
    <n v="691632"/>
    <x v="2"/>
  </r>
  <r>
    <s v="2024-10-06"/>
    <s v="domingo"/>
    <x v="8"/>
    <s v="2024"/>
    <x v="4"/>
    <x v="3"/>
    <x v="3"/>
    <x v="0"/>
    <x v="0"/>
    <n v="8"/>
    <n v="45511"/>
    <n v="364088"/>
    <x v="0"/>
  </r>
  <r>
    <s v="2024-11-05"/>
    <s v="martes"/>
    <x v="5"/>
    <s v="2024"/>
    <x v="0"/>
    <x v="2"/>
    <x v="4"/>
    <x v="0"/>
    <x v="0"/>
    <n v="4"/>
    <n v="37159"/>
    <n v="148636"/>
    <x v="1"/>
  </r>
  <r>
    <s v="2024-05-17"/>
    <s v="viernes"/>
    <x v="4"/>
    <s v="2024"/>
    <x v="4"/>
    <x v="4"/>
    <x v="2"/>
    <x v="2"/>
    <x v="1"/>
    <n v="15"/>
    <n v="30367"/>
    <n v="455505"/>
    <x v="0"/>
  </r>
  <r>
    <s v="2024-03-29"/>
    <s v="viernes"/>
    <x v="6"/>
    <s v="2024"/>
    <x v="0"/>
    <x v="0"/>
    <x v="1"/>
    <x v="3"/>
    <x v="2"/>
    <n v="13"/>
    <n v="45918"/>
    <n v="596934"/>
    <x v="0"/>
  </r>
  <r>
    <s v="2024-10-18"/>
    <s v="viernes"/>
    <x v="8"/>
    <s v="2024"/>
    <x v="0"/>
    <x v="3"/>
    <x v="0"/>
    <x v="1"/>
    <x v="0"/>
    <n v="6"/>
    <n v="43315"/>
    <n v="259890"/>
    <x v="2"/>
  </r>
  <r>
    <s v="2024-09-01"/>
    <s v="domingo"/>
    <x v="1"/>
    <s v="2024"/>
    <x v="2"/>
    <x v="4"/>
    <x v="1"/>
    <x v="4"/>
    <x v="0"/>
    <n v="8"/>
    <n v="44885"/>
    <n v="359080"/>
    <x v="3"/>
  </r>
  <r>
    <s v="2024-08-19"/>
    <s v="lunes"/>
    <x v="2"/>
    <s v="2024"/>
    <x v="2"/>
    <x v="3"/>
    <x v="4"/>
    <x v="4"/>
    <x v="2"/>
    <n v="20"/>
    <n v="55950"/>
    <n v="1119000"/>
    <x v="2"/>
  </r>
  <r>
    <s v="2024-06-20"/>
    <s v="jueves"/>
    <x v="9"/>
    <s v="2024"/>
    <x v="1"/>
    <x v="1"/>
    <x v="4"/>
    <x v="3"/>
    <x v="0"/>
    <n v="1"/>
    <n v="40932"/>
    <n v="40932"/>
    <x v="1"/>
  </r>
  <r>
    <s v="2024-02-26"/>
    <s v="lunes"/>
    <x v="10"/>
    <s v="2024"/>
    <x v="0"/>
    <x v="2"/>
    <x v="4"/>
    <x v="3"/>
    <x v="1"/>
    <n v="8"/>
    <n v="20567"/>
    <n v="164536"/>
    <x v="3"/>
  </r>
  <r>
    <s v="2024-08-23"/>
    <s v="viernes"/>
    <x v="2"/>
    <s v="2024"/>
    <x v="4"/>
    <x v="2"/>
    <x v="4"/>
    <x v="3"/>
    <x v="2"/>
    <n v="4"/>
    <n v="25599"/>
    <n v="102396"/>
    <x v="2"/>
  </r>
  <r>
    <s v="2024-03-17"/>
    <s v="domingo"/>
    <x v="6"/>
    <s v="2024"/>
    <x v="0"/>
    <x v="3"/>
    <x v="1"/>
    <x v="1"/>
    <x v="0"/>
    <n v="10"/>
    <n v="31007"/>
    <n v="310070"/>
    <x v="1"/>
  </r>
  <r>
    <s v="2024-11-21"/>
    <s v="jueves"/>
    <x v="5"/>
    <s v="2024"/>
    <x v="0"/>
    <x v="4"/>
    <x v="1"/>
    <x v="3"/>
    <x v="2"/>
    <n v="8"/>
    <n v="52674"/>
    <n v="421392"/>
    <x v="2"/>
  </r>
  <r>
    <s v="2024-06-30"/>
    <s v="domingo"/>
    <x v="9"/>
    <s v="2024"/>
    <x v="1"/>
    <x v="4"/>
    <x v="4"/>
    <x v="0"/>
    <x v="0"/>
    <n v="20"/>
    <n v="31059"/>
    <n v="621180"/>
    <x v="3"/>
  </r>
  <r>
    <s v="2024-08-07"/>
    <s v="miércoles"/>
    <x v="2"/>
    <s v="2024"/>
    <x v="2"/>
    <x v="3"/>
    <x v="0"/>
    <x v="3"/>
    <x v="0"/>
    <n v="16"/>
    <n v="44629"/>
    <n v="714064"/>
    <x v="1"/>
  </r>
  <r>
    <s v="2024-05-17"/>
    <s v="viernes"/>
    <x v="4"/>
    <s v="2024"/>
    <x v="4"/>
    <x v="3"/>
    <x v="1"/>
    <x v="0"/>
    <x v="1"/>
    <n v="14"/>
    <n v="20230"/>
    <n v="283220"/>
    <x v="1"/>
  </r>
  <r>
    <s v="2024-01-19"/>
    <s v="viernes"/>
    <x v="11"/>
    <s v="2024"/>
    <x v="2"/>
    <x v="0"/>
    <x v="2"/>
    <x v="4"/>
    <x v="0"/>
    <n v="13"/>
    <n v="44838"/>
    <n v="582894"/>
    <x v="0"/>
  </r>
  <r>
    <s v="2024-04-23"/>
    <s v="martes"/>
    <x v="3"/>
    <s v="2024"/>
    <x v="1"/>
    <x v="2"/>
    <x v="4"/>
    <x v="1"/>
    <x v="1"/>
    <n v="1"/>
    <n v="54929"/>
    <n v="54929"/>
    <x v="3"/>
  </r>
  <r>
    <s v="2024-04-22"/>
    <s v="lunes"/>
    <x v="3"/>
    <s v="2024"/>
    <x v="1"/>
    <x v="0"/>
    <x v="3"/>
    <x v="2"/>
    <x v="1"/>
    <n v="8"/>
    <n v="30229"/>
    <n v="241832"/>
    <x v="0"/>
  </r>
  <r>
    <s v="2024-03-22"/>
    <s v="viernes"/>
    <x v="6"/>
    <s v="2024"/>
    <x v="0"/>
    <x v="3"/>
    <x v="1"/>
    <x v="4"/>
    <x v="2"/>
    <n v="8"/>
    <n v="40187"/>
    <n v="321496"/>
    <x v="0"/>
  </r>
  <r>
    <s v="2024-08-31"/>
    <s v="sábado"/>
    <x v="2"/>
    <s v="2024"/>
    <x v="1"/>
    <x v="4"/>
    <x v="2"/>
    <x v="0"/>
    <x v="0"/>
    <n v="1"/>
    <n v="51331"/>
    <n v="51331"/>
    <x v="3"/>
  </r>
  <r>
    <s v="2024-11-12"/>
    <s v="martes"/>
    <x v="5"/>
    <s v="2024"/>
    <x v="3"/>
    <x v="0"/>
    <x v="1"/>
    <x v="2"/>
    <x v="0"/>
    <n v="15"/>
    <n v="47630"/>
    <n v="714450"/>
    <x v="0"/>
  </r>
  <r>
    <s v="2024-04-09"/>
    <s v="martes"/>
    <x v="3"/>
    <s v="2024"/>
    <x v="1"/>
    <x v="1"/>
    <x v="3"/>
    <x v="0"/>
    <x v="1"/>
    <n v="8"/>
    <n v="15395"/>
    <n v="123160"/>
    <x v="3"/>
  </r>
  <r>
    <s v="2024-09-21"/>
    <s v="sábado"/>
    <x v="1"/>
    <s v="2024"/>
    <x v="2"/>
    <x v="0"/>
    <x v="2"/>
    <x v="2"/>
    <x v="2"/>
    <n v="6"/>
    <n v="15329"/>
    <n v="91974"/>
    <x v="3"/>
  </r>
  <r>
    <s v="2024-06-11"/>
    <s v="martes"/>
    <x v="9"/>
    <s v="2024"/>
    <x v="4"/>
    <x v="2"/>
    <x v="0"/>
    <x v="0"/>
    <x v="0"/>
    <n v="19"/>
    <n v="30158"/>
    <n v="573002"/>
    <x v="2"/>
  </r>
  <r>
    <s v="2024-12-16"/>
    <s v="lunes"/>
    <x v="7"/>
    <s v="2024"/>
    <x v="1"/>
    <x v="0"/>
    <x v="4"/>
    <x v="4"/>
    <x v="2"/>
    <n v="16"/>
    <n v="56906"/>
    <n v="910496"/>
    <x v="2"/>
  </r>
  <r>
    <s v="2024-09-21"/>
    <s v="sábado"/>
    <x v="1"/>
    <s v="2024"/>
    <x v="2"/>
    <x v="0"/>
    <x v="1"/>
    <x v="3"/>
    <x v="0"/>
    <n v="13"/>
    <n v="49262"/>
    <n v="640406"/>
    <x v="2"/>
  </r>
  <r>
    <s v="2024-05-10"/>
    <s v="viernes"/>
    <x v="4"/>
    <s v="2024"/>
    <x v="0"/>
    <x v="4"/>
    <x v="0"/>
    <x v="3"/>
    <x v="0"/>
    <n v="20"/>
    <n v="27976"/>
    <n v="559520"/>
    <x v="2"/>
  </r>
  <r>
    <s v="2024-08-16"/>
    <s v="viernes"/>
    <x v="2"/>
    <s v="2024"/>
    <x v="4"/>
    <x v="2"/>
    <x v="4"/>
    <x v="4"/>
    <x v="0"/>
    <n v="18"/>
    <n v="50935"/>
    <n v="916830"/>
    <x v="1"/>
  </r>
  <r>
    <s v="2024-10-31"/>
    <s v="jueves"/>
    <x v="8"/>
    <s v="2024"/>
    <x v="4"/>
    <x v="4"/>
    <x v="3"/>
    <x v="2"/>
    <x v="2"/>
    <n v="14"/>
    <n v="48990"/>
    <n v="685860"/>
    <x v="2"/>
  </r>
  <r>
    <s v="2024-07-13"/>
    <s v="sábado"/>
    <x v="0"/>
    <s v="2024"/>
    <x v="4"/>
    <x v="0"/>
    <x v="3"/>
    <x v="1"/>
    <x v="1"/>
    <n v="6"/>
    <n v="39269"/>
    <n v="235614"/>
    <x v="3"/>
  </r>
  <r>
    <s v="2024-07-02"/>
    <s v="martes"/>
    <x v="0"/>
    <s v="2024"/>
    <x v="3"/>
    <x v="2"/>
    <x v="1"/>
    <x v="2"/>
    <x v="1"/>
    <n v="5"/>
    <n v="46589"/>
    <n v="232945"/>
    <x v="3"/>
  </r>
  <r>
    <s v="2024-12-08"/>
    <s v="domingo"/>
    <x v="7"/>
    <s v="2024"/>
    <x v="2"/>
    <x v="0"/>
    <x v="4"/>
    <x v="1"/>
    <x v="1"/>
    <n v="8"/>
    <n v="56350"/>
    <n v="450800"/>
    <x v="0"/>
  </r>
  <r>
    <s v="2024-03-31"/>
    <s v="domingo"/>
    <x v="6"/>
    <s v="2024"/>
    <x v="4"/>
    <x v="0"/>
    <x v="4"/>
    <x v="2"/>
    <x v="2"/>
    <n v="11"/>
    <n v="56457"/>
    <n v="621027"/>
    <x v="3"/>
  </r>
  <r>
    <s v="2024-01-15"/>
    <s v="lunes"/>
    <x v="11"/>
    <s v="2024"/>
    <x v="0"/>
    <x v="1"/>
    <x v="4"/>
    <x v="4"/>
    <x v="1"/>
    <n v="14"/>
    <n v="59672"/>
    <n v="835408"/>
    <x v="2"/>
  </r>
  <r>
    <s v="2024-07-27"/>
    <s v="sábado"/>
    <x v="0"/>
    <s v="2024"/>
    <x v="4"/>
    <x v="0"/>
    <x v="2"/>
    <x v="2"/>
    <x v="2"/>
    <n v="19"/>
    <n v="51390"/>
    <n v="976410"/>
    <x v="2"/>
  </r>
  <r>
    <s v="2024-04-14"/>
    <s v="domingo"/>
    <x v="3"/>
    <s v="2024"/>
    <x v="3"/>
    <x v="4"/>
    <x v="2"/>
    <x v="2"/>
    <x v="0"/>
    <n v="8"/>
    <n v="48606"/>
    <n v="388848"/>
    <x v="3"/>
  </r>
  <r>
    <s v="2024-09-03"/>
    <s v="martes"/>
    <x v="1"/>
    <s v="2024"/>
    <x v="3"/>
    <x v="3"/>
    <x v="2"/>
    <x v="2"/>
    <x v="2"/>
    <n v="12"/>
    <n v="32304"/>
    <n v="387648"/>
    <x v="2"/>
  </r>
  <r>
    <s v="2024-08-14"/>
    <s v="miércoles"/>
    <x v="2"/>
    <s v="2024"/>
    <x v="2"/>
    <x v="0"/>
    <x v="1"/>
    <x v="1"/>
    <x v="2"/>
    <n v="17"/>
    <n v="56359"/>
    <n v="958103"/>
    <x v="2"/>
  </r>
  <r>
    <s v="2024-01-09"/>
    <s v="martes"/>
    <x v="11"/>
    <s v="2024"/>
    <x v="2"/>
    <x v="3"/>
    <x v="2"/>
    <x v="3"/>
    <x v="1"/>
    <n v="4"/>
    <n v="27577"/>
    <n v="110308"/>
    <x v="3"/>
  </r>
  <r>
    <s v="2024-02-25"/>
    <s v="domingo"/>
    <x v="10"/>
    <s v="2024"/>
    <x v="3"/>
    <x v="0"/>
    <x v="1"/>
    <x v="3"/>
    <x v="2"/>
    <n v="14"/>
    <n v="56286"/>
    <n v="788004"/>
    <x v="3"/>
  </r>
  <r>
    <s v="2024-07-28"/>
    <s v="domingo"/>
    <x v="0"/>
    <s v="2024"/>
    <x v="0"/>
    <x v="1"/>
    <x v="0"/>
    <x v="0"/>
    <x v="0"/>
    <n v="3"/>
    <n v="28873"/>
    <n v="86619"/>
    <x v="3"/>
  </r>
  <r>
    <s v="2024-06-10"/>
    <s v="lunes"/>
    <x v="9"/>
    <s v="2024"/>
    <x v="2"/>
    <x v="0"/>
    <x v="2"/>
    <x v="0"/>
    <x v="1"/>
    <n v="19"/>
    <n v="53854"/>
    <n v="1023226"/>
    <x v="1"/>
  </r>
  <r>
    <s v="2024-12-17"/>
    <s v="martes"/>
    <x v="7"/>
    <s v="2024"/>
    <x v="3"/>
    <x v="1"/>
    <x v="1"/>
    <x v="2"/>
    <x v="2"/>
    <n v="12"/>
    <n v="55295"/>
    <n v="663540"/>
    <x v="2"/>
  </r>
  <r>
    <s v="2024-06-22"/>
    <s v="sábado"/>
    <x v="9"/>
    <s v="2024"/>
    <x v="4"/>
    <x v="2"/>
    <x v="3"/>
    <x v="4"/>
    <x v="2"/>
    <n v="9"/>
    <n v="38913"/>
    <n v="350217"/>
    <x v="3"/>
  </r>
  <r>
    <s v="2024-05-20"/>
    <s v="lunes"/>
    <x v="4"/>
    <s v="2024"/>
    <x v="4"/>
    <x v="0"/>
    <x v="3"/>
    <x v="3"/>
    <x v="1"/>
    <n v="9"/>
    <n v="50039"/>
    <n v="450351"/>
    <x v="2"/>
  </r>
  <r>
    <s v="2024-12-04"/>
    <s v="miércoles"/>
    <x v="7"/>
    <s v="2024"/>
    <x v="3"/>
    <x v="0"/>
    <x v="2"/>
    <x v="1"/>
    <x v="0"/>
    <n v="20"/>
    <n v="19368"/>
    <n v="387360"/>
    <x v="1"/>
  </r>
  <r>
    <s v="2024-01-03"/>
    <s v="miércoles"/>
    <x v="11"/>
    <s v="2024"/>
    <x v="0"/>
    <x v="1"/>
    <x v="4"/>
    <x v="0"/>
    <x v="0"/>
    <n v="17"/>
    <n v="50880"/>
    <n v="864960"/>
    <x v="2"/>
  </r>
  <r>
    <s v="2024-04-30"/>
    <s v="martes"/>
    <x v="3"/>
    <s v="2024"/>
    <x v="2"/>
    <x v="2"/>
    <x v="1"/>
    <x v="0"/>
    <x v="2"/>
    <n v="1"/>
    <n v="39642"/>
    <n v="39642"/>
    <x v="2"/>
  </r>
  <r>
    <s v="2024-06-19"/>
    <s v="miércoles"/>
    <x v="9"/>
    <s v="2024"/>
    <x v="4"/>
    <x v="0"/>
    <x v="2"/>
    <x v="0"/>
    <x v="2"/>
    <n v="10"/>
    <n v="20729"/>
    <n v="207290"/>
    <x v="0"/>
  </r>
  <r>
    <s v="2024-07-26"/>
    <s v="viernes"/>
    <x v="0"/>
    <s v="2024"/>
    <x v="1"/>
    <x v="2"/>
    <x v="4"/>
    <x v="4"/>
    <x v="2"/>
    <n v="20"/>
    <n v="30680"/>
    <n v="613600"/>
    <x v="2"/>
  </r>
  <r>
    <s v="2024-05-18"/>
    <s v="sábado"/>
    <x v="4"/>
    <s v="2024"/>
    <x v="2"/>
    <x v="2"/>
    <x v="3"/>
    <x v="1"/>
    <x v="1"/>
    <n v="2"/>
    <n v="59950"/>
    <n v="119900"/>
    <x v="2"/>
  </r>
  <r>
    <s v="2024-05-10"/>
    <s v="viernes"/>
    <x v="4"/>
    <s v="2024"/>
    <x v="1"/>
    <x v="2"/>
    <x v="0"/>
    <x v="0"/>
    <x v="1"/>
    <n v="17"/>
    <n v="19019"/>
    <n v="323323"/>
    <x v="2"/>
  </r>
  <r>
    <s v="2024-04-07"/>
    <s v="domingo"/>
    <x v="3"/>
    <s v="2024"/>
    <x v="0"/>
    <x v="4"/>
    <x v="0"/>
    <x v="1"/>
    <x v="1"/>
    <n v="1"/>
    <n v="19087"/>
    <n v="19087"/>
    <x v="0"/>
  </r>
  <r>
    <s v="2024-03-21"/>
    <s v="jueves"/>
    <x v="6"/>
    <s v="2024"/>
    <x v="2"/>
    <x v="4"/>
    <x v="3"/>
    <x v="2"/>
    <x v="2"/>
    <n v="19"/>
    <n v="51902"/>
    <n v="986138"/>
    <x v="1"/>
  </r>
  <r>
    <s v="2024-04-12"/>
    <s v="viernes"/>
    <x v="3"/>
    <s v="2024"/>
    <x v="1"/>
    <x v="3"/>
    <x v="0"/>
    <x v="0"/>
    <x v="2"/>
    <n v="3"/>
    <n v="57382"/>
    <n v="172146"/>
    <x v="0"/>
  </r>
  <r>
    <s v="2024-08-06"/>
    <s v="martes"/>
    <x v="2"/>
    <s v="2024"/>
    <x v="4"/>
    <x v="4"/>
    <x v="2"/>
    <x v="4"/>
    <x v="2"/>
    <n v="13"/>
    <n v="17290"/>
    <n v="224770"/>
    <x v="1"/>
  </r>
  <r>
    <s v="2024-06-16"/>
    <s v="domingo"/>
    <x v="9"/>
    <s v="2024"/>
    <x v="1"/>
    <x v="1"/>
    <x v="4"/>
    <x v="4"/>
    <x v="1"/>
    <n v="14"/>
    <n v="47604"/>
    <n v="666456"/>
    <x v="2"/>
  </r>
  <r>
    <s v="2024-11-26"/>
    <s v="martes"/>
    <x v="5"/>
    <s v="2024"/>
    <x v="1"/>
    <x v="4"/>
    <x v="2"/>
    <x v="4"/>
    <x v="0"/>
    <n v="8"/>
    <n v="56188"/>
    <n v="449504"/>
    <x v="1"/>
  </r>
  <r>
    <s v="2024-07-30"/>
    <s v="martes"/>
    <x v="0"/>
    <s v="2024"/>
    <x v="2"/>
    <x v="4"/>
    <x v="0"/>
    <x v="3"/>
    <x v="1"/>
    <n v="16"/>
    <n v="28720"/>
    <n v="459520"/>
    <x v="0"/>
  </r>
  <r>
    <s v="2024-02-21"/>
    <s v="miércoles"/>
    <x v="10"/>
    <s v="2024"/>
    <x v="3"/>
    <x v="0"/>
    <x v="3"/>
    <x v="1"/>
    <x v="1"/>
    <n v="5"/>
    <n v="52120"/>
    <n v="260600"/>
    <x v="3"/>
  </r>
  <r>
    <s v="2024-05-25"/>
    <s v="sábado"/>
    <x v="4"/>
    <s v="2024"/>
    <x v="4"/>
    <x v="4"/>
    <x v="4"/>
    <x v="3"/>
    <x v="2"/>
    <n v="11"/>
    <n v="35957"/>
    <n v="395527"/>
    <x v="1"/>
  </r>
  <r>
    <s v="2024-01-15"/>
    <s v="lunes"/>
    <x v="11"/>
    <s v="2024"/>
    <x v="1"/>
    <x v="2"/>
    <x v="4"/>
    <x v="2"/>
    <x v="1"/>
    <n v="6"/>
    <n v="21174"/>
    <n v="127044"/>
    <x v="2"/>
  </r>
  <r>
    <s v="2024-01-05"/>
    <s v="viernes"/>
    <x v="11"/>
    <s v="2024"/>
    <x v="0"/>
    <x v="2"/>
    <x v="3"/>
    <x v="4"/>
    <x v="0"/>
    <n v="2"/>
    <n v="26691"/>
    <n v="53382"/>
    <x v="2"/>
  </r>
  <r>
    <s v="2024-05-20"/>
    <s v="lunes"/>
    <x v="4"/>
    <s v="2024"/>
    <x v="2"/>
    <x v="2"/>
    <x v="0"/>
    <x v="4"/>
    <x v="2"/>
    <n v="20"/>
    <n v="20323"/>
    <n v="406460"/>
    <x v="2"/>
  </r>
  <r>
    <s v="2024-09-25"/>
    <s v="miércoles"/>
    <x v="1"/>
    <s v="2024"/>
    <x v="1"/>
    <x v="4"/>
    <x v="2"/>
    <x v="1"/>
    <x v="2"/>
    <n v="17"/>
    <n v="15484"/>
    <n v="263228"/>
    <x v="2"/>
  </r>
  <r>
    <s v="2024-10-04"/>
    <s v="viernes"/>
    <x v="8"/>
    <s v="2024"/>
    <x v="4"/>
    <x v="0"/>
    <x v="3"/>
    <x v="3"/>
    <x v="1"/>
    <n v="3"/>
    <n v="41700"/>
    <n v="125100"/>
    <x v="3"/>
  </r>
  <r>
    <s v="2024-09-03"/>
    <s v="martes"/>
    <x v="1"/>
    <s v="2024"/>
    <x v="3"/>
    <x v="1"/>
    <x v="4"/>
    <x v="3"/>
    <x v="0"/>
    <n v="17"/>
    <n v="16911"/>
    <n v="287487"/>
    <x v="0"/>
  </r>
  <r>
    <s v="2024-11-18"/>
    <s v="lunes"/>
    <x v="5"/>
    <s v="2024"/>
    <x v="4"/>
    <x v="1"/>
    <x v="3"/>
    <x v="4"/>
    <x v="1"/>
    <n v="3"/>
    <n v="15047"/>
    <n v="45141"/>
    <x v="0"/>
  </r>
  <r>
    <s v="2024-10-14"/>
    <s v="lunes"/>
    <x v="8"/>
    <s v="2024"/>
    <x v="1"/>
    <x v="3"/>
    <x v="4"/>
    <x v="1"/>
    <x v="1"/>
    <n v="18"/>
    <n v="53600"/>
    <n v="964800"/>
    <x v="0"/>
  </r>
  <r>
    <s v="2024-04-23"/>
    <s v="martes"/>
    <x v="3"/>
    <s v="2024"/>
    <x v="3"/>
    <x v="0"/>
    <x v="1"/>
    <x v="2"/>
    <x v="1"/>
    <n v="3"/>
    <n v="20451"/>
    <n v="61353"/>
    <x v="3"/>
  </r>
  <r>
    <s v="2024-07-28"/>
    <s v="domingo"/>
    <x v="0"/>
    <s v="2024"/>
    <x v="1"/>
    <x v="2"/>
    <x v="2"/>
    <x v="0"/>
    <x v="0"/>
    <n v="13"/>
    <n v="55870"/>
    <n v="726310"/>
    <x v="0"/>
  </r>
  <r>
    <s v="2024-03-05"/>
    <s v="martes"/>
    <x v="6"/>
    <s v="2024"/>
    <x v="0"/>
    <x v="4"/>
    <x v="4"/>
    <x v="2"/>
    <x v="2"/>
    <n v="3"/>
    <n v="37887"/>
    <n v="113661"/>
    <x v="2"/>
  </r>
  <r>
    <s v="2024-10-27"/>
    <s v="domingo"/>
    <x v="8"/>
    <s v="2024"/>
    <x v="3"/>
    <x v="2"/>
    <x v="0"/>
    <x v="1"/>
    <x v="1"/>
    <n v="13"/>
    <n v="40629"/>
    <n v="528177"/>
    <x v="2"/>
  </r>
  <r>
    <s v="2024-09-04"/>
    <s v="miércoles"/>
    <x v="1"/>
    <s v="2024"/>
    <x v="4"/>
    <x v="2"/>
    <x v="0"/>
    <x v="2"/>
    <x v="2"/>
    <n v="8"/>
    <n v="20923"/>
    <n v="167384"/>
    <x v="0"/>
  </r>
  <r>
    <s v="2024-11-19"/>
    <s v="martes"/>
    <x v="5"/>
    <s v="2024"/>
    <x v="2"/>
    <x v="1"/>
    <x v="4"/>
    <x v="2"/>
    <x v="0"/>
    <n v="19"/>
    <n v="16803"/>
    <n v="319257"/>
    <x v="1"/>
  </r>
  <r>
    <s v="2024-01-08"/>
    <s v="lunes"/>
    <x v="11"/>
    <s v="2024"/>
    <x v="4"/>
    <x v="3"/>
    <x v="1"/>
    <x v="2"/>
    <x v="0"/>
    <n v="8"/>
    <n v="29386"/>
    <n v="235088"/>
    <x v="2"/>
  </r>
  <r>
    <s v="2024-07-13"/>
    <s v="sábado"/>
    <x v="0"/>
    <s v="2024"/>
    <x v="1"/>
    <x v="3"/>
    <x v="2"/>
    <x v="0"/>
    <x v="1"/>
    <n v="20"/>
    <n v="23865"/>
    <n v="477300"/>
    <x v="1"/>
  </r>
  <r>
    <s v="2024-06-03"/>
    <s v="lunes"/>
    <x v="9"/>
    <s v="2024"/>
    <x v="4"/>
    <x v="3"/>
    <x v="0"/>
    <x v="2"/>
    <x v="2"/>
    <n v="12"/>
    <n v="24765"/>
    <n v="297180"/>
    <x v="2"/>
  </r>
  <r>
    <s v="2024-10-01"/>
    <s v="martes"/>
    <x v="8"/>
    <s v="2024"/>
    <x v="4"/>
    <x v="3"/>
    <x v="4"/>
    <x v="1"/>
    <x v="2"/>
    <n v="2"/>
    <n v="27513"/>
    <n v="55026"/>
    <x v="2"/>
  </r>
  <r>
    <s v="2024-08-22"/>
    <s v="jueves"/>
    <x v="2"/>
    <s v="2024"/>
    <x v="4"/>
    <x v="3"/>
    <x v="3"/>
    <x v="1"/>
    <x v="0"/>
    <n v="15"/>
    <n v="43207"/>
    <n v="648105"/>
    <x v="1"/>
  </r>
  <r>
    <s v="2024-03-16"/>
    <s v="sábado"/>
    <x v="6"/>
    <s v="2024"/>
    <x v="1"/>
    <x v="3"/>
    <x v="2"/>
    <x v="0"/>
    <x v="2"/>
    <n v="6"/>
    <n v="44944"/>
    <n v="269664"/>
    <x v="1"/>
  </r>
  <r>
    <s v="2024-08-06"/>
    <s v="martes"/>
    <x v="2"/>
    <s v="2024"/>
    <x v="3"/>
    <x v="2"/>
    <x v="1"/>
    <x v="1"/>
    <x v="0"/>
    <n v="9"/>
    <n v="35941"/>
    <n v="323469"/>
    <x v="2"/>
  </r>
  <r>
    <s v="2024-02-02"/>
    <s v="viernes"/>
    <x v="10"/>
    <s v="2024"/>
    <x v="3"/>
    <x v="4"/>
    <x v="2"/>
    <x v="3"/>
    <x v="2"/>
    <n v="17"/>
    <n v="37869"/>
    <n v="643773"/>
    <x v="3"/>
  </r>
  <r>
    <s v="2024-04-10"/>
    <s v="miércoles"/>
    <x v="3"/>
    <s v="2024"/>
    <x v="1"/>
    <x v="2"/>
    <x v="0"/>
    <x v="1"/>
    <x v="1"/>
    <n v="11"/>
    <n v="30696"/>
    <n v="337656"/>
    <x v="2"/>
  </r>
  <r>
    <s v="2024-07-18"/>
    <s v="jueves"/>
    <x v="0"/>
    <s v="2024"/>
    <x v="2"/>
    <x v="3"/>
    <x v="2"/>
    <x v="0"/>
    <x v="2"/>
    <n v="18"/>
    <n v="17081"/>
    <n v="307458"/>
    <x v="2"/>
  </r>
  <r>
    <s v="2024-12-01"/>
    <s v="domingo"/>
    <x v="7"/>
    <s v="2024"/>
    <x v="4"/>
    <x v="0"/>
    <x v="0"/>
    <x v="4"/>
    <x v="0"/>
    <n v="14"/>
    <n v="40687"/>
    <n v="569618"/>
    <x v="3"/>
  </r>
  <r>
    <s v="2024-04-08"/>
    <s v="lunes"/>
    <x v="3"/>
    <s v="2024"/>
    <x v="0"/>
    <x v="4"/>
    <x v="4"/>
    <x v="1"/>
    <x v="0"/>
    <n v="7"/>
    <n v="48281"/>
    <n v="337967"/>
    <x v="1"/>
  </r>
  <r>
    <s v="2024-12-21"/>
    <s v="sábado"/>
    <x v="7"/>
    <s v="2024"/>
    <x v="1"/>
    <x v="4"/>
    <x v="3"/>
    <x v="1"/>
    <x v="0"/>
    <n v="10"/>
    <n v="45090"/>
    <n v="450900"/>
    <x v="0"/>
  </r>
  <r>
    <s v="2024-06-05"/>
    <s v="miércoles"/>
    <x v="9"/>
    <s v="2024"/>
    <x v="0"/>
    <x v="4"/>
    <x v="3"/>
    <x v="4"/>
    <x v="2"/>
    <n v="12"/>
    <n v="40684"/>
    <n v="488208"/>
    <x v="0"/>
  </r>
  <r>
    <s v="2024-07-13"/>
    <s v="sábado"/>
    <x v="0"/>
    <s v="2024"/>
    <x v="1"/>
    <x v="3"/>
    <x v="2"/>
    <x v="0"/>
    <x v="2"/>
    <n v="11"/>
    <n v="27814"/>
    <n v="305954"/>
    <x v="1"/>
  </r>
  <r>
    <s v="2024-07-18"/>
    <s v="jueves"/>
    <x v="0"/>
    <s v="2024"/>
    <x v="0"/>
    <x v="0"/>
    <x v="4"/>
    <x v="3"/>
    <x v="1"/>
    <n v="14"/>
    <n v="30468"/>
    <n v="426552"/>
    <x v="0"/>
  </r>
  <r>
    <s v="2024-04-06"/>
    <s v="sábado"/>
    <x v="3"/>
    <s v="2024"/>
    <x v="4"/>
    <x v="0"/>
    <x v="2"/>
    <x v="2"/>
    <x v="2"/>
    <n v="5"/>
    <n v="58808"/>
    <n v="294040"/>
    <x v="2"/>
  </r>
  <r>
    <s v="2024-06-06"/>
    <s v="jueves"/>
    <x v="9"/>
    <s v="2024"/>
    <x v="0"/>
    <x v="3"/>
    <x v="4"/>
    <x v="2"/>
    <x v="2"/>
    <n v="13"/>
    <n v="30734"/>
    <n v="399542"/>
    <x v="3"/>
  </r>
  <r>
    <s v="2024-03-03"/>
    <s v="domingo"/>
    <x v="6"/>
    <s v="2024"/>
    <x v="3"/>
    <x v="1"/>
    <x v="1"/>
    <x v="4"/>
    <x v="1"/>
    <n v="1"/>
    <n v="53242"/>
    <n v="53242"/>
    <x v="1"/>
  </r>
  <r>
    <s v="2024-07-19"/>
    <s v="viernes"/>
    <x v="0"/>
    <s v="2024"/>
    <x v="4"/>
    <x v="3"/>
    <x v="2"/>
    <x v="0"/>
    <x v="2"/>
    <n v="18"/>
    <n v="57945"/>
    <n v="1043010"/>
    <x v="0"/>
  </r>
  <r>
    <s v="2024-02-23"/>
    <s v="viernes"/>
    <x v="10"/>
    <s v="2024"/>
    <x v="2"/>
    <x v="0"/>
    <x v="3"/>
    <x v="2"/>
    <x v="2"/>
    <n v="17"/>
    <n v="32675"/>
    <n v="555475"/>
    <x v="0"/>
  </r>
  <r>
    <s v="2024-11-02"/>
    <s v="sábado"/>
    <x v="5"/>
    <s v="2024"/>
    <x v="2"/>
    <x v="1"/>
    <x v="4"/>
    <x v="3"/>
    <x v="1"/>
    <n v="14"/>
    <n v="55897"/>
    <n v="782558"/>
    <x v="0"/>
  </r>
  <r>
    <s v="2024-06-17"/>
    <s v="lunes"/>
    <x v="9"/>
    <s v="2024"/>
    <x v="0"/>
    <x v="2"/>
    <x v="3"/>
    <x v="3"/>
    <x v="2"/>
    <n v="13"/>
    <n v="16756"/>
    <n v="217828"/>
    <x v="0"/>
  </r>
  <r>
    <s v="2024-01-29"/>
    <s v="lunes"/>
    <x v="11"/>
    <s v="2024"/>
    <x v="3"/>
    <x v="1"/>
    <x v="0"/>
    <x v="0"/>
    <x v="0"/>
    <n v="16"/>
    <n v="55116"/>
    <n v="881856"/>
    <x v="2"/>
  </r>
  <r>
    <s v="2024-05-20"/>
    <s v="lunes"/>
    <x v="4"/>
    <s v="2024"/>
    <x v="1"/>
    <x v="0"/>
    <x v="2"/>
    <x v="4"/>
    <x v="0"/>
    <n v="18"/>
    <n v="21479"/>
    <n v="386622"/>
    <x v="1"/>
  </r>
  <r>
    <s v="2024-08-02"/>
    <s v="viernes"/>
    <x v="2"/>
    <s v="2024"/>
    <x v="1"/>
    <x v="2"/>
    <x v="2"/>
    <x v="2"/>
    <x v="1"/>
    <n v="11"/>
    <n v="45070"/>
    <n v="495770"/>
    <x v="0"/>
  </r>
  <r>
    <s v="2024-09-29"/>
    <s v="domingo"/>
    <x v="1"/>
    <s v="2024"/>
    <x v="1"/>
    <x v="0"/>
    <x v="0"/>
    <x v="0"/>
    <x v="0"/>
    <n v="6"/>
    <n v="17522"/>
    <n v="105132"/>
    <x v="1"/>
  </r>
  <r>
    <s v="2024-06-10"/>
    <s v="lunes"/>
    <x v="9"/>
    <s v="2024"/>
    <x v="2"/>
    <x v="4"/>
    <x v="2"/>
    <x v="1"/>
    <x v="0"/>
    <n v="19"/>
    <n v="31663"/>
    <n v="601597"/>
    <x v="3"/>
  </r>
  <r>
    <s v="2024-05-20"/>
    <s v="lunes"/>
    <x v="4"/>
    <s v="2024"/>
    <x v="2"/>
    <x v="3"/>
    <x v="0"/>
    <x v="3"/>
    <x v="1"/>
    <n v="6"/>
    <n v="57676"/>
    <n v="346056"/>
    <x v="0"/>
  </r>
  <r>
    <s v="2024-08-19"/>
    <s v="lunes"/>
    <x v="2"/>
    <s v="2024"/>
    <x v="2"/>
    <x v="4"/>
    <x v="3"/>
    <x v="2"/>
    <x v="0"/>
    <n v="6"/>
    <n v="20918"/>
    <n v="125508"/>
    <x v="2"/>
  </r>
  <r>
    <s v="2024-01-27"/>
    <s v="sábado"/>
    <x v="11"/>
    <s v="2024"/>
    <x v="0"/>
    <x v="4"/>
    <x v="4"/>
    <x v="2"/>
    <x v="1"/>
    <n v="7"/>
    <n v="31127"/>
    <n v="217889"/>
    <x v="3"/>
  </r>
  <r>
    <s v="2024-01-19"/>
    <s v="viernes"/>
    <x v="11"/>
    <s v="2024"/>
    <x v="3"/>
    <x v="3"/>
    <x v="3"/>
    <x v="1"/>
    <x v="1"/>
    <n v="3"/>
    <n v="25764"/>
    <n v="77292"/>
    <x v="2"/>
  </r>
  <r>
    <s v="2024-05-25"/>
    <s v="sábado"/>
    <x v="4"/>
    <s v="2024"/>
    <x v="2"/>
    <x v="2"/>
    <x v="4"/>
    <x v="1"/>
    <x v="1"/>
    <n v="10"/>
    <n v="22337"/>
    <n v="223370"/>
    <x v="3"/>
  </r>
  <r>
    <s v="2024-12-11"/>
    <s v="miércoles"/>
    <x v="7"/>
    <s v="2024"/>
    <x v="3"/>
    <x v="3"/>
    <x v="2"/>
    <x v="4"/>
    <x v="0"/>
    <n v="13"/>
    <n v="29189"/>
    <n v="379457"/>
    <x v="0"/>
  </r>
  <r>
    <s v="2024-10-29"/>
    <s v="martes"/>
    <x v="8"/>
    <s v="2024"/>
    <x v="2"/>
    <x v="2"/>
    <x v="4"/>
    <x v="2"/>
    <x v="1"/>
    <n v="7"/>
    <n v="20329"/>
    <n v="142303"/>
    <x v="1"/>
  </r>
  <r>
    <s v="2024-02-24"/>
    <s v="sábado"/>
    <x v="10"/>
    <s v="2024"/>
    <x v="4"/>
    <x v="0"/>
    <x v="3"/>
    <x v="0"/>
    <x v="1"/>
    <n v="18"/>
    <n v="27548"/>
    <n v="495864"/>
    <x v="1"/>
  </r>
  <r>
    <s v="2024-12-06"/>
    <s v="viernes"/>
    <x v="7"/>
    <s v="2024"/>
    <x v="3"/>
    <x v="4"/>
    <x v="1"/>
    <x v="4"/>
    <x v="2"/>
    <n v="1"/>
    <n v="30075"/>
    <n v="30075"/>
    <x v="2"/>
  </r>
  <r>
    <s v="2024-10-18"/>
    <s v="viernes"/>
    <x v="8"/>
    <s v="2024"/>
    <x v="1"/>
    <x v="2"/>
    <x v="2"/>
    <x v="3"/>
    <x v="0"/>
    <n v="3"/>
    <n v="26227"/>
    <n v="78681"/>
    <x v="2"/>
  </r>
  <r>
    <s v="2024-05-01"/>
    <s v="miércoles"/>
    <x v="4"/>
    <s v="2024"/>
    <x v="3"/>
    <x v="0"/>
    <x v="0"/>
    <x v="2"/>
    <x v="1"/>
    <n v="18"/>
    <n v="23300"/>
    <n v="419400"/>
    <x v="1"/>
  </r>
  <r>
    <s v="2024-02-20"/>
    <s v="martes"/>
    <x v="10"/>
    <s v="2024"/>
    <x v="3"/>
    <x v="4"/>
    <x v="3"/>
    <x v="2"/>
    <x v="2"/>
    <n v="13"/>
    <n v="46762"/>
    <n v="607906"/>
    <x v="3"/>
  </r>
  <r>
    <s v="2024-08-16"/>
    <s v="viernes"/>
    <x v="2"/>
    <s v="2024"/>
    <x v="0"/>
    <x v="2"/>
    <x v="4"/>
    <x v="2"/>
    <x v="1"/>
    <n v="15"/>
    <n v="40784"/>
    <n v="611760"/>
    <x v="1"/>
  </r>
  <r>
    <s v="2024-06-27"/>
    <s v="jueves"/>
    <x v="9"/>
    <s v="2024"/>
    <x v="1"/>
    <x v="3"/>
    <x v="1"/>
    <x v="3"/>
    <x v="2"/>
    <n v="13"/>
    <n v="47131"/>
    <n v="612703"/>
    <x v="2"/>
  </r>
  <r>
    <s v="2024-01-18"/>
    <s v="jueves"/>
    <x v="11"/>
    <s v="2024"/>
    <x v="2"/>
    <x v="3"/>
    <x v="3"/>
    <x v="3"/>
    <x v="1"/>
    <n v="17"/>
    <n v="58909"/>
    <n v="1001453"/>
    <x v="0"/>
  </r>
  <r>
    <s v="2024-08-04"/>
    <s v="domingo"/>
    <x v="2"/>
    <s v="2024"/>
    <x v="4"/>
    <x v="4"/>
    <x v="0"/>
    <x v="3"/>
    <x v="1"/>
    <n v="6"/>
    <n v="23544"/>
    <n v="141264"/>
    <x v="1"/>
  </r>
  <r>
    <s v="2024-02-12"/>
    <s v="lunes"/>
    <x v="10"/>
    <s v="2024"/>
    <x v="4"/>
    <x v="4"/>
    <x v="4"/>
    <x v="4"/>
    <x v="1"/>
    <n v="5"/>
    <n v="19540"/>
    <n v="97700"/>
    <x v="1"/>
  </r>
  <r>
    <s v="2024-09-02"/>
    <s v="lunes"/>
    <x v="1"/>
    <s v="2024"/>
    <x v="1"/>
    <x v="2"/>
    <x v="4"/>
    <x v="2"/>
    <x v="0"/>
    <n v="19"/>
    <n v="32583"/>
    <n v="619077"/>
    <x v="3"/>
  </r>
  <r>
    <s v="2024-11-19"/>
    <s v="martes"/>
    <x v="5"/>
    <s v="2024"/>
    <x v="4"/>
    <x v="2"/>
    <x v="0"/>
    <x v="0"/>
    <x v="1"/>
    <n v="7"/>
    <n v="16519"/>
    <n v="115633"/>
    <x v="3"/>
  </r>
  <r>
    <s v="2024-07-11"/>
    <s v="jueves"/>
    <x v="0"/>
    <s v="2024"/>
    <x v="0"/>
    <x v="1"/>
    <x v="0"/>
    <x v="3"/>
    <x v="2"/>
    <n v="6"/>
    <n v="39511"/>
    <n v="237066"/>
    <x v="2"/>
  </r>
  <r>
    <s v="2024-10-26"/>
    <s v="sábado"/>
    <x v="8"/>
    <s v="2024"/>
    <x v="4"/>
    <x v="4"/>
    <x v="4"/>
    <x v="4"/>
    <x v="1"/>
    <n v="8"/>
    <n v="15352"/>
    <n v="122816"/>
    <x v="0"/>
  </r>
  <r>
    <s v="2024-11-21"/>
    <s v="jueves"/>
    <x v="5"/>
    <s v="2024"/>
    <x v="4"/>
    <x v="2"/>
    <x v="4"/>
    <x v="3"/>
    <x v="2"/>
    <n v="19"/>
    <n v="17064"/>
    <n v="324216"/>
    <x v="2"/>
  </r>
  <r>
    <s v="2024-06-16"/>
    <s v="domingo"/>
    <x v="9"/>
    <s v="2024"/>
    <x v="2"/>
    <x v="4"/>
    <x v="2"/>
    <x v="3"/>
    <x v="1"/>
    <n v="13"/>
    <n v="25758"/>
    <n v="334854"/>
    <x v="0"/>
  </r>
  <r>
    <s v="2024-07-23"/>
    <s v="martes"/>
    <x v="0"/>
    <s v="2024"/>
    <x v="1"/>
    <x v="1"/>
    <x v="3"/>
    <x v="0"/>
    <x v="0"/>
    <n v="1"/>
    <n v="17773"/>
    <n v="17773"/>
    <x v="2"/>
  </r>
  <r>
    <s v="2024-05-30"/>
    <s v="jueves"/>
    <x v="4"/>
    <s v="2024"/>
    <x v="4"/>
    <x v="4"/>
    <x v="1"/>
    <x v="4"/>
    <x v="0"/>
    <n v="9"/>
    <n v="19967"/>
    <n v="179703"/>
    <x v="3"/>
  </r>
  <r>
    <s v="2024-12-26"/>
    <s v="jueves"/>
    <x v="7"/>
    <s v="2024"/>
    <x v="3"/>
    <x v="3"/>
    <x v="3"/>
    <x v="0"/>
    <x v="1"/>
    <n v="6"/>
    <n v="27883"/>
    <n v="167298"/>
    <x v="1"/>
  </r>
  <r>
    <s v="2024-01-22"/>
    <s v="lunes"/>
    <x v="11"/>
    <s v="2024"/>
    <x v="4"/>
    <x v="3"/>
    <x v="4"/>
    <x v="2"/>
    <x v="1"/>
    <n v="4"/>
    <n v="44921"/>
    <n v="179684"/>
    <x v="2"/>
  </r>
  <r>
    <s v="2024-05-25"/>
    <s v="sábado"/>
    <x v="4"/>
    <s v="2024"/>
    <x v="1"/>
    <x v="0"/>
    <x v="4"/>
    <x v="2"/>
    <x v="0"/>
    <n v="6"/>
    <n v="54936"/>
    <n v="329616"/>
    <x v="3"/>
  </r>
  <r>
    <s v="2024-06-19"/>
    <s v="miércoles"/>
    <x v="9"/>
    <s v="2024"/>
    <x v="4"/>
    <x v="3"/>
    <x v="2"/>
    <x v="0"/>
    <x v="1"/>
    <n v="1"/>
    <n v="58920"/>
    <n v="58920"/>
    <x v="0"/>
  </r>
  <r>
    <s v="2024-01-30"/>
    <s v="martes"/>
    <x v="11"/>
    <s v="2024"/>
    <x v="0"/>
    <x v="4"/>
    <x v="4"/>
    <x v="3"/>
    <x v="1"/>
    <n v="7"/>
    <n v="53156"/>
    <n v="372092"/>
    <x v="0"/>
  </r>
  <r>
    <s v="2024-01-10"/>
    <s v="miércoles"/>
    <x v="11"/>
    <s v="2024"/>
    <x v="4"/>
    <x v="3"/>
    <x v="0"/>
    <x v="4"/>
    <x v="0"/>
    <n v="20"/>
    <n v="41799"/>
    <n v="835980"/>
    <x v="1"/>
  </r>
  <r>
    <s v="2024-05-18"/>
    <s v="sábado"/>
    <x v="4"/>
    <s v="2024"/>
    <x v="2"/>
    <x v="0"/>
    <x v="2"/>
    <x v="4"/>
    <x v="0"/>
    <n v="10"/>
    <n v="18294"/>
    <n v="182940"/>
    <x v="2"/>
  </r>
  <r>
    <s v="2024-11-15"/>
    <s v="viernes"/>
    <x v="5"/>
    <s v="2024"/>
    <x v="2"/>
    <x v="0"/>
    <x v="3"/>
    <x v="1"/>
    <x v="1"/>
    <n v="12"/>
    <n v="30384"/>
    <n v="364608"/>
    <x v="1"/>
  </r>
  <r>
    <s v="2024-04-27"/>
    <s v="sábado"/>
    <x v="3"/>
    <s v="2024"/>
    <x v="4"/>
    <x v="4"/>
    <x v="2"/>
    <x v="4"/>
    <x v="1"/>
    <n v="6"/>
    <n v="57091"/>
    <n v="342546"/>
    <x v="2"/>
  </r>
  <r>
    <s v="2024-05-27"/>
    <s v="lunes"/>
    <x v="4"/>
    <s v="2024"/>
    <x v="2"/>
    <x v="4"/>
    <x v="1"/>
    <x v="3"/>
    <x v="2"/>
    <n v="12"/>
    <n v="26717"/>
    <n v="320604"/>
    <x v="3"/>
  </r>
  <r>
    <s v="2024-04-20"/>
    <s v="sábado"/>
    <x v="3"/>
    <s v="2024"/>
    <x v="4"/>
    <x v="4"/>
    <x v="3"/>
    <x v="2"/>
    <x v="0"/>
    <n v="19"/>
    <n v="54384"/>
    <n v="1033296"/>
    <x v="0"/>
  </r>
  <r>
    <s v="2024-09-21"/>
    <s v="sábado"/>
    <x v="1"/>
    <s v="2024"/>
    <x v="2"/>
    <x v="4"/>
    <x v="2"/>
    <x v="2"/>
    <x v="2"/>
    <n v="19"/>
    <n v="25850"/>
    <n v="491150"/>
    <x v="0"/>
  </r>
  <r>
    <s v="2024-01-03"/>
    <s v="miércoles"/>
    <x v="11"/>
    <s v="2024"/>
    <x v="3"/>
    <x v="3"/>
    <x v="1"/>
    <x v="1"/>
    <x v="0"/>
    <n v="20"/>
    <n v="24083"/>
    <n v="481660"/>
    <x v="2"/>
  </r>
  <r>
    <s v="2024-09-21"/>
    <s v="sábado"/>
    <x v="1"/>
    <s v="2024"/>
    <x v="3"/>
    <x v="1"/>
    <x v="3"/>
    <x v="0"/>
    <x v="2"/>
    <n v="11"/>
    <n v="32543"/>
    <n v="357973"/>
    <x v="2"/>
  </r>
  <r>
    <s v="2024-08-25"/>
    <s v="domingo"/>
    <x v="2"/>
    <s v="2024"/>
    <x v="2"/>
    <x v="3"/>
    <x v="3"/>
    <x v="0"/>
    <x v="1"/>
    <n v="5"/>
    <n v="30206"/>
    <n v="151030"/>
    <x v="0"/>
  </r>
  <r>
    <s v="2024-06-06"/>
    <s v="jueves"/>
    <x v="9"/>
    <s v="2024"/>
    <x v="1"/>
    <x v="3"/>
    <x v="1"/>
    <x v="1"/>
    <x v="0"/>
    <n v="4"/>
    <n v="49357"/>
    <n v="197428"/>
    <x v="3"/>
  </r>
  <r>
    <s v="2024-10-09"/>
    <s v="miércoles"/>
    <x v="8"/>
    <s v="2024"/>
    <x v="3"/>
    <x v="1"/>
    <x v="4"/>
    <x v="2"/>
    <x v="2"/>
    <n v="3"/>
    <n v="30393"/>
    <n v="91179"/>
    <x v="0"/>
  </r>
  <r>
    <s v="2024-08-31"/>
    <s v="sábado"/>
    <x v="2"/>
    <s v="2024"/>
    <x v="3"/>
    <x v="0"/>
    <x v="2"/>
    <x v="2"/>
    <x v="2"/>
    <n v="6"/>
    <n v="49966"/>
    <n v="299796"/>
    <x v="3"/>
  </r>
  <r>
    <s v="2024-12-08"/>
    <s v="domingo"/>
    <x v="7"/>
    <s v="2024"/>
    <x v="3"/>
    <x v="4"/>
    <x v="2"/>
    <x v="3"/>
    <x v="1"/>
    <n v="13"/>
    <n v="25207"/>
    <n v="327691"/>
    <x v="3"/>
  </r>
  <r>
    <s v="2024-11-09"/>
    <s v="sábado"/>
    <x v="5"/>
    <s v="2024"/>
    <x v="2"/>
    <x v="4"/>
    <x v="4"/>
    <x v="3"/>
    <x v="1"/>
    <n v="7"/>
    <n v="22990"/>
    <n v="160930"/>
    <x v="0"/>
  </r>
  <r>
    <s v="2024-04-05"/>
    <s v="viernes"/>
    <x v="3"/>
    <s v="2024"/>
    <x v="1"/>
    <x v="1"/>
    <x v="4"/>
    <x v="3"/>
    <x v="2"/>
    <n v="8"/>
    <n v="47633"/>
    <n v="381064"/>
    <x v="1"/>
  </r>
  <r>
    <s v="2024-03-27"/>
    <s v="miércoles"/>
    <x v="6"/>
    <s v="2024"/>
    <x v="1"/>
    <x v="1"/>
    <x v="4"/>
    <x v="1"/>
    <x v="0"/>
    <n v="17"/>
    <n v="28387"/>
    <n v="482579"/>
    <x v="3"/>
  </r>
  <r>
    <s v="2024-01-19"/>
    <s v="viernes"/>
    <x v="11"/>
    <s v="2024"/>
    <x v="0"/>
    <x v="4"/>
    <x v="3"/>
    <x v="0"/>
    <x v="0"/>
    <n v="3"/>
    <n v="48629"/>
    <n v="145887"/>
    <x v="0"/>
  </r>
  <r>
    <s v="2024-01-27"/>
    <s v="sábado"/>
    <x v="11"/>
    <s v="2024"/>
    <x v="2"/>
    <x v="3"/>
    <x v="1"/>
    <x v="2"/>
    <x v="0"/>
    <n v="11"/>
    <n v="25646"/>
    <n v="282106"/>
    <x v="1"/>
  </r>
  <r>
    <s v="2024-03-16"/>
    <s v="sábado"/>
    <x v="6"/>
    <s v="2024"/>
    <x v="0"/>
    <x v="3"/>
    <x v="3"/>
    <x v="0"/>
    <x v="1"/>
    <n v="7"/>
    <n v="47544"/>
    <n v="332808"/>
    <x v="2"/>
  </r>
  <r>
    <s v="2024-11-04"/>
    <s v="lunes"/>
    <x v="5"/>
    <s v="2024"/>
    <x v="2"/>
    <x v="1"/>
    <x v="2"/>
    <x v="1"/>
    <x v="0"/>
    <n v="5"/>
    <n v="58467"/>
    <n v="292335"/>
    <x v="3"/>
  </r>
  <r>
    <s v="2024-01-16"/>
    <s v="martes"/>
    <x v="11"/>
    <s v="2024"/>
    <x v="0"/>
    <x v="3"/>
    <x v="4"/>
    <x v="3"/>
    <x v="1"/>
    <n v="12"/>
    <n v="33781"/>
    <n v="405372"/>
    <x v="0"/>
  </r>
  <r>
    <s v="2024-05-03"/>
    <s v="viernes"/>
    <x v="4"/>
    <s v="2024"/>
    <x v="2"/>
    <x v="2"/>
    <x v="4"/>
    <x v="4"/>
    <x v="1"/>
    <n v="11"/>
    <n v="27305"/>
    <n v="300355"/>
    <x v="3"/>
  </r>
  <r>
    <s v="2024-12-17"/>
    <s v="martes"/>
    <x v="7"/>
    <s v="2024"/>
    <x v="1"/>
    <x v="1"/>
    <x v="1"/>
    <x v="1"/>
    <x v="0"/>
    <n v="10"/>
    <n v="48740"/>
    <n v="487400"/>
    <x v="0"/>
  </r>
  <r>
    <s v="2024-03-26"/>
    <s v="martes"/>
    <x v="6"/>
    <s v="2024"/>
    <x v="3"/>
    <x v="4"/>
    <x v="2"/>
    <x v="0"/>
    <x v="0"/>
    <n v="9"/>
    <n v="39689"/>
    <n v="357201"/>
    <x v="2"/>
  </r>
  <r>
    <s v="2024-10-26"/>
    <s v="sábado"/>
    <x v="8"/>
    <s v="2024"/>
    <x v="1"/>
    <x v="0"/>
    <x v="4"/>
    <x v="3"/>
    <x v="0"/>
    <n v="17"/>
    <n v="33601"/>
    <n v="571217"/>
    <x v="3"/>
  </r>
  <r>
    <s v="2024-06-05"/>
    <s v="miércoles"/>
    <x v="9"/>
    <s v="2024"/>
    <x v="2"/>
    <x v="3"/>
    <x v="0"/>
    <x v="1"/>
    <x v="1"/>
    <n v="2"/>
    <n v="16363"/>
    <n v="32726"/>
    <x v="2"/>
  </r>
  <r>
    <s v="2024-06-02"/>
    <s v="domingo"/>
    <x v="9"/>
    <s v="2024"/>
    <x v="3"/>
    <x v="0"/>
    <x v="0"/>
    <x v="0"/>
    <x v="0"/>
    <n v="17"/>
    <n v="56285"/>
    <n v="956845"/>
    <x v="0"/>
  </r>
  <r>
    <s v="2024-12-09"/>
    <s v="lunes"/>
    <x v="7"/>
    <s v="2024"/>
    <x v="3"/>
    <x v="1"/>
    <x v="4"/>
    <x v="2"/>
    <x v="2"/>
    <n v="20"/>
    <n v="49081"/>
    <n v="981620"/>
    <x v="1"/>
  </r>
  <r>
    <s v="2024-06-24"/>
    <s v="lunes"/>
    <x v="9"/>
    <s v="2024"/>
    <x v="0"/>
    <x v="0"/>
    <x v="4"/>
    <x v="4"/>
    <x v="1"/>
    <n v="15"/>
    <n v="30453"/>
    <n v="456795"/>
    <x v="1"/>
  </r>
  <r>
    <s v="2024-06-17"/>
    <s v="lunes"/>
    <x v="9"/>
    <s v="2024"/>
    <x v="2"/>
    <x v="0"/>
    <x v="3"/>
    <x v="0"/>
    <x v="2"/>
    <n v="11"/>
    <n v="41784"/>
    <n v="459624"/>
    <x v="3"/>
  </r>
  <r>
    <s v="2024-09-25"/>
    <s v="miércoles"/>
    <x v="1"/>
    <s v="2024"/>
    <x v="3"/>
    <x v="3"/>
    <x v="2"/>
    <x v="2"/>
    <x v="2"/>
    <n v="9"/>
    <n v="26889"/>
    <n v="242001"/>
    <x v="2"/>
  </r>
  <r>
    <s v="2024-01-08"/>
    <s v="lunes"/>
    <x v="11"/>
    <s v="2024"/>
    <x v="1"/>
    <x v="2"/>
    <x v="0"/>
    <x v="2"/>
    <x v="2"/>
    <n v="5"/>
    <n v="46806"/>
    <n v="234030"/>
    <x v="1"/>
  </r>
  <r>
    <s v="2024-05-31"/>
    <s v="viernes"/>
    <x v="4"/>
    <s v="2024"/>
    <x v="2"/>
    <x v="0"/>
    <x v="1"/>
    <x v="2"/>
    <x v="2"/>
    <n v="13"/>
    <n v="32901"/>
    <n v="427713"/>
    <x v="2"/>
  </r>
  <r>
    <s v="2024-03-16"/>
    <s v="sábado"/>
    <x v="6"/>
    <s v="2024"/>
    <x v="4"/>
    <x v="0"/>
    <x v="3"/>
    <x v="0"/>
    <x v="0"/>
    <n v="11"/>
    <n v="49406"/>
    <n v="543466"/>
    <x v="2"/>
  </r>
  <r>
    <s v="2024-11-24"/>
    <s v="domingo"/>
    <x v="5"/>
    <s v="2024"/>
    <x v="2"/>
    <x v="2"/>
    <x v="1"/>
    <x v="3"/>
    <x v="0"/>
    <n v="4"/>
    <n v="38226"/>
    <n v="152904"/>
    <x v="1"/>
  </r>
  <r>
    <s v="2024-05-25"/>
    <s v="sábado"/>
    <x v="4"/>
    <s v="2024"/>
    <x v="0"/>
    <x v="0"/>
    <x v="1"/>
    <x v="4"/>
    <x v="2"/>
    <n v="6"/>
    <n v="53875"/>
    <n v="323250"/>
    <x v="2"/>
  </r>
  <r>
    <s v="2024-02-29"/>
    <s v="jueves"/>
    <x v="10"/>
    <s v="2024"/>
    <x v="2"/>
    <x v="2"/>
    <x v="0"/>
    <x v="0"/>
    <x v="1"/>
    <n v="14"/>
    <n v="59076"/>
    <n v="827064"/>
    <x v="0"/>
  </r>
  <r>
    <s v="2024-05-22"/>
    <s v="miércoles"/>
    <x v="4"/>
    <s v="2024"/>
    <x v="4"/>
    <x v="0"/>
    <x v="3"/>
    <x v="0"/>
    <x v="2"/>
    <n v="2"/>
    <n v="56747"/>
    <n v="113494"/>
    <x v="3"/>
  </r>
  <r>
    <s v="2024-11-10"/>
    <s v="domingo"/>
    <x v="5"/>
    <s v="2024"/>
    <x v="4"/>
    <x v="1"/>
    <x v="4"/>
    <x v="3"/>
    <x v="2"/>
    <n v="4"/>
    <n v="17867"/>
    <n v="71468"/>
    <x v="2"/>
  </r>
  <r>
    <s v="2024-04-05"/>
    <s v="viernes"/>
    <x v="3"/>
    <s v="2024"/>
    <x v="2"/>
    <x v="3"/>
    <x v="0"/>
    <x v="2"/>
    <x v="2"/>
    <n v="19"/>
    <n v="30681"/>
    <n v="582939"/>
    <x v="0"/>
  </r>
  <r>
    <s v="2024-07-03"/>
    <s v="miércoles"/>
    <x v="0"/>
    <s v="2024"/>
    <x v="1"/>
    <x v="1"/>
    <x v="2"/>
    <x v="1"/>
    <x v="1"/>
    <n v="1"/>
    <n v="35134"/>
    <n v="35134"/>
    <x v="2"/>
  </r>
  <r>
    <s v="2024-08-31"/>
    <s v="sábado"/>
    <x v="2"/>
    <s v="2024"/>
    <x v="1"/>
    <x v="0"/>
    <x v="3"/>
    <x v="3"/>
    <x v="1"/>
    <n v="15"/>
    <n v="15807"/>
    <n v="237105"/>
    <x v="1"/>
  </r>
  <r>
    <s v="2024-11-10"/>
    <s v="domingo"/>
    <x v="5"/>
    <s v="2024"/>
    <x v="2"/>
    <x v="3"/>
    <x v="1"/>
    <x v="4"/>
    <x v="2"/>
    <n v="13"/>
    <n v="48338"/>
    <n v="628394"/>
    <x v="1"/>
  </r>
  <r>
    <s v="2024-08-05"/>
    <s v="lunes"/>
    <x v="2"/>
    <s v="2024"/>
    <x v="1"/>
    <x v="1"/>
    <x v="2"/>
    <x v="2"/>
    <x v="2"/>
    <n v="3"/>
    <n v="50768"/>
    <n v="152304"/>
    <x v="0"/>
  </r>
  <r>
    <s v="2024-01-04"/>
    <s v="jueves"/>
    <x v="11"/>
    <s v="2024"/>
    <x v="2"/>
    <x v="0"/>
    <x v="1"/>
    <x v="3"/>
    <x v="2"/>
    <n v="3"/>
    <n v="34124"/>
    <n v="102372"/>
    <x v="0"/>
  </r>
  <r>
    <s v="2024-04-29"/>
    <s v="lunes"/>
    <x v="3"/>
    <s v="2024"/>
    <x v="2"/>
    <x v="1"/>
    <x v="1"/>
    <x v="3"/>
    <x v="0"/>
    <n v="1"/>
    <n v="15307"/>
    <n v="15307"/>
    <x v="2"/>
  </r>
  <r>
    <s v="2024-11-20"/>
    <s v="miércoles"/>
    <x v="5"/>
    <s v="2024"/>
    <x v="0"/>
    <x v="4"/>
    <x v="4"/>
    <x v="3"/>
    <x v="2"/>
    <n v="7"/>
    <n v="29770"/>
    <n v="208390"/>
    <x v="2"/>
  </r>
  <r>
    <s v="2024-08-19"/>
    <s v="lunes"/>
    <x v="2"/>
    <s v="2024"/>
    <x v="1"/>
    <x v="0"/>
    <x v="3"/>
    <x v="3"/>
    <x v="0"/>
    <n v="10"/>
    <n v="55871"/>
    <n v="558710"/>
    <x v="3"/>
  </r>
  <r>
    <s v="2024-07-12"/>
    <s v="viernes"/>
    <x v="0"/>
    <s v="2024"/>
    <x v="4"/>
    <x v="2"/>
    <x v="4"/>
    <x v="4"/>
    <x v="0"/>
    <n v="15"/>
    <n v="32036"/>
    <n v="480540"/>
    <x v="2"/>
  </r>
  <r>
    <s v="2024-05-05"/>
    <s v="domingo"/>
    <x v="4"/>
    <s v="2024"/>
    <x v="1"/>
    <x v="2"/>
    <x v="4"/>
    <x v="0"/>
    <x v="0"/>
    <n v="6"/>
    <n v="51765"/>
    <n v="310590"/>
    <x v="1"/>
  </r>
  <r>
    <s v="2024-03-27"/>
    <s v="miércoles"/>
    <x v="6"/>
    <s v="2024"/>
    <x v="2"/>
    <x v="0"/>
    <x v="3"/>
    <x v="2"/>
    <x v="2"/>
    <n v="16"/>
    <n v="50892"/>
    <n v="814272"/>
    <x v="3"/>
  </r>
  <r>
    <s v="2024-03-26"/>
    <s v="martes"/>
    <x v="6"/>
    <s v="2024"/>
    <x v="3"/>
    <x v="1"/>
    <x v="4"/>
    <x v="0"/>
    <x v="0"/>
    <n v="11"/>
    <n v="16828"/>
    <n v="185108"/>
    <x v="1"/>
  </r>
  <r>
    <s v="2024-05-14"/>
    <s v="martes"/>
    <x v="4"/>
    <s v="2024"/>
    <x v="3"/>
    <x v="0"/>
    <x v="1"/>
    <x v="2"/>
    <x v="2"/>
    <n v="16"/>
    <n v="29083"/>
    <n v="465328"/>
    <x v="1"/>
  </r>
  <r>
    <s v="2024-01-05"/>
    <s v="viernes"/>
    <x v="11"/>
    <s v="2024"/>
    <x v="3"/>
    <x v="0"/>
    <x v="2"/>
    <x v="1"/>
    <x v="1"/>
    <n v="4"/>
    <n v="22910"/>
    <n v="91640"/>
    <x v="1"/>
  </r>
  <r>
    <s v="2024-07-16"/>
    <s v="martes"/>
    <x v="0"/>
    <s v="2024"/>
    <x v="2"/>
    <x v="4"/>
    <x v="4"/>
    <x v="2"/>
    <x v="0"/>
    <n v="13"/>
    <n v="26761"/>
    <n v="347893"/>
    <x v="1"/>
  </r>
  <r>
    <s v="2024-03-29"/>
    <s v="viernes"/>
    <x v="6"/>
    <s v="2024"/>
    <x v="4"/>
    <x v="2"/>
    <x v="4"/>
    <x v="4"/>
    <x v="2"/>
    <n v="9"/>
    <n v="15982"/>
    <n v="143838"/>
    <x v="0"/>
  </r>
  <r>
    <s v="2024-01-07"/>
    <s v="domingo"/>
    <x v="11"/>
    <s v="2024"/>
    <x v="4"/>
    <x v="4"/>
    <x v="0"/>
    <x v="2"/>
    <x v="1"/>
    <n v="6"/>
    <n v="22286"/>
    <n v="133716"/>
    <x v="3"/>
  </r>
  <r>
    <s v="2024-10-09"/>
    <s v="miércoles"/>
    <x v="8"/>
    <s v="2024"/>
    <x v="3"/>
    <x v="2"/>
    <x v="4"/>
    <x v="1"/>
    <x v="2"/>
    <n v="14"/>
    <n v="45913"/>
    <n v="642782"/>
    <x v="0"/>
  </r>
  <r>
    <s v="2024-02-18"/>
    <s v="domingo"/>
    <x v="10"/>
    <s v="2024"/>
    <x v="2"/>
    <x v="2"/>
    <x v="1"/>
    <x v="3"/>
    <x v="2"/>
    <n v="19"/>
    <n v="17844"/>
    <n v="339036"/>
    <x v="1"/>
  </r>
  <r>
    <s v="2024-04-27"/>
    <s v="sábado"/>
    <x v="3"/>
    <s v="2024"/>
    <x v="3"/>
    <x v="3"/>
    <x v="1"/>
    <x v="0"/>
    <x v="2"/>
    <n v="20"/>
    <n v="57220"/>
    <n v="1144400"/>
    <x v="2"/>
  </r>
  <r>
    <s v="2024-12-16"/>
    <s v="lunes"/>
    <x v="7"/>
    <s v="2024"/>
    <x v="1"/>
    <x v="0"/>
    <x v="0"/>
    <x v="4"/>
    <x v="0"/>
    <n v="8"/>
    <n v="53994"/>
    <n v="431952"/>
    <x v="0"/>
  </r>
  <r>
    <s v="2024-09-20"/>
    <s v="viernes"/>
    <x v="1"/>
    <s v="2024"/>
    <x v="0"/>
    <x v="3"/>
    <x v="2"/>
    <x v="2"/>
    <x v="1"/>
    <n v="16"/>
    <n v="23969"/>
    <n v="383504"/>
    <x v="0"/>
  </r>
  <r>
    <s v="2024-11-12"/>
    <s v="martes"/>
    <x v="5"/>
    <s v="2024"/>
    <x v="3"/>
    <x v="0"/>
    <x v="0"/>
    <x v="4"/>
    <x v="1"/>
    <n v="8"/>
    <n v="36139"/>
    <n v="289112"/>
    <x v="3"/>
  </r>
  <r>
    <s v="2024-07-17"/>
    <s v="miércoles"/>
    <x v="0"/>
    <s v="2024"/>
    <x v="2"/>
    <x v="1"/>
    <x v="0"/>
    <x v="4"/>
    <x v="1"/>
    <n v="14"/>
    <n v="43640"/>
    <n v="610960"/>
    <x v="3"/>
  </r>
  <r>
    <s v="2024-07-31"/>
    <s v="miércoles"/>
    <x v="0"/>
    <s v="2024"/>
    <x v="0"/>
    <x v="4"/>
    <x v="2"/>
    <x v="0"/>
    <x v="2"/>
    <n v="1"/>
    <n v="18068"/>
    <n v="18068"/>
    <x v="0"/>
  </r>
  <r>
    <s v="2024-10-02"/>
    <s v="miércoles"/>
    <x v="8"/>
    <s v="2024"/>
    <x v="0"/>
    <x v="4"/>
    <x v="2"/>
    <x v="4"/>
    <x v="2"/>
    <n v="7"/>
    <n v="41742"/>
    <n v="292194"/>
    <x v="3"/>
  </r>
  <r>
    <s v="2024-12-13"/>
    <s v="viernes"/>
    <x v="7"/>
    <s v="2024"/>
    <x v="2"/>
    <x v="4"/>
    <x v="4"/>
    <x v="4"/>
    <x v="1"/>
    <n v="7"/>
    <n v="21230"/>
    <n v="148610"/>
    <x v="1"/>
  </r>
  <r>
    <s v="2024-10-31"/>
    <s v="jueves"/>
    <x v="8"/>
    <s v="2024"/>
    <x v="0"/>
    <x v="2"/>
    <x v="3"/>
    <x v="3"/>
    <x v="1"/>
    <n v="18"/>
    <n v="24896"/>
    <n v="448128"/>
    <x v="0"/>
  </r>
  <r>
    <s v="2024-11-16"/>
    <s v="sábado"/>
    <x v="5"/>
    <s v="2024"/>
    <x v="0"/>
    <x v="2"/>
    <x v="1"/>
    <x v="3"/>
    <x v="1"/>
    <n v="15"/>
    <n v="34546"/>
    <n v="518190"/>
    <x v="2"/>
  </r>
  <r>
    <s v="2024-11-03"/>
    <s v="domingo"/>
    <x v="5"/>
    <s v="2024"/>
    <x v="0"/>
    <x v="0"/>
    <x v="4"/>
    <x v="3"/>
    <x v="1"/>
    <n v="7"/>
    <n v="57840"/>
    <n v="404880"/>
    <x v="2"/>
  </r>
  <r>
    <s v="2024-12-02"/>
    <s v="lunes"/>
    <x v="7"/>
    <s v="2024"/>
    <x v="4"/>
    <x v="1"/>
    <x v="3"/>
    <x v="3"/>
    <x v="2"/>
    <n v="16"/>
    <n v="40809"/>
    <n v="652944"/>
    <x v="2"/>
  </r>
  <r>
    <s v="2024-06-21"/>
    <s v="viernes"/>
    <x v="9"/>
    <s v="2024"/>
    <x v="4"/>
    <x v="2"/>
    <x v="2"/>
    <x v="2"/>
    <x v="2"/>
    <n v="5"/>
    <n v="46575"/>
    <n v="232875"/>
    <x v="2"/>
  </r>
  <r>
    <s v="2024-11-21"/>
    <s v="jueves"/>
    <x v="5"/>
    <s v="2024"/>
    <x v="0"/>
    <x v="0"/>
    <x v="0"/>
    <x v="0"/>
    <x v="0"/>
    <n v="10"/>
    <n v="38939"/>
    <n v="389390"/>
    <x v="3"/>
  </r>
  <r>
    <s v="2024-07-08"/>
    <s v="lunes"/>
    <x v="0"/>
    <s v="2024"/>
    <x v="3"/>
    <x v="4"/>
    <x v="0"/>
    <x v="2"/>
    <x v="2"/>
    <n v="12"/>
    <n v="23110"/>
    <n v="277320"/>
    <x v="2"/>
  </r>
  <r>
    <s v="2024-07-23"/>
    <s v="martes"/>
    <x v="0"/>
    <s v="2024"/>
    <x v="0"/>
    <x v="2"/>
    <x v="2"/>
    <x v="3"/>
    <x v="2"/>
    <n v="3"/>
    <n v="18143"/>
    <n v="54429"/>
    <x v="1"/>
  </r>
  <r>
    <s v="2024-07-25"/>
    <s v="jueves"/>
    <x v="0"/>
    <s v="2024"/>
    <x v="0"/>
    <x v="3"/>
    <x v="4"/>
    <x v="3"/>
    <x v="0"/>
    <n v="18"/>
    <n v="29368"/>
    <n v="528624"/>
    <x v="3"/>
  </r>
  <r>
    <s v="2024-02-21"/>
    <s v="miércoles"/>
    <x v="10"/>
    <s v="2024"/>
    <x v="2"/>
    <x v="0"/>
    <x v="4"/>
    <x v="4"/>
    <x v="2"/>
    <n v="3"/>
    <n v="15763"/>
    <n v="47289"/>
    <x v="2"/>
  </r>
  <r>
    <s v="2024-12-14"/>
    <s v="sábado"/>
    <x v="7"/>
    <s v="2024"/>
    <x v="4"/>
    <x v="1"/>
    <x v="3"/>
    <x v="4"/>
    <x v="2"/>
    <n v="6"/>
    <n v="26288"/>
    <n v="157728"/>
    <x v="2"/>
  </r>
  <r>
    <s v="2024-03-24"/>
    <s v="domingo"/>
    <x v="6"/>
    <s v="2024"/>
    <x v="1"/>
    <x v="2"/>
    <x v="4"/>
    <x v="4"/>
    <x v="0"/>
    <n v="15"/>
    <n v="27836"/>
    <n v="417540"/>
    <x v="0"/>
  </r>
  <r>
    <s v="2024-04-21"/>
    <s v="domingo"/>
    <x v="3"/>
    <s v="2024"/>
    <x v="3"/>
    <x v="1"/>
    <x v="4"/>
    <x v="3"/>
    <x v="0"/>
    <n v="13"/>
    <n v="17633"/>
    <n v="229229"/>
    <x v="2"/>
  </r>
  <r>
    <s v="2024-11-20"/>
    <s v="miércoles"/>
    <x v="5"/>
    <s v="2024"/>
    <x v="3"/>
    <x v="2"/>
    <x v="3"/>
    <x v="4"/>
    <x v="0"/>
    <n v="16"/>
    <n v="49960"/>
    <n v="799360"/>
    <x v="1"/>
  </r>
  <r>
    <s v="2024-07-01"/>
    <s v="lunes"/>
    <x v="0"/>
    <s v="2024"/>
    <x v="0"/>
    <x v="2"/>
    <x v="1"/>
    <x v="3"/>
    <x v="2"/>
    <n v="10"/>
    <n v="17271"/>
    <n v="172710"/>
    <x v="2"/>
  </r>
  <r>
    <s v="2024-05-03"/>
    <s v="viernes"/>
    <x v="4"/>
    <s v="2024"/>
    <x v="3"/>
    <x v="1"/>
    <x v="0"/>
    <x v="1"/>
    <x v="2"/>
    <n v="19"/>
    <n v="37454"/>
    <n v="711626"/>
    <x v="0"/>
  </r>
  <r>
    <s v="2024-04-25"/>
    <s v="jueves"/>
    <x v="3"/>
    <s v="2024"/>
    <x v="2"/>
    <x v="2"/>
    <x v="4"/>
    <x v="2"/>
    <x v="0"/>
    <n v="19"/>
    <n v="21029"/>
    <n v="399551"/>
    <x v="3"/>
  </r>
  <r>
    <s v="2024-05-05"/>
    <s v="domingo"/>
    <x v="4"/>
    <s v="2024"/>
    <x v="3"/>
    <x v="1"/>
    <x v="3"/>
    <x v="0"/>
    <x v="2"/>
    <n v="11"/>
    <n v="42018"/>
    <n v="462198"/>
    <x v="1"/>
  </r>
  <r>
    <s v="2024-05-07"/>
    <s v="martes"/>
    <x v="4"/>
    <s v="2024"/>
    <x v="2"/>
    <x v="1"/>
    <x v="2"/>
    <x v="3"/>
    <x v="0"/>
    <n v="10"/>
    <n v="26116"/>
    <n v="261160"/>
    <x v="1"/>
  </r>
  <r>
    <s v="2024-01-03"/>
    <s v="miércoles"/>
    <x v="11"/>
    <s v="2024"/>
    <x v="4"/>
    <x v="0"/>
    <x v="0"/>
    <x v="1"/>
    <x v="2"/>
    <n v="14"/>
    <n v="57980"/>
    <n v="811720"/>
    <x v="3"/>
  </r>
  <r>
    <s v="2024-10-20"/>
    <s v="domingo"/>
    <x v="8"/>
    <s v="2024"/>
    <x v="0"/>
    <x v="4"/>
    <x v="3"/>
    <x v="1"/>
    <x v="2"/>
    <n v="12"/>
    <n v="25036"/>
    <n v="300432"/>
    <x v="1"/>
  </r>
  <r>
    <s v="2024-03-14"/>
    <s v="jueves"/>
    <x v="6"/>
    <s v="2024"/>
    <x v="0"/>
    <x v="1"/>
    <x v="2"/>
    <x v="3"/>
    <x v="1"/>
    <n v="12"/>
    <n v="17794"/>
    <n v="213528"/>
    <x v="0"/>
  </r>
  <r>
    <s v="2024-02-28"/>
    <s v="miércoles"/>
    <x v="10"/>
    <s v="2024"/>
    <x v="4"/>
    <x v="2"/>
    <x v="0"/>
    <x v="0"/>
    <x v="0"/>
    <n v="8"/>
    <n v="39432"/>
    <n v="315456"/>
    <x v="3"/>
  </r>
  <r>
    <s v="2024-01-02"/>
    <s v="martes"/>
    <x v="11"/>
    <s v="2024"/>
    <x v="3"/>
    <x v="1"/>
    <x v="1"/>
    <x v="2"/>
    <x v="0"/>
    <n v="8"/>
    <n v="21875"/>
    <n v="175000"/>
    <x v="1"/>
  </r>
  <r>
    <s v="2024-11-10"/>
    <s v="domingo"/>
    <x v="5"/>
    <s v="2024"/>
    <x v="1"/>
    <x v="3"/>
    <x v="4"/>
    <x v="4"/>
    <x v="0"/>
    <n v="13"/>
    <n v="53774"/>
    <n v="699062"/>
    <x v="2"/>
  </r>
  <r>
    <s v="2024-08-04"/>
    <s v="domingo"/>
    <x v="2"/>
    <s v="2024"/>
    <x v="2"/>
    <x v="1"/>
    <x v="2"/>
    <x v="3"/>
    <x v="2"/>
    <n v="11"/>
    <n v="30610"/>
    <n v="336710"/>
    <x v="0"/>
  </r>
  <r>
    <s v="2024-03-20"/>
    <s v="miércoles"/>
    <x v="6"/>
    <s v="2024"/>
    <x v="1"/>
    <x v="4"/>
    <x v="2"/>
    <x v="1"/>
    <x v="2"/>
    <n v="12"/>
    <n v="46097"/>
    <n v="553164"/>
    <x v="0"/>
  </r>
  <r>
    <s v="2024-06-08"/>
    <s v="sábado"/>
    <x v="9"/>
    <s v="2024"/>
    <x v="1"/>
    <x v="0"/>
    <x v="0"/>
    <x v="3"/>
    <x v="1"/>
    <n v="17"/>
    <n v="58770"/>
    <n v="999090"/>
    <x v="3"/>
  </r>
  <r>
    <s v="2024-08-02"/>
    <s v="viernes"/>
    <x v="2"/>
    <s v="2024"/>
    <x v="4"/>
    <x v="3"/>
    <x v="1"/>
    <x v="0"/>
    <x v="2"/>
    <n v="17"/>
    <n v="59789"/>
    <n v="1016413"/>
    <x v="3"/>
  </r>
  <r>
    <s v="2024-06-22"/>
    <s v="sábado"/>
    <x v="9"/>
    <s v="2024"/>
    <x v="0"/>
    <x v="1"/>
    <x v="2"/>
    <x v="4"/>
    <x v="2"/>
    <n v="18"/>
    <n v="42067"/>
    <n v="757206"/>
    <x v="1"/>
  </r>
  <r>
    <s v="2024-03-27"/>
    <s v="miércoles"/>
    <x v="6"/>
    <s v="2024"/>
    <x v="2"/>
    <x v="3"/>
    <x v="4"/>
    <x v="1"/>
    <x v="0"/>
    <n v="2"/>
    <n v="25855"/>
    <n v="51710"/>
    <x v="0"/>
  </r>
  <r>
    <s v="2024-11-06"/>
    <s v="miércoles"/>
    <x v="5"/>
    <s v="2024"/>
    <x v="2"/>
    <x v="2"/>
    <x v="0"/>
    <x v="4"/>
    <x v="2"/>
    <n v="20"/>
    <n v="25317"/>
    <n v="506340"/>
    <x v="1"/>
  </r>
  <r>
    <s v="2024-01-07"/>
    <s v="domingo"/>
    <x v="11"/>
    <s v="2024"/>
    <x v="2"/>
    <x v="2"/>
    <x v="3"/>
    <x v="1"/>
    <x v="2"/>
    <n v="20"/>
    <n v="19638"/>
    <n v="392760"/>
    <x v="3"/>
  </r>
  <r>
    <s v="2024-04-20"/>
    <s v="sábado"/>
    <x v="3"/>
    <s v="2024"/>
    <x v="2"/>
    <x v="3"/>
    <x v="1"/>
    <x v="3"/>
    <x v="2"/>
    <n v="10"/>
    <n v="57061"/>
    <n v="570610"/>
    <x v="0"/>
  </r>
  <r>
    <s v="2024-07-05"/>
    <s v="viernes"/>
    <x v="0"/>
    <s v="2024"/>
    <x v="3"/>
    <x v="2"/>
    <x v="0"/>
    <x v="1"/>
    <x v="0"/>
    <n v="1"/>
    <n v="23650"/>
    <n v="23650"/>
    <x v="2"/>
  </r>
  <r>
    <s v="2024-07-12"/>
    <s v="viernes"/>
    <x v="0"/>
    <s v="2024"/>
    <x v="0"/>
    <x v="4"/>
    <x v="0"/>
    <x v="1"/>
    <x v="1"/>
    <n v="8"/>
    <n v="36617"/>
    <n v="292936"/>
    <x v="3"/>
  </r>
  <r>
    <s v="2024-02-02"/>
    <s v="viernes"/>
    <x v="10"/>
    <s v="2024"/>
    <x v="0"/>
    <x v="2"/>
    <x v="0"/>
    <x v="0"/>
    <x v="0"/>
    <n v="12"/>
    <n v="44795"/>
    <n v="537540"/>
    <x v="0"/>
  </r>
  <r>
    <s v="2024-03-18"/>
    <s v="lunes"/>
    <x v="6"/>
    <s v="2024"/>
    <x v="4"/>
    <x v="1"/>
    <x v="4"/>
    <x v="3"/>
    <x v="2"/>
    <n v="16"/>
    <n v="58234"/>
    <n v="931744"/>
    <x v="3"/>
  </r>
  <r>
    <s v="2024-07-25"/>
    <s v="jueves"/>
    <x v="0"/>
    <s v="2024"/>
    <x v="0"/>
    <x v="2"/>
    <x v="4"/>
    <x v="3"/>
    <x v="0"/>
    <n v="3"/>
    <n v="29752"/>
    <n v="89256"/>
    <x v="2"/>
  </r>
  <r>
    <s v="2024-02-07"/>
    <s v="miércoles"/>
    <x v="10"/>
    <s v="2024"/>
    <x v="4"/>
    <x v="3"/>
    <x v="4"/>
    <x v="2"/>
    <x v="2"/>
    <n v="7"/>
    <n v="29923"/>
    <n v="209461"/>
    <x v="1"/>
  </r>
  <r>
    <s v="2024-01-11"/>
    <s v="jueves"/>
    <x v="11"/>
    <s v="2024"/>
    <x v="2"/>
    <x v="2"/>
    <x v="1"/>
    <x v="1"/>
    <x v="1"/>
    <n v="7"/>
    <n v="46936"/>
    <n v="328552"/>
    <x v="0"/>
  </r>
  <r>
    <s v="2024-12-11"/>
    <s v="miércoles"/>
    <x v="7"/>
    <s v="2024"/>
    <x v="0"/>
    <x v="3"/>
    <x v="1"/>
    <x v="3"/>
    <x v="1"/>
    <n v="7"/>
    <n v="35772"/>
    <n v="250404"/>
    <x v="0"/>
  </r>
  <r>
    <s v="2024-02-06"/>
    <s v="martes"/>
    <x v="10"/>
    <s v="2024"/>
    <x v="0"/>
    <x v="4"/>
    <x v="3"/>
    <x v="4"/>
    <x v="2"/>
    <n v="16"/>
    <n v="44012"/>
    <n v="704192"/>
    <x v="3"/>
  </r>
  <r>
    <s v="2024-06-21"/>
    <s v="viernes"/>
    <x v="9"/>
    <s v="2024"/>
    <x v="2"/>
    <x v="4"/>
    <x v="3"/>
    <x v="4"/>
    <x v="0"/>
    <n v="8"/>
    <n v="41693"/>
    <n v="333544"/>
    <x v="2"/>
  </r>
  <r>
    <s v="2024-01-23"/>
    <s v="martes"/>
    <x v="11"/>
    <s v="2024"/>
    <x v="1"/>
    <x v="4"/>
    <x v="4"/>
    <x v="2"/>
    <x v="1"/>
    <n v="16"/>
    <n v="15775"/>
    <n v="252400"/>
    <x v="0"/>
  </r>
  <r>
    <s v="2024-05-20"/>
    <s v="lunes"/>
    <x v="4"/>
    <s v="2024"/>
    <x v="4"/>
    <x v="3"/>
    <x v="0"/>
    <x v="4"/>
    <x v="0"/>
    <n v="13"/>
    <n v="37788"/>
    <n v="491244"/>
    <x v="3"/>
  </r>
  <r>
    <s v="2024-11-08"/>
    <s v="viernes"/>
    <x v="5"/>
    <s v="2024"/>
    <x v="1"/>
    <x v="3"/>
    <x v="0"/>
    <x v="3"/>
    <x v="1"/>
    <n v="6"/>
    <n v="45885"/>
    <n v="275310"/>
    <x v="3"/>
  </r>
  <r>
    <s v="2024-01-25"/>
    <s v="jueves"/>
    <x v="11"/>
    <s v="2024"/>
    <x v="4"/>
    <x v="1"/>
    <x v="2"/>
    <x v="0"/>
    <x v="1"/>
    <n v="17"/>
    <n v="36423"/>
    <n v="619191"/>
    <x v="0"/>
  </r>
  <r>
    <s v="2024-02-01"/>
    <s v="jueves"/>
    <x v="10"/>
    <s v="2024"/>
    <x v="4"/>
    <x v="0"/>
    <x v="2"/>
    <x v="2"/>
    <x v="1"/>
    <n v="15"/>
    <n v="18239"/>
    <n v="273585"/>
    <x v="2"/>
  </r>
  <r>
    <s v="2024-07-03"/>
    <s v="miércoles"/>
    <x v="0"/>
    <s v="2024"/>
    <x v="3"/>
    <x v="0"/>
    <x v="0"/>
    <x v="1"/>
    <x v="2"/>
    <n v="16"/>
    <n v="22069"/>
    <n v="353104"/>
    <x v="0"/>
  </r>
  <r>
    <s v="2024-04-01"/>
    <s v="lunes"/>
    <x v="3"/>
    <s v="2024"/>
    <x v="1"/>
    <x v="1"/>
    <x v="0"/>
    <x v="1"/>
    <x v="0"/>
    <n v="13"/>
    <n v="44412"/>
    <n v="577356"/>
    <x v="2"/>
  </r>
  <r>
    <s v="2024-01-12"/>
    <s v="viernes"/>
    <x v="11"/>
    <s v="2024"/>
    <x v="3"/>
    <x v="0"/>
    <x v="0"/>
    <x v="2"/>
    <x v="2"/>
    <n v="4"/>
    <n v="48519"/>
    <n v="194076"/>
    <x v="1"/>
  </r>
  <r>
    <s v="2024-03-26"/>
    <s v="martes"/>
    <x v="6"/>
    <s v="2024"/>
    <x v="0"/>
    <x v="1"/>
    <x v="3"/>
    <x v="1"/>
    <x v="0"/>
    <n v="3"/>
    <n v="48133"/>
    <n v="144399"/>
    <x v="2"/>
  </r>
  <r>
    <s v="2024-10-16"/>
    <s v="miércoles"/>
    <x v="8"/>
    <s v="2024"/>
    <x v="3"/>
    <x v="1"/>
    <x v="3"/>
    <x v="2"/>
    <x v="0"/>
    <n v="11"/>
    <n v="42065"/>
    <n v="462715"/>
    <x v="0"/>
  </r>
  <r>
    <s v="2024-07-04"/>
    <s v="jueves"/>
    <x v="0"/>
    <s v="2024"/>
    <x v="2"/>
    <x v="3"/>
    <x v="3"/>
    <x v="1"/>
    <x v="1"/>
    <n v="9"/>
    <n v="22968"/>
    <n v="206712"/>
    <x v="3"/>
  </r>
  <r>
    <s v="2024-10-21"/>
    <s v="lunes"/>
    <x v="8"/>
    <s v="2024"/>
    <x v="1"/>
    <x v="0"/>
    <x v="0"/>
    <x v="3"/>
    <x v="0"/>
    <n v="20"/>
    <n v="16365"/>
    <n v="327300"/>
    <x v="0"/>
  </r>
  <r>
    <s v="2024-06-30"/>
    <s v="domingo"/>
    <x v="9"/>
    <s v="2024"/>
    <x v="1"/>
    <x v="2"/>
    <x v="0"/>
    <x v="4"/>
    <x v="0"/>
    <n v="16"/>
    <n v="54109"/>
    <n v="865744"/>
    <x v="0"/>
  </r>
  <r>
    <s v="2024-01-11"/>
    <s v="jueves"/>
    <x v="11"/>
    <s v="2024"/>
    <x v="0"/>
    <x v="4"/>
    <x v="3"/>
    <x v="1"/>
    <x v="2"/>
    <n v="5"/>
    <n v="57761"/>
    <n v="288805"/>
    <x v="0"/>
  </r>
  <r>
    <s v="2024-09-24"/>
    <s v="martes"/>
    <x v="1"/>
    <s v="2024"/>
    <x v="4"/>
    <x v="4"/>
    <x v="4"/>
    <x v="2"/>
    <x v="2"/>
    <n v="1"/>
    <n v="49650"/>
    <n v="49650"/>
    <x v="3"/>
  </r>
  <r>
    <s v="2024-09-09"/>
    <s v="lunes"/>
    <x v="1"/>
    <s v="2024"/>
    <x v="1"/>
    <x v="4"/>
    <x v="4"/>
    <x v="2"/>
    <x v="2"/>
    <n v="15"/>
    <n v="41675"/>
    <n v="625125"/>
    <x v="3"/>
  </r>
  <r>
    <s v="2024-11-19"/>
    <s v="martes"/>
    <x v="5"/>
    <s v="2024"/>
    <x v="4"/>
    <x v="1"/>
    <x v="1"/>
    <x v="4"/>
    <x v="0"/>
    <n v="19"/>
    <n v="56700"/>
    <n v="1077300"/>
    <x v="3"/>
  </r>
  <r>
    <s v="2024-11-06"/>
    <s v="miércoles"/>
    <x v="5"/>
    <s v="2024"/>
    <x v="4"/>
    <x v="2"/>
    <x v="0"/>
    <x v="3"/>
    <x v="2"/>
    <n v="18"/>
    <n v="21433"/>
    <n v="385794"/>
    <x v="0"/>
  </r>
  <r>
    <s v="2024-06-11"/>
    <s v="martes"/>
    <x v="9"/>
    <s v="2024"/>
    <x v="3"/>
    <x v="0"/>
    <x v="0"/>
    <x v="0"/>
    <x v="1"/>
    <n v="18"/>
    <n v="40312"/>
    <n v="725616"/>
    <x v="2"/>
  </r>
  <r>
    <s v="2024-05-20"/>
    <s v="lunes"/>
    <x v="4"/>
    <s v="2024"/>
    <x v="0"/>
    <x v="3"/>
    <x v="1"/>
    <x v="4"/>
    <x v="1"/>
    <n v="16"/>
    <n v="35078"/>
    <n v="561248"/>
    <x v="3"/>
  </r>
  <r>
    <s v="2024-01-08"/>
    <s v="lunes"/>
    <x v="11"/>
    <s v="2024"/>
    <x v="4"/>
    <x v="3"/>
    <x v="1"/>
    <x v="4"/>
    <x v="1"/>
    <n v="13"/>
    <n v="42231"/>
    <n v="549003"/>
    <x v="0"/>
  </r>
  <r>
    <s v="2024-07-14"/>
    <s v="domingo"/>
    <x v="0"/>
    <s v="2024"/>
    <x v="0"/>
    <x v="2"/>
    <x v="0"/>
    <x v="3"/>
    <x v="0"/>
    <n v="13"/>
    <n v="59401"/>
    <n v="772213"/>
    <x v="3"/>
  </r>
  <r>
    <s v="2024-09-13"/>
    <s v="viernes"/>
    <x v="1"/>
    <s v="2024"/>
    <x v="0"/>
    <x v="3"/>
    <x v="2"/>
    <x v="1"/>
    <x v="1"/>
    <n v="18"/>
    <n v="55067"/>
    <n v="991206"/>
    <x v="0"/>
  </r>
  <r>
    <s v="2024-10-06"/>
    <s v="domingo"/>
    <x v="8"/>
    <s v="2024"/>
    <x v="4"/>
    <x v="4"/>
    <x v="2"/>
    <x v="3"/>
    <x v="1"/>
    <n v="7"/>
    <n v="36416"/>
    <n v="254912"/>
    <x v="1"/>
  </r>
  <r>
    <s v="2024-04-22"/>
    <s v="lunes"/>
    <x v="3"/>
    <s v="2024"/>
    <x v="3"/>
    <x v="3"/>
    <x v="1"/>
    <x v="3"/>
    <x v="2"/>
    <n v="15"/>
    <n v="38827"/>
    <n v="582405"/>
    <x v="3"/>
  </r>
  <r>
    <s v="2024-02-25"/>
    <s v="domingo"/>
    <x v="10"/>
    <s v="2024"/>
    <x v="1"/>
    <x v="3"/>
    <x v="3"/>
    <x v="4"/>
    <x v="0"/>
    <n v="14"/>
    <n v="20518"/>
    <n v="287252"/>
    <x v="0"/>
  </r>
  <r>
    <s v="2024-03-14"/>
    <s v="jueves"/>
    <x v="6"/>
    <s v="2024"/>
    <x v="1"/>
    <x v="1"/>
    <x v="0"/>
    <x v="3"/>
    <x v="1"/>
    <n v="9"/>
    <n v="17042"/>
    <n v="153378"/>
    <x v="1"/>
  </r>
  <r>
    <s v="2024-03-24"/>
    <s v="domingo"/>
    <x v="6"/>
    <s v="2024"/>
    <x v="4"/>
    <x v="0"/>
    <x v="3"/>
    <x v="3"/>
    <x v="0"/>
    <n v="3"/>
    <n v="43682"/>
    <n v="131046"/>
    <x v="1"/>
  </r>
  <r>
    <s v="2024-04-27"/>
    <s v="sábado"/>
    <x v="3"/>
    <s v="2024"/>
    <x v="4"/>
    <x v="1"/>
    <x v="1"/>
    <x v="3"/>
    <x v="2"/>
    <n v="19"/>
    <n v="52922"/>
    <n v="1005518"/>
    <x v="0"/>
  </r>
  <r>
    <s v="2024-03-12"/>
    <s v="martes"/>
    <x v="6"/>
    <s v="2024"/>
    <x v="3"/>
    <x v="2"/>
    <x v="3"/>
    <x v="3"/>
    <x v="0"/>
    <n v="7"/>
    <n v="36335"/>
    <n v="254345"/>
    <x v="0"/>
  </r>
  <r>
    <s v="2024-12-08"/>
    <s v="domingo"/>
    <x v="7"/>
    <s v="2024"/>
    <x v="0"/>
    <x v="0"/>
    <x v="2"/>
    <x v="2"/>
    <x v="2"/>
    <n v="5"/>
    <n v="46598"/>
    <n v="232990"/>
    <x v="1"/>
  </r>
  <r>
    <s v="2024-01-13"/>
    <s v="sábado"/>
    <x v="11"/>
    <s v="2024"/>
    <x v="2"/>
    <x v="3"/>
    <x v="2"/>
    <x v="1"/>
    <x v="2"/>
    <n v="18"/>
    <n v="25777"/>
    <n v="463986"/>
    <x v="1"/>
  </r>
  <r>
    <s v="2024-05-24"/>
    <s v="viernes"/>
    <x v="4"/>
    <s v="2024"/>
    <x v="0"/>
    <x v="2"/>
    <x v="2"/>
    <x v="1"/>
    <x v="2"/>
    <n v="18"/>
    <n v="22201"/>
    <n v="399618"/>
    <x v="2"/>
  </r>
  <r>
    <s v="2024-10-05"/>
    <s v="sábado"/>
    <x v="8"/>
    <s v="2024"/>
    <x v="3"/>
    <x v="2"/>
    <x v="0"/>
    <x v="1"/>
    <x v="0"/>
    <n v="6"/>
    <n v="31992"/>
    <n v="191952"/>
    <x v="0"/>
  </r>
  <r>
    <s v="2024-01-14"/>
    <s v="domingo"/>
    <x v="11"/>
    <s v="2024"/>
    <x v="4"/>
    <x v="4"/>
    <x v="4"/>
    <x v="3"/>
    <x v="1"/>
    <n v="3"/>
    <n v="36419"/>
    <n v="109257"/>
    <x v="1"/>
  </r>
  <r>
    <s v="2024-03-05"/>
    <s v="martes"/>
    <x v="6"/>
    <s v="2024"/>
    <x v="0"/>
    <x v="2"/>
    <x v="2"/>
    <x v="3"/>
    <x v="2"/>
    <n v="7"/>
    <n v="19938"/>
    <n v="139566"/>
    <x v="2"/>
  </r>
  <r>
    <s v="2024-12-09"/>
    <s v="lunes"/>
    <x v="7"/>
    <s v="2024"/>
    <x v="4"/>
    <x v="1"/>
    <x v="4"/>
    <x v="0"/>
    <x v="1"/>
    <n v="8"/>
    <n v="22873"/>
    <n v="182984"/>
    <x v="2"/>
  </r>
  <r>
    <s v="2024-09-23"/>
    <s v="lunes"/>
    <x v="1"/>
    <s v="2024"/>
    <x v="4"/>
    <x v="3"/>
    <x v="4"/>
    <x v="0"/>
    <x v="2"/>
    <n v="14"/>
    <n v="22239"/>
    <n v="311346"/>
    <x v="2"/>
  </r>
  <r>
    <s v="2024-12-25"/>
    <s v="miércoles"/>
    <x v="7"/>
    <s v="2024"/>
    <x v="4"/>
    <x v="3"/>
    <x v="0"/>
    <x v="1"/>
    <x v="2"/>
    <n v="16"/>
    <n v="17325"/>
    <n v="277200"/>
    <x v="0"/>
  </r>
  <r>
    <s v="2024-08-31"/>
    <s v="sábado"/>
    <x v="2"/>
    <s v="2024"/>
    <x v="4"/>
    <x v="2"/>
    <x v="1"/>
    <x v="2"/>
    <x v="0"/>
    <n v="18"/>
    <n v="27081"/>
    <n v="487458"/>
    <x v="0"/>
  </r>
  <r>
    <s v="2024-08-06"/>
    <s v="martes"/>
    <x v="2"/>
    <s v="2024"/>
    <x v="1"/>
    <x v="4"/>
    <x v="4"/>
    <x v="0"/>
    <x v="2"/>
    <n v="13"/>
    <n v="18947"/>
    <n v="246311"/>
    <x v="2"/>
  </r>
  <r>
    <s v="2024-08-11"/>
    <s v="domingo"/>
    <x v="2"/>
    <s v="2024"/>
    <x v="4"/>
    <x v="3"/>
    <x v="1"/>
    <x v="0"/>
    <x v="2"/>
    <n v="3"/>
    <n v="48874"/>
    <n v="146622"/>
    <x v="3"/>
  </r>
  <r>
    <s v="2024-06-30"/>
    <s v="domingo"/>
    <x v="9"/>
    <s v="2024"/>
    <x v="2"/>
    <x v="2"/>
    <x v="2"/>
    <x v="2"/>
    <x v="1"/>
    <n v="14"/>
    <n v="46966"/>
    <n v="657524"/>
    <x v="1"/>
  </r>
  <r>
    <s v="2024-05-16"/>
    <s v="jueves"/>
    <x v="4"/>
    <s v="2024"/>
    <x v="2"/>
    <x v="0"/>
    <x v="4"/>
    <x v="4"/>
    <x v="0"/>
    <n v="17"/>
    <n v="18730"/>
    <n v="318410"/>
    <x v="3"/>
  </r>
  <r>
    <s v="2024-02-15"/>
    <s v="jueves"/>
    <x v="10"/>
    <s v="2024"/>
    <x v="3"/>
    <x v="1"/>
    <x v="0"/>
    <x v="2"/>
    <x v="2"/>
    <n v="18"/>
    <n v="48598"/>
    <n v="874764"/>
    <x v="3"/>
  </r>
  <r>
    <s v="2024-02-18"/>
    <s v="domingo"/>
    <x v="10"/>
    <s v="2024"/>
    <x v="2"/>
    <x v="4"/>
    <x v="2"/>
    <x v="0"/>
    <x v="2"/>
    <n v="19"/>
    <n v="32076"/>
    <n v="609444"/>
    <x v="2"/>
  </r>
  <r>
    <s v="2024-11-09"/>
    <s v="sábado"/>
    <x v="5"/>
    <s v="2024"/>
    <x v="4"/>
    <x v="2"/>
    <x v="3"/>
    <x v="3"/>
    <x v="0"/>
    <n v="18"/>
    <n v="22158"/>
    <n v="398844"/>
    <x v="3"/>
  </r>
  <r>
    <s v="2024-02-07"/>
    <s v="miércoles"/>
    <x v="10"/>
    <s v="2024"/>
    <x v="1"/>
    <x v="1"/>
    <x v="1"/>
    <x v="2"/>
    <x v="0"/>
    <n v="1"/>
    <n v="23365"/>
    <n v="23365"/>
    <x v="1"/>
  </r>
  <r>
    <s v="2024-12-11"/>
    <s v="miércoles"/>
    <x v="7"/>
    <s v="2024"/>
    <x v="0"/>
    <x v="1"/>
    <x v="2"/>
    <x v="0"/>
    <x v="1"/>
    <n v="19"/>
    <n v="38250"/>
    <n v="726750"/>
    <x v="1"/>
  </r>
  <r>
    <s v="2024-01-19"/>
    <s v="viernes"/>
    <x v="11"/>
    <s v="2024"/>
    <x v="3"/>
    <x v="3"/>
    <x v="4"/>
    <x v="0"/>
    <x v="0"/>
    <n v="8"/>
    <n v="41722"/>
    <n v="333776"/>
    <x v="1"/>
  </r>
  <r>
    <s v="2024-08-29"/>
    <s v="jueves"/>
    <x v="2"/>
    <s v="2024"/>
    <x v="0"/>
    <x v="2"/>
    <x v="4"/>
    <x v="1"/>
    <x v="2"/>
    <n v="10"/>
    <n v="43563"/>
    <n v="435630"/>
    <x v="1"/>
  </r>
  <r>
    <s v="2024-03-08"/>
    <s v="viernes"/>
    <x v="6"/>
    <s v="2024"/>
    <x v="4"/>
    <x v="1"/>
    <x v="2"/>
    <x v="4"/>
    <x v="2"/>
    <n v="19"/>
    <n v="15849"/>
    <n v="301131"/>
    <x v="1"/>
  </r>
  <r>
    <s v="2024-02-25"/>
    <s v="domingo"/>
    <x v="10"/>
    <s v="2024"/>
    <x v="4"/>
    <x v="2"/>
    <x v="3"/>
    <x v="0"/>
    <x v="2"/>
    <n v="16"/>
    <n v="38298"/>
    <n v="612768"/>
    <x v="1"/>
  </r>
  <r>
    <s v="2024-11-04"/>
    <s v="lunes"/>
    <x v="5"/>
    <s v="2024"/>
    <x v="0"/>
    <x v="0"/>
    <x v="4"/>
    <x v="3"/>
    <x v="1"/>
    <n v="3"/>
    <n v="40807"/>
    <n v="122421"/>
    <x v="3"/>
  </r>
  <r>
    <s v="2024-01-01"/>
    <s v="lunes"/>
    <x v="11"/>
    <s v="2024"/>
    <x v="0"/>
    <x v="1"/>
    <x v="4"/>
    <x v="0"/>
    <x v="0"/>
    <n v="1"/>
    <n v="36049"/>
    <n v="36049"/>
    <x v="0"/>
  </r>
  <r>
    <s v="2024-10-04"/>
    <s v="viernes"/>
    <x v="8"/>
    <s v="2024"/>
    <x v="4"/>
    <x v="1"/>
    <x v="0"/>
    <x v="1"/>
    <x v="0"/>
    <n v="6"/>
    <n v="47875"/>
    <n v="287250"/>
    <x v="0"/>
  </r>
  <r>
    <s v="2024-03-19"/>
    <s v="martes"/>
    <x v="6"/>
    <s v="2024"/>
    <x v="3"/>
    <x v="4"/>
    <x v="3"/>
    <x v="0"/>
    <x v="1"/>
    <n v="16"/>
    <n v="47011"/>
    <n v="752176"/>
    <x v="0"/>
  </r>
  <r>
    <s v="2024-09-13"/>
    <s v="viernes"/>
    <x v="1"/>
    <s v="2024"/>
    <x v="3"/>
    <x v="4"/>
    <x v="3"/>
    <x v="0"/>
    <x v="2"/>
    <n v="11"/>
    <n v="46369"/>
    <n v="510059"/>
    <x v="0"/>
  </r>
  <r>
    <s v="2024-07-04"/>
    <s v="jueves"/>
    <x v="0"/>
    <s v="2024"/>
    <x v="0"/>
    <x v="0"/>
    <x v="0"/>
    <x v="2"/>
    <x v="0"/>
    <n v="17"/>
    <n v="30899"/>
    <n v="525283"/>
    <x v="0"/>
  </r>
  <r>
    <s v="2024-12-06"/>
    <s v="viernes"/>
    <x v="7"/>
    <s v="2024"/>
    <x v="0"/>
    <x v="3"/>
    <x v="0"/>
    <x v="3"/>
    <x v="2"/>
    <n v="10"/>
    <n v="22947"/>
    <n v="229470"/>
    <x v="1"/>
  </r>
  <r>
    <s v="2024-06-05"/>
    <s v="miércoles"/>
    <x v="9"/>
    <s v="2024"/>
    <x v="0"/>
    <x v="3"/>
    <x v="1"/>
    <x v="2"/>
    <x v="0"/>
    <n v="9"/>
    <n v="45504"/>
    <n v="409536"/>
    <x v="0"/>
  </r>
  <r>
    <s v="2024-01-23"/>
    <s v="martes"/>
    <x v="11"/>
    <s v="2024"/>
    <x v="4"/>
    <x v="2"/>
    <x v="3"/>
    <x v="1"/>
    <x v="1"/>
    <n v="17"/>
    <n v="47234"/>
    <n v="802978"/>
    <x v="1"/>
  </r>
  <r>
    <s v="2024-05-09"/>
    <s v="jueves"/>
    <x v="4"/>
    <s v="2024"/>
    <x v="3"/>
    <x v="1"/>
    <x v="0"/>
    <x v="3"/>
    <x v="0"/>
    <n v="7"/>
    <n v="33201"/>
    <n v="232407"/>
    <x v="3"/>
  </r>
  <r>
    <s v="2024-01-26"/>
    <s v="viernes"/>
    <x v="11"/>
    <s v="2024"/>
    <x v="3"/>
    <x v="4"/>
    <x v="1"/>
    <x v="1"/>
    <x v="0"/>
    <n v="10"/>
    <n v="32508"/>
    <n v="325080"/>
    <x v="1"/>
  </r>
  <r>
    <s v="2024-07-28"/>
    <s v="domingo"/>
    <x v="0"/>
    <s v="2024"/>
    <x v="1"/>
    <x v="1"/>
    <x v="3"/>
    <x v="2"/>
    <x v="2"/>
    <n v="14"/>
    <n v="19805"/>
    <n v="277270"/>
    <x v="3"/>
  </r>
  <r>
    <s v="2024-09-21"/>
    <s v="sábado"/>
    <x v="1"/>
    <s v="2024"/>
    <x v="4"/>
    <x v="3"/>
    <x v="4"/>
    <x v="2"/>
    <x v="1"/>
    <n v="19"/>
    <n v="16271"/>
    <n v="309149"/>
    <x v="3"/>
  </r>
  <r>
    <s v="2024-07-19"/>
    <s v="viernes"/>
    <x v="0"/>
    <s v="2024"/>
    <x v="0"/>
    <x v="0"/>
    <x v="1"/>
    <x v="4"/>
    <x v="2"/>
    <n v="2"/>
    <n v="20738"/>
    <n v="41476"/>
    <x v="2"/>
  </r>
  <r>
    <s v="2024-06-08"/>
    <s v="sábado"/>
    <x v="9"/>
    <s v="2024"/>
    <x v="3"/>
    <x v="2"/>
    <x v="2"/>
    <x v="4"/>
    <x v="0"/>
    <n v="18"/>
    <n v="24294"/>
    <n v="437292"/>
    <x v="3"/>
  </r>
  <r>
    <s v="2024-05-22"/>
    <s v="miércoles"/>
    <x v="4"/>
    <s v="2024"/>
    <x v="0"/>
    <x v="4"/>
    <x v="3"/>
    <x v="3"/>
    <x v="1"/>
    <n v="19"/>
    <n v="51368"/>
    <n v="975992"/>
    <x v="2"/>
  </r>
  <r>
    <s v="2024-06-26"/>
    <s v="miércoles"/>
    <x v="9"/>
    <s v="2024"/>
    <x v="0"/>
    <x v="3"/>
    <x v="2"/>
    <x v="1"/>
    <x v="1"/>
    <n v="5"/>
    <n v="20947"/>
    <n v="104735"/>
    <x v="0"/>
  </r>
  <r>
    <s v="2024-11-02"/>
    <s v="sábado"/>
    <x v="5"/>
    <s v="2024"/>
    <x v="3"/>
    <x v="4"/>
    <x v="3"/>
    <x v="3"/>
    <x v="2"/>
    <n v="6"/>
    <n v="57844"/>
    <n v="347064"/>
    <x v="1"/>
  </r>
  <r>
    <s v="2024-05-14"/>
    <s v="martes"/>
    <x v="4"/>
    <s v="2024"/>
    <x v="3"/>
    <x v="4"/>
    <x v="4"/>
    <x v="4"/>
    <x v="1"/>
    <n v="17"/>
    <n v="48827"/>
    <n v="830059"/>
    <x v="3"/>
  </r>
  <r>
    <s v="2024-06-04"/>
    <s v="martes"/>
    <x v="9"/>
    <s v="2024"/>
    <x v="1"/>
    <x v="1"/>
    <x v="3"/>
    <x v="1"/>
    <x v="2"/>
    <n v="15"/>
    <n v="52740"/>
    <n v="791100"/>
    <x v="3"/>
  </r>
  <r>
    <s v="2024-05-20"/>
    <s v="lunes"/>
    <x v="4"/>
    <s v="2024"/>
    <x v="4"/>
    <x v="0"/>
    <x v="2"/>
    <x v="1"/>
    <x v="2"/>
    <n v="2"/>
    <n v="32340"/>
    <n v="64680"/>
    <x v="1"/>
  </r>
  <r>
    <s v="2024-01-15"/>
    <s v="lunes"/>
    <x v="11"/>
    <s v="2024"/>
    <x v="4"/>
    <x v="1"/>
    <x v="2"/>
    <x v="4"/>
    <x v="2"/>
    <n v="8"/>
    <n v="23567"/>
    <n v="188536"/>
    <x v="3"/>
  </r>
  <r>
    <s v="2024-02-25"/>
    <s v="domingo"/>
    <x v="10"/>
    <s v="2024"/>
    <x v="0"/>
    <x v="1"/>
    <x v="1"/>
    <x v="0"/>
    <x v="1"/>
    <n v="12"/>
    <n v="33115"/>
    <n v="397380"/>
    <x v="1"/>
  </r>
  <r>
    <s v="2024-02-12"/>
    <s v="lunes"/>
    <x v="10"/>
    <s v="2024"/>
    <x v="1"/>
    <x v="0"/>
    <x v="1"/>
    <x v="1"/>
    <x v="0"/>
    <n v="18"/>
    <n v="28089"/>
    <n v="505602"/>
    <x v="1"/>
  </r>
  <r>
    <s v="2024-11-23"/>
    <s v="sábado"/>
    <x v="5"/>
    <s v="2024"/>
    <x v="0"/>
    <x v="1"/>
    <x v="4"/>
    <x v="2"/>
    <x v="1"/>
    <n v="18"/>
    <n v="23481"/>
    <n v="422658"/>
    <x v="1"/>
  </r>
  <r>
    <s v="2024-06-13"/>
    <s v="jueves"/>
    <x v="9"/>
    <s v="2024"/>
    <x v="1"/>
    <x v="2"/>
    <x v="3"/>
    <x v="2"/>
    <x v="0"/>
    <n v="17"/>
    <n v="16921"/>
    <n v="287657"/>
    <x v="0"/>
  </r>
  <r>
    <s v="2024-05-08"/>
    <s v="miércoles"/>
    <x v="4"/>
    <s v="2024"/>
    <x v="3"/>
    <x v="1"/>
    <x v="1"/>
    <x v="0"/>
    <x v="2"/>
    <n v="8"/>
    <n v="30625"/>
    <n v="245000"/>
    <x v="3"/>
  </r>
  <r>
    <s v="2024-07-19"/>
    <s v="viernes"/>
    <x v="0"/>
    <s v="2024"/>
    <x v="1"/>
    <x v="1"/>
    <x v="1"/>
    <x v="2"/>
    <x v="1"/>
    <n v="7"/>
    <n v="52218"/>
    <n v="365526"/>
    <x v="1"/>
  </r>
  <r>
    <s v="2024-09-25"/>
    <s v="miércoles"/>
    <x v="1"/>
    <s v="2024"/>
    <x v="4"/>
    <x v="2"/>
    <x v="4"/>
    <x v="0"/>
    <x v="1"/>
    <n v="20"/>
    <n v="15829"/>
    <n v="316580"/>
    <x v="0"/>
  </r>
  <r>
    <s v="2024-12-07"/>
    <s v="sábado"/>
    <x v="7"/>
    <s v="2024"/>
    <x v="1"/>
    <x v="1"/>
    <x v="1"/>
    <x v="3"/>
    <x v="2"/>
    <n v="17"/>
    <n v="46557"/>
    <n v="791469"/>
    <x v="0"/>
  </r>
  <r>
    <s v="2024-03-17"/>
    <s v="domingo"/>
    <x v="6"/>
    <s v="2024"/>
    <x v="2"/>
    <x v="1"/>
    <x v="0"/>
    <x v="1"/>
    <x v="1"/>
    <n v="18"/>
    <n v="42529"/>
    <n v="765522"/>
    <x v="2"/>
  </r>
  <r>
    <s v="2024-03-14"/>
    <s v="jueves"/>
    <x v="6"/>
    <s v="2024"/>
    <x v="4"/>
    <x v="3"/>
    <x v="0"/>
    <x v="3"/>
    <x v="1"/>
    <n v="13"/>
    <n v="52206"/>
    <n v="678678"/>
    <x v="2"/>
  </r>
  <r>
    <s v="2024-12-03"/>
    <s v="martes"/>
    <x v="7"/>
    <s v="2024"/>
    <x v="2"/>
    <x v="2"/>
    <x v="2"/>
    <x v="1"/>
    <x v="2"/>
    <n v="16"/>
    <n v="20679"/>
    <n v="330864"/>
    <x v="0"/>
  </r>
  <r>
    <s v="2024-03-13"/>
    <s v="miércoles"/>
    <x v="6"/>
    <s v="2024"/>
    <x v="4"/>
    <x v="3"/>
    <x v="4"/>
    <x v="3"/>
    <x v="0"/>
    <n v="17"/>
    <n v="54659"/>
    <n v="929203"/>
    <x v="3"/>
  </r>
  <r>
    <s v="2024-06-13"/>
    <s v="jueves"/>
    <x v="9"/>
    <s v="2024"/>
    <x v="1"/>
    <x v="3"/>
    <x v="4"/>
    <x v="1"/>
    <x v="2"/>
    <n v="20"/>
    <n v="59060"/>
    <n v="1181200"/>
    <x v="3"/>
  </r>
  <r>
    <s v="2024-09-15"/>
    <s v="domingo"/>
    <x v="1"/>
    <s v="2024"/>
    <x v="2"/>
    <x v="4"/>
    <x v="0"/>
    <x v="3"/>
    <x v="0"/>
    <n v="11"/>
    <n v="59592"/>
    <n v="655512"/>
    <x v="2"/>
  </r>
  <r>
    <s v="2024-04-07"/>
    <s v="domingo"/>
    <x v="3"/>
    <s v="2024"/>
    <x v="2"/>
    <x v="2"/>
    <x v="2"/>
    <x v="4"/>
    <x v="0"/>
    <n v="8"/>
    <n v="59883"/>
    <n v="479064"/>
    <x v="1"/>
  </r>
  <r>
    <s v="2024-05-05"/>
    <s v="domingo"/>
    <x v="4"/>
    <s v="2024"/>
    <x v="2"/>
    <x v="3"/>
    <x v="0"/>
    <x v="0"/>
    <x v="2"/>
    <n v="18"/>
    <n v="16254"/>
    <n v="292572"/>
    <x v="0"/>
  </r>
  <r>
    <s v="2024-06-04"/>
    <s v="martes"/>
    <x v="9"/>
    <s v="2024"/>
    <x v="1"/>
    <x v="1"/>
    <x v="4"/>
    <x v="1"/>
    <x v="1"/>
    <n v="15"/>
    <n v="38800"/>
    <n v="582000"/>
    <x v="2"/>
  </r>
  <r>
    <s v="2024-06-05"/>
    <s v="miércoles"/>
    <x v="9"/>
    <s v="2024"/>
    <x v="0"/>
    <x v="2"/>
    <x v="0"/>
    <x v="4"/>
    <x v="1"/>
    <n v="7"/>
    <n v="48135"/>
    <n v="336945"/>
    <x v="0"/>
  </r>
  <r>
    <s v="2024-04-13"/>
    <s v="sábado"/>
    <x v="3"/>
    <s v="2024"/>
    <x v="2"/>
    <x v="4"/>
    <x v="1"/>
    <x v="1"/>
    <x v="2"/>
    <n v="8"/>
    <n v="58628"/>
    <n v="469024"/>
    <x v="0"/>
  </r>
  <r>
    <s v="2024-12-30"/>
    <s v="lunes"/>
    <x v="7"/>
    <s v="2024"/>
    <x v="1"/>
    <x v="2"/>
    <x v="2"/>
    <x v="3"/>
    <x v="2"/>
    <n v="2"/>
    <n v="54971"/>
    <n v="109942"/>
    <x v="3"/>
  </r>
  <r>
    <s v="2024-10-17"/>
    <s v="jueves"/>
    <x v="8"/>
    <s v="2024"/>
    <x v="0"/>
    <x v="2"/>
    <x v="4"/>
    <x v="2"/>
    <x v="0"/>
    <n v="1"/>
    <n v="50528"/>
    <n v="50528"/>
    <x v="1"/>
  </r>
  <r>
    <s v="2024-12-20"/>
    <s v="viernes"/>
    <x v="7"/>
    <s v="2024"/>
    <x v="4"/>
    <x v="0"/>
    <x v="3"/>
    <x v="2"/>
    <x v="2"/>
    <n v="13"/>
    <n v="37548"/>
    <n v="488124"/>
    <x v="3"/>
  </r>
  <r>
    <s v="2024-08-22"/>
    <s v="jueves"/>
    <x v="2"/>
    <s v="2024"/>
    <x v="3"/>
    <x v="4"/>
    <x v="0"/>
    <x v="4"/>
    <x v="0"/>
    <n v="17"/>
    <n v="43683"/>
    <n v="742611"/>
    <x v="0"/>
  </r>
  <r>
    <s v="2024-09-19"/>
    <s v="jueves"/>
    <x v="1"/>
    <s v="2024"/>
    <x v="0"/>
    <x v="2"/>
    <x v="1"/>
    <x v="0"/>
    <x v="1"/>
    <n v="16"/>
    <n v="56035"/>
    <n v="896560"/>
    <x v="3"/>
  </r>
  <r>
    <s v="2024-07-20"/>
    <s v="sábado"/>
    <x v="0"/>
    <s v="2024"/>
    <x v="4"/>
    <x v="2"/>
    <x v="1"/>
    <x v="0"/>
    <x v="1"/>
    <n v="15"/>
    <n v="45675"/>
    <n v="685125"/>
    <x v="2"/>
  </r>
  <r>
    <s v="2024-06-01"/>
    <s v="sábado"/>
    <x v="9"/>
    <s v="2024"/>
    <x v="0"/>
    <x v="0"/>
    <x v="3"/>
    <x v="1"/>
    <x v="2"/>
    <n v="11"/>
    <n v="33524"/>
    <n v="368764"/>
    <x v="3"/>
  </r>
  <r>
    <s v="2024-05-03"/>
    <s v="viernes"/>
    <x v="4"/>
    <s v="2024"/>
    <x v="4"/>
    <x v="2"/>
    <x v="2"/>
    <x v="1"/>
    <x v="1"/>
    <n v="8"/>
    <n v="16459"/>
    <n v="131672"/>
    <x v="1"/>
  </r>
  <r>
    <s v="2024-10-29"/>
    <s v="martes"/>
    <x v="8"/>
    <s v="2024"/>
    <x v="3"/>
    <x v="3"/>
    <x v="1"/>
    <x v="2"/>
    <x v="2"/>
    <n v="1"/>
    <n v="59155"/>
    <n v="59155"/>
    <x v="2"/>
  </r>
  <r>
    <s v="2024-07-27"/>
    <s v="sábado"/>
    <x v="0"/>
    <s v="2024"/>
    <x v="3"/>
    <x v="0"/>
    <x v="0"/>
    <x v="1"/>
    <x v="0"/>
    <n v="14"/>
    <n v="37690"/>
    <n v="527660"/>
    <x v="2"/>
  </r>
  <r>
    <s v="2024-12-16"/>
    <s v="lunes"/>
    <x v="7"/>
    <s v="2024"/>
    <x v="3"/>
    <x v="3"/>
    <x v="0"/>
    <x v="2"/>
    <x v="2"/>
    <n v="6"/>
    <n v="49050"/>
    <n v="294300"/>
    <x v="2"/>
  </r>
  <r>
    <s v="2024-12-29"/>
    <s v="domingo"/>
    <x v="7"/>
    <s v="2024"/>
    <x v="3"/>
    <x v="4"/>
    <x v="1"/>
    <x v="3"/>
    <x v="1"/>
    <n v="5"/>
    <n v="25542"/>
    <n v="127710"/>
    <x v="2"/>
  </r>
  <r>
    <s v="2024-05-20"/>
    <s v="lunes"/>
    <x v="4"/>
    <s v="2024"/>
    <x v="3"/>
    <x v="2"/>
    <x v="4"/>
    <x v="2"/>
    <x v="2"/>
    <n v="18"/>
    <n v="38832"/>
    <n v="698976"/>
    <x v="3"/>
  </r>
  <r>
    <s v="2024-04-14"/>
    <s v="domingo"/>
    <x v="3"/>
    <s v="2024"/>
    <x v="2"/>
    <x v="3"/>
    <x v="2"/>
    <x v="1"/>
    <x v="2"/>
    <n v="9"/>
    <n v="58393"/>
    <n v="525537"/>
    <x v="0"/>
  </r>
  <r>
    <s v="2024-06-29"/>
    <s v="sábado"/>
    <x v="9"/>
    <s v="2024"/>
    <x v="2"/>
    <x v="3"/>
    <x v="1"/>
    <x v="0"/>
    <x v="1"/>
    <n v="19"/>
    <n v="41343"/>
    <n v="785517"/>
    <x v="2"/>
  </r>
  <r>
    <s v="2024-07-28"/>
    <s v="domingo"/>
    <x v="0"/>
    <s v="2024"/>
    <x v="1"/>
    <x v="4"/>
    <x v="2"/>
    <x v="0"/>
    <x v="1"/>
    <n v="7"/>
    <n v="30207"/>
    <n v="211449"/>
    <x v="3"/>
  </r>
  <r>
    <s v="2024-10-08"/>
    <s v="martes"/>
    <x v="8"/>
    <s v="2024"/>
    <x v="3"/>
    <x v="4"/>
    <x v="2"/>
    <x v="1"/>
    <x v="2"/>
    <n v="8"/>
    <n v="54500"/>
    <n v="436000"/>
    <x v="2"/>
  </r>
  <r>
    <s v="2024-09-29"/>
    <s v="domingo"/>
    <x v="1"/>
    <s v="2024"/>
    <x v="3"/>
    <x v="4"/>
    <x v="0"/>
    <x v="0"/>
    <x v="1"/>
    <n v="3"/>
    <n v="34375"/>
    <n v="103125"/>
    <x v="1"/>
  </r>
  <r>
    <s v="2024-10-12"/>
    <s v="sábado"/>
    <x v="8"/>
    <s v="2024"/>
    <x v="1"/>
    <x v="3"/>
    <x v="3"/>
    <x v="3"/>
    <x v="0"/>
    <n v="20"/>
    <n v="45095"/>
    <n v="901900"/>
    <x v="0"/>
  </r>
  <r>
    <s v="2024-01-06"/>
    <s v="sábado"/>
    <x v="11"/>
    <s v="2024"/>
    <x v="1"/>
    <x v="4"/>
    <x v="3"/>
    <x v="4"/>
    <x v="2"/>
    <n v="2"/>
    <n v="53074"/>
    <n v="106148"/>
    <x v="1"/>
  </r>
  <r>
    <s v="2024-01-09"/>
    <s v="martes"/>
    <x v="11"/>
    <s v="2024"/>
    <x v="3"/>
    <x v="1"/>
    <x v="2"/>
    <x v="3"/>
    <x v="0"/>
    <n v="11"/>
    <n v="33084"/>
    <n v="363924"/>
    <x v="0"/>
  </r>
  <r>
    <s v="2024-10-12"/>
    <s v="sábado"/>
    <x v="8"/>
    <s v="2024"/>
    <x v="2"/>
    <x v="3"/>
    <x v="1"/>
    <x v="4"/>
    <x v="1"/>
    <n v="5"/>
    <n v="28264"/>
    <n v="141320"/>
    <x v="1"/>
  </r>
  <r>
    <s v="2024-10-07"/>
    <s v="lunes"/>
    <x v="8"/>
    <s v="2024"/>
    <x v="0"/>
    <x v="0"/>
    <x v="2"/>
    <x v="0"/>
    <x v="2"/>
    <n v="3"/>
    <n v="47644"/>
    <n v="142932"/>
    <x v="1"/>
  </r>
  <r>
    <s v="2024-02-27"/>
    <s v="martes"/>
    <x v="10"/>
    <s v="2024"/>
    <x v="4"/>
    <x v="2"/>
    <x v="0"/>
    <x v="3"/>
    <x v="1"/>
    <n v="7"/>
    <n v="20434"/>
    <n v="143038"/>
    <x v="3"/>
  </r>
  <r>
    <s v="2024-11-19"/>
    <s v="martes"/>
    <x v="5"/>
    <s v="2024"/>
    <x v="4"/>
    <x v="0"/>
    <x v="2"/>
    <x v="1"/>
    <x v="1"/>
    <n v="18"/>
    <n v="25537"/>
    <n v="459666"/>
    <x v="0"/>
  </r>
  <r>
    <s v="2024-07-08"/>
    <s v="lunes"/>
    <x v="0"/>
    <s v="2024"/>
    <x v="3"/>
    <x v="1"/>
    <x v="1"/>
    <x v="1"/>
    <x v="2"/>
    <n v="9"/>
    <n v="48343"/>
    <n v="435087"/>
    <x v="3"/>
  </r>
  <r>
    <s v="2024-07-19"/>
    <s v="viernes"/>
    <x v="0"/>
    <s v="2024"/>
    <x v="4"/>
    <x v="2"/>
    <x v="2"/>
    <x v="2"/>
    <x v="0"/>
    <n v="5"/>
    <n v="16939"/>
    <n v="84695"/>
    <x v="1"/>
  </r>
  <r>
    <s v="2024-01-28"/>
    <s v="domingo"/>
    <x v="11"/>
    <s v="2024"/>
    <x v="3"/>
    <x v="1"/>
    <x v="1"/>
    <x v="4"/>
    <x v="2"/>
    <n v="16"/>
    <n v="51239"/>
    <n v="819824"/>
    <x v="2"/>
  </r>
  <r>
    <s v="2024-06-15"/>
    <s v="sábado"/>
    <x v="9"/>
    <s v="2024"/>
    <x v="4"/>
    <x v="4"/>
    <x v="0"/>
    <x v="0"/>
    <x v="1"/>
    <n v="17"/>
    <n v="42542"/>
    <n v="723214"/>
    <x v="0"/>
  </r>
  <r>
    <s v="2024-03-01"/>
    <s v="viernes"/>
    <x v="6"/>
    <s v="2024"/>
    <x v="1"/>
    <x v="4"/>
    <x v="1"/>
    <x v="0"/>
    <x v="1"/>
    <n v="11"/>
    <n v="43866"/>
    <n v="482526"/>
    <x v="1"/>
  </r>
  <r>
    <s v="2024-06-18"/>
    <s v="martes"/>
    <x v="9"/>
    <s v="2024"/>
    <x v="1"/>
    <x v="3"/>
    <x v="2"/>
    <x v="4"/>
    <x v="1"/>
    <n v="4"/>
    <n v="35075"/>
    <n v="140300"/>
    <x v="2"/>
  </r>
  <r>
    <s v="2024-10-21"/>
    <s v="lunes"/>
    <x v="8"/>
    <s v="2024"/>
    <x v="0"/>
    <x v="4"/>
    <x v="1"/>
    <x v="3"/>
    <x v="2"/>
    <n v="13"/>
    <n v="57373"/>
    <n v="745849"/>
    <x v="0"/>
  </r>
  <r>
    <s v="2024-09-22"/>
    <s v="domingo"/>
    <x v="1"/>
    <s v="2024"/>
    <x v="1"/>
    <x v="3"/>
    <x v="0"/>
    <x v="0"/>
    <x v="0"/>
    <n v="1"/>
    <n v="58785"/>
    <n v="58785"/>
    <x v="0"/>
  </r>
  <r>
    <s v="2024-05-07"/>
    <s v="martes"/>
    <x v="4"/>
    <s v="2024"/>
    <x v="2"/>
    <x v="1"/>
    <x v="4"/>
    <x v="3"/>
    <x v="0"/>
    <n v="7"/>
    <n v="38877"/>
    <n v="272139"/>
    <x v="3"/>
  </r>
  <r>
    <s v="2024-03-16"/>
    <s v="sábado"/>
    <x v="6"/>
    <s v="2024"/>
    <x v="2"/>
    <x v="4"/>
    <x v="0"/>
    <x v="3"/>
    <x v="0"/>
    <n v="3"/>
    <n v="15858"/>
    <n v="47574"/>
    <x v="1"/>
  </r>
  <r>
    <s v="2024-12-08"/>
    <s v="domingo"/>
    <x v="7"/>
    <s v="2024"/>
    <x v="3"/>
    <x v="0"/>
    <x v="2"/>
    <x v="1"/>
    <x v="2"/>
    <n v="5"/>
    <n v="24727"/>
    <n v="123635"/>
    <x v="1"/>
  </r>
  <r>
    <s v="2024-03-08"/>
    <s v="viernes"/>
    <x v="6"/>
    <s v="2024"/>
    <x v="0"/>
    <x v="3"/>
    <x v="1"/>
    <x v="4"/>
    <x v="1"/>
    <n v="20"/>
    <n v="34673"/>
    <n v="693460"/>
    <x v="3"/>
  </r>
  <r>
    <s v="2024-09-18"/>
    <s v="miércoles"/>
    <x v="1"/>
    <s v="2024"/>
    <x v="3"/>
    <x v="2"/>
    <x v="3"/>
    <x v="0"/>
    <x v="0"/>
    <n v="6"/>
    <n v="27133"/>
    <n v="162798"/>
    <x v="1"/>
  </r>
  <r>
    <s v="2024-04-25"/>
    <s v="jueves"/>
    <x v="3"/>
    <s v="2024"/>
    <x v="2"/>
    <x v="0"/>
    <x v="1"/>
    <x v="3"/>
    <x v="0"/>
    <n v="9"/>
    <n v="31555"/>
    <n v="283995"/>
    <x v="0"/>
  </r>
  <r>
    <s v="2024-12-08"/>
    <s v="domingo"/>
    <x v="7"/>
    <s v="2024"/>
    <x v="4"/>
    <x v="4"/>
    <x v="4"/>
    <x v="2"/>
    <x v="0"/>
    <n v="7"/>
    <n v="53681"/>
    <n v="375767"/>
    <x v="2"/>
  </r>
  <r>
    <s v="2024-02-04"/>
    <s v="domingo"/>
    <x v="10"/>
    <s v="2024"/>
    <x v="3"/>
    <x v="1"/>
    <x v="0"/>
    <x v="4"/>
    <x v="0"/>
    <n v="6"/>
    <n v="40449"/>
    <n v="242694"/>
    <x v="1"/>
  </r>
  <r>
    <s v="2024-06-02"/>
    <s v="domingo"/>
    <x v="9"/>
    <s v="2024"/>
    <x v="2"/>
    <x v="4"/>
    <x v="3"/>
    <x v="4"/>
    <x v="1"/>
    <n v="7"/>
    <n v="58578"/>
    <n v="410046"/>
    <x v="3"/>
  </r>
  <r>
    <s v="2024-09-20"/>
    <s v="viernes"/>
    <x v="1"/>
    <s v="2024"/>
    <x v="3"/>
    <x v="4"/>
    <x v="2"/>
    <x v="1"/>
    <x v="2"/>
    <n v="4"/>
    <n v="40941"/>
    <n v="163764"/>
    <x v="0"/>
  </r>
  <r>
    <s v="2024-05-26"/>
    <s v="domingo"/>
    <x v="4"/>
    <s v="2024"/>
    <x v="0"/>
    <x v="2"/>
    <x v="4"/>
    <x v="0"/>
    <x v="0"/>
    <n v="19"/>
    <n v="56204"/>
    <n v="1067876"/>
    <x v="3"/>
  </r>
  <r>
    <s v="2024-04-19"/>
    <s v="viernes"/>
    <x v="3"/>
    <s v="2024"/>
    <x v="0"/>
    <x v="4"/>
    <x v="3"/>
    <x v="4"/>
    <x v="0"/>
    <n v="20"/>
    <n v="47488"/>
    <n v="949760"/>
    <x v="0"/>
  </r>
  <r>
    <s v="2024-09-13"/>
    <s v="viernes"/>
    <x v="1"/>
    <s v="2024"/>
    <x v="0"/>
    <x v="4"/>
    <x v="2"/>
    <x v="1"/>
    <x v="0"/>
    <n v="7"/>
    <n v="22250"/>
    <n v="155750"/>
    <x v="3"/>
  </r>
  <r>
    <s v="2024-07-24"/>
    <s v="miércoles"/>
    <x v="0"/>
    <s v="2024"/>
    <x v="1"/>
    <x v="0"/>
    <x v="0"/>
    <x v="1"/>
    <x v="0"/>
    <n v="8"/>
    <n v="59380"/>
    <n v="475040"/>
    <x v="1"/>
  </r>
  <r>
    <s v="2024-04-09"/>
    <s v="martes"/>
    <x v="3"/>
    <s v="2024"/>
    <x v="2"/>
    <x v="4"/>
    <x v="4"/>
    <x v="1"/>
    <x v="0"/>
    <n v="10"/>
    <n v="40554"/>
    <n v="405540"/>
    <x v="3"/>
  </r>
  <r>
    <s v="2024-11-25"/>
    <s v="lunes"/>
    <x v="5"/>
    <s v="2024"/>
    <x v="2"/>
    <x v="2"/>
    <x v="3"/>
    <x v="4"/>
    <x v="2"/>
    <n v="14"/>
    <n v="51865"/>
    <n v="726110"/>
    <x v="1"/>
  </r>
  <r>
    <s v="2024-12-20"/>
    <s v="viernes"/>
    <x v="7"/>
    <s v="2024"/>
    <x v="3"/>
    <x v="4"/>
    <x v="4"/>
    <x v="4"/>
    <x v="2"/>
    <n v="12"/>
    <n v="52545"/>
    <n v="630540"/>
    <x v="3"/>
  </r>
  <r>
    <s v="2024-03-03"/>
    <s v="domingo"/>
    <x v="6"/>
    <s v="2024"/>
    <x v="2"/>
    <x v="2"/>
    <x v="0"/>
    <x v="1"/>
    <x v="0"/>
    <n v="12"/>
    <n v="16891"/>
    <n v="202692"/>
    <x v="3"/>
  </r>
  <r>
    <s v="2024-10-26"/>
    <s v="sábado"/>
    <x v="8"/>
    <s v="2024"/>
    <x v="4"/>
    <x v="0"/>
    <x v="2"/>
    <x v="2"/>
    <x v="0"/>
    <n v="11"/>
    <n v="44448"/>
    <n v="488928"/>
    <x v="0"/>
  </r>
  <r>
    <s v="2024-05-26"/>
    <s v="domingo"/>
    <x v="4"/>
    <s v="2024"/>
    <x v="4"/>
    <x v="4"/>
    <x v="2"/>
    <x v="0"/>
    <x v="0"/>
    <n v="14"/>
    <n v="28994"/>
    <n v="405916"/>
    <x v="2"/>
  </r>
  <r>
    <s v="2024-08-30"/>
    <s v="viernes"/>
    <x v="2"/>
    <s v="2024"/>
    <x v="0"/>
    <x v="4"/>
    <x v="4"/>
    <x v="2"/>
    <x v="1"/>
    <n v="20"/>
    <n v="23059"/>
    <n v="461180"/>
    <x v="0"/>
  </r>
  <r>
    <s v="2024-03-24"/>
    <s v="domingo"/>
    <x v="6"/>
    <s v="2024"/>
    <x v="0"/>
    <x v="3"/>
    <x v="3"/>
    <x v="0"/>
    <x v="1"/>
    <n v="14"/>
    <n v="39500"/>
    <n v="553000"/>
    <x v="1"/>
  </r>
  <r>
    <s v="2024-09-30"/>
    <s v="lunes"/>
    <x v="1"/>
    <s v="2024"/>
    <x v="1"/>
    <x v="1"/>
    <x v="2"/>
    <x v="3"/>
    <x v="0"/>
    <n v="4"/>
    <n v="38745"/>
    <n v="154980"/>
    <x v="2"/>
  </r>
  <r>
    <s v="2024-07-24"/>
    <s v="miércoles"/>
    <x v="0"/>
    <s v="2024"/>
    <x v="2"/>
    <x v="0"/>
    <x v="2"/>
    <x v="3"/>
    <x v="1"/>
    <n v="15"/>
    <n v="53259"/>
    <n v="798885"/>
    <x v="3"/>
  </r>
  <r>
    <s v="2024-03-13"/>
    <s v="miércoles"/>
    <x v="6"/>
    <s v="2024"/>
    <x v="1"/>
    <x v="0"/>
    <x v="0"/>
    <x v="0"/>
    <x v="0"/>
    <n v="5"/>
    <n v="32950"/>
    <n v="164750"/>
    <x v="0"/>
  </r>
  <r>
    <s v="2024-01-10"/>
    <s v="miércoles"/>
    <x v="11"/>
    <s v="2024"/>
    <x v="2"/>
    <x v="1"/>
    <x v="4"/>
    <x v="2"/>
    <x v="2"/>
    <n v="6"/>
    <n v="33187"/>
    <n v="199122"/>
    <x v="1"/>
  </r>
  <r>
    <s v="2024-03-09"/>
    <s v="sábado"/>
    <x v="6"/>
    <s v="2024"/>
    <x v="0"/>
    <x v="2"/>
    <x v="2"/>
    <x v="4"/>
    <x v="1"/>
    <n v="4"/>
    <n v="19214"/>
    <n v="76856"/>
    <x v="3"/>
  </r>
  <r>
    <s v="2024-02-12"/>
    <s v="lunes"/>
    <x v="10"/>
    <s v="2024"/>
    <x v="4"/>
    <x v="1"/>
    <x v="4"/>
    <x v="4"/>
    <x v="2"/>
    <n v="13"/>
    <n v="55152"/>
    <n v="716976"/>
    <x v="0"/>
  </r>
  <r>
    <s v="2024-12-01"/>
    <s v="domingo"/>
    <x v="7"/>
    <s v="2024"/>
    <x v="1"/>
    <x v="4"/>
    <x v="1"/>
    <x v="4"/>
    <x v="2"/>
    <n v="18"/>
    <n v="35437"/>
    <n v="637866"/>
    <x v="3"/>
  </r>
  <r>
    <s v="2024-01-15"/>
    <s v="lunes"/>
    <x v="11"/>
    <s v="2024"/>
    <x v="2"/>
    <x v="2"/>
    <x v="3"/>
    <x v="1"/>
    <x v="2"/>
    <n v="3"/>
    <n v="28756"/>
    <n v="86268"/>
    <x v="3"/>
  </r>
  <r>
    <s v="2024-06-21"/>
    <s v="viernes"/>
    <x v="9"/>
    <s v="2024"/>
    <x v="0"/>
    <x v="4"/>
    <x v="2"/>
    <x v="2"/>
    <x v="1"/>
    <n v="7"/>
    <n v="23173"/>
    <n v="162211"/>
    <x v="0"/>
  </r>
  <r>
    <s v="2024-07-20"/>
    <s v="sábado"/>
    <x v="0"/>
    <s v="2024"/>
    <x v="0"/>
    <x v="4"/>
    <x v="1"/>
    <x v="3"/>
    <x v="2"/>
    <n v="10"/>
    <n v="53005"/>
    <n v="530050"/>
    <x v="0"/>
  </r>
  <r>
    <s v="2024-09-16"/>
    <s v="lunes"/>
    <x v="1"/>
    <s v="2024"/>
    <x v="0"/>
    <x v="3"/>
    <x v="4"/>
    <x v="4"/>
    <x v="2"/>
    <n v="14"/>
    <n v="37875"/>
    <n v="530250"/>
    <x v="1"/>
  </r>
  <r>
    <s v="2024-01-11"/>
    <s v="jueves"/>
    <x v="11"/>
    <s v="2024"/>
    <x v="4"/>
    <x v="3"/>
    <x v="1"/>
    <x v="4"/>
    <x v="2"/>
    <n v="13"/>
    <n v="23614"/>
    <n v="306982"/>
    <x v="3"/>
  </r>
  <r>
    <s v="2024-09-14"/>
    <s v="sábado"/>
    <x v="1"/>
    <s v="2024"/>
    <x v="0"/>
    <x v="4"/>
    <x v="0"/>
    <x v="3"/>
    <x v="1"/>
    <n v="1"/>
    <n v="59410"/>
    <n v="59410"/>
    <x v="3"/>
  </r>
  <r>
    <s v="2024-08-03"/>
    <s v="sábado"/>
    <x v="2"/>
    <s v="2024"/>
    <x v="3"/>
    <x v="4"/>
    <x v="1"/>
    <x v="0"/>
    <x v="0"/>
    <n v="20"/>
    <n v="30750"/>
    <n v="615000"/>
    <x v="2"/>
  </r>
  <r>
    <s v="2024-05-22"/>
    <s v="miércoles"/>
    <x v="4"/>
    <s v="2024"/>
    <x v="1"/>
    <x v="2"/>
    <x v="2"/>
    <x v="0"/>
    <x v="1"/>
    <n v="13"/>
    <n v="24274"/>
    <n v="315562"/>
    <x v="0"/>
  </r>
  <r>
    <s v="2024-09-16"/>
    <s v="lunes"/>
    <x v="1"/>
    <s v="2024"/>
    <x v="0"/>
    <x v="2"/>
    <x v="1"/>
    <x v="4"/>
    <x v="0"/>
    <n v="6"/>
    <n v="40455"/>
    <n v="242730"/>
    <x v="2"/>
  </r>
  <r>
    <s v="2024-06-09"/>
    <s v="domingo"/>
    <x v="9"/>
    <s v="2024"/>
    <x v="1"/>
    <x v="0"/>
    <x v="1"/>
    <x v="2"/>
    <x v="0"/>
    <n v="9"/>
    <n v="32417"/>
    <n v="291753"/>
    <x v="2"/>
  </r>
  <r>
    <s v="2024-04-02"/>
    <s v="martes"/>
    <x v="3"/>
    <s v="2024"/>
    <x v="1"/>
    <x v="3"/>
    <x v="4"/>
    <x v="0"/>
    <x v="1"/>
    <n v="16"/>
    <n v="15551"/>
    <n v="248816"/>
    <x v="0"/>
  </r>
  <r>
    <s v="2024-05-08"/>
    <s v="miércoles"/>
    <x v="4"/>
    <s v="2024"/>
    <x v="0"/>
    <x v="2"/>
    <x v="3"/>
    <x v="2"/>
    <x v="0"/>
    <n v="10"/>
    <n v="48677"/>
    <n v="486770"/>
    <x v="3"/>
  </r>
  <r>
    <s v="2024-10-02"/>
    <s v="miércoles"/>
    <x v="8"/>
    <s v="2024"/>
    <x v="0"/>
    <x v="0"/>
    <x v="0"/>
    <x v="0"/>
    <x v="0"/>
    <n v="9"/>
    <n v="19942"/>
    <n v="179478"/>
    <x v="2"/>
  </r>
  <r>
    <s v="2024-10-08"/>
    <s v="martes"/>
    <x v="8"/>
    <s v="2024"/>
    <x v="0"/>
    <x v="0"/>
    <x v="1"/>
    <x v="2"/>
    <x v="2"/>
    <n v="18"/>
    <n v="20523"/>
    <n v="369414"/>
    <x v="3"/>
  </r>
  <r>
    <s v="2024-07-20"/>
    <s v="sábado"/>
    <x v="0"/>
    <s v="2024"/>
    <x v="3"/>
    <x v="3"/>
    <x v="3"/>
    <x v="3"/>
    <x v="1"/>
    <n v="14"/>
    <n v="42576"/>
    <n v="596064"/>
    <x v="3"/>
  </r>
  <r>
    <s v="2024-10-24"/>
    <s v="jueves"/>
    <x v="8"/>
    <s v="2024"/>
    <x v="3"/>
    <x v="2"/>
    <x v="4"/>
    <x v="1"/>
    <x v="2"/>
    <n v="8"/>
    <n v="53510"/>
    <n v="428080"/>
    <x v="3"/>
  </r>
  <r>
    <s v="2024-08-29"/>
    <s v="jueves"/>
    <x v="2"/>
    <s v="2024"/>
    <x v="1"/>
    <x v="2"/>
    <x v="0"/>
    <x v="4"/>
    <x v="0"/>
    <n v="16"/>
    <n v="36826"/>
    <n v="589216"/>
    <x v="0"/>
  </r>
  <r>
    <s v="2024-02-25"/>
    <s v="domingo"/>
    <x v="10"/>
    <s v="2024"/>
    <x v="2"/>
    <x v="1"/>
    <x v="1"/>
    <x v="0"/>
    <x v="0"/>
    <n v="14"/>
    <n v="52934"/>
    <n v="741076"/>
    <x v="2"/>
  </r>
  <r>
    <s v="2024-07-28"/>
    <s v="domingo"/>
    <x v="0"/>
    <s v="2024"/>
    <x v="0"/>
    <x v="0"/>
    <x v="2"/>
    <x v="2"/>
    <x v="1"/>
    <n v="6"/>
    <n v="58292"/>
    <n v="349752"/>
    <x v="0"/>
  </r>
  <r>
    <s v="2024-09-25"/>
    <s v="miércoles"/>
    <x v="1"/>
    <s v="2024"/>
    <x v="1"/>
    <x v="0"/>
    <x v="3"/>
    <x v="4"/>
    <x v="1"/>
    <n v="16"/>
    <n v="36158"/>
    <n v="578528"/>
    <x v="0"/>
  </r>
  <r>
    <s v="2024-09-24"/>
    <s v="martes"/>
    <x v="1"/>
    <s v="2024"/>
    <x v="0"/>
    <x v="2"/>
    <x v="2"/>
    <x v="0"/>
    <x v="2"/>
    <n v="1"/>
    <n v="25238"/>
    <n v="25238"/>
    <x v="3"/>
  </r>
  <r>
    <s v="2024-05-13"/>
    <s v="lunes"/>
    <x v="4"/>
    <s v="2024"/>
    <x v="4"/>
    <x v="4"/>
    <x v="4"/>
    <x v="1"/>
    <x v="0"/>
    <n v="9"/>
    <n v="33732"/>
    <n v="303588"/>
    <x v="2"/>
  </r>
  <r>
    <s v="2024-12-19"/>
    <s v="jueves"/>
    <x v="7"/>
    <s v="2024"/>
    <x v="3"/>
    <x v="0"/>
    <x v="3"/>
    <x v="0"/>
    <x v="0"/>
    <n v="7"/>
    <n v="45788"/>
    <n v="320516"/>
    <x v="2"/>
  </r>
  <r>
    <s v="2024-04-28"/>
    <s v="domingo"/>
    <x v="3"/>
    <s v="2024"/>
    <x v="2"/>
    <x v="0"/>
    <x v="3"/>
    <x v="3"/>
    <x v="2"/>
    <n v="14"/>
    <n v="19285"/>
    <n v="269990"/>
    <x v="0"/>
  </r>
  <r>
    <s v="2024-03-23"/>
    <s v="sábado"/>
    <x v="6"/>
    <s v="2024"/>
    <x v="1"/>
    <x v="0"/>
    <x v="0"/>
    <x v="3"/>
    <x v="2"/>
    <n v="19"/>
    <n v="55708"/>
    <n v="1058452"/>
    <x v="2"/>
  </r>
  <r>
    <s v="2024-09-27"/>
    <s v="viernes"/>
    <x v="1"/>
    <s v="2024"/>
    <x v="0"/>
    <x v="1"/>
    <x v="2"/>
    <x v="2"/>
    <x v="1"/>
    <n v="14"/>
    <n v="47290"/>
    <n v="662060"/>
    <x v="2"/>
  </r>
  <r>
    <s v="2024-11-14"/>
    <s v="jueves"/>
    <x v="5"/>
    <s v="2024"/>
    <x v="1"/>
    <x v="3"/>
    <x v="3"/>
    <x v="2"/>
    <x v="2"/>
    <n v="16"/>
    <n v="50983"/>
    <n v="815728"/>
    <x v="1"/>
  </r>
  <r>
    <s v="2024-07-21"/>
    <s v="domingo"/>
    <x v="0"/>
    <s v="2024"/>
    <x v="3"/>
    <x v="1"/>
    <x v="4"/>
    <x v="0"/>
    <x v="0"/>
    <n v="13"/>
    <n v="31430"/>
    <n v="408590"/>
    <x v="1"/>
  </r>
  <r>
    <s v="2024-12-04"/>
    <s v="miércoles"/>
    <x v="7"/>
    <s v="2024"/>
    <x v="1"/>
    <x v="3"/>
    <x v="2"/>
    <x v="4"/>
    <x v="2"/>
    <n v="5"/>
    <n v="51775"/>
    <n v="258875"/>
    <x v="2"/>
  </r>
  <r>
    <s v="2024-08-16"/>
    <s v="viernes"/>
    <x v="2"/>
    <s v="2024"/>
    <x v="2"/>
    <x v="1"/>
    <x v="1"/>
    <x v="1"/>
    <x v="2"/>
    <n v="3"/>
    <n v="16997"/>
    <n v="50991"/>
    <x v="2"/>
  </r>
  <r>
    <s v="2024-12-10"/>
    <s v="martes"/>
    <x v="7"/>
    <s v="2024"/>
    <x v="3"/>
    <x v="0"/>
    <x v="2"/>
    <x v="2"/>
    <x v="2"/>
    <n v="10"/>
    <n v="43696"/>
    <n v="436960"/>
    <x v="2"/>
  </r>
  <r>
    <s v="2024-09-10"/>
    <s v="martes"/>
    <x v="1"/>
    <s v="2024"/>
    <x v="1"/>
    <x v="4"/>
    <x v="3"/>
    <x v="0"/>
    <x v="1"/>
    <n v="5"/>
    <n v="54298"/>
    <n v="271490"/>
    <x v="3"/>
  </r>
  <r>
    <s v="2024-05-07"/>
    <s v="martes"/>
    <x v="4"/>
    <s v="2024"/>
    <x v="4"/>
    <x v="4"/>
    <x v="4"/>
    <x v="3"/>
    <x v="2"/>
    <n v="8"/>
    <n v="44773"/>
    <n v="358184"/>
    <x v="1"/>
  </r>
  <r>
    <s v="2024-10-08"/>
    <s v="martes"/>
    <x v="8"/>
    <s v="2024"/>
    <x v="1"/>
    <x v="3"/>
    <x v="4"/>
    <x v="1"/>
    <x v="0"/>
    <n v="17"/>
    <n v="22246"/>
    <n v="378182"/>
    <x v="0"/>
  </r>
  <r>
    <s v="2024-10-12"/>
    <s v="sábado"/>
    <x v="8"/>
    <s v="2024"/>
    <x v="0"/>
    <x v="4"/>
    <x v="3"/>
    <x v="2"/>
    <x v="0"/>
    <n v="20"/>
    <n v="32051"/>
    <n v="641020"/>
    <x v="1"/>
  </r>
  <r>
    <s v="2024-12-25"/>
    <s v="miércoles"/>
    <x v="7"/>
    <s v="2024"/>
    <x v="0"/>
    <x v="4"/>
    <x v="3"/>
    <x v="2"/>
    <x v="0"/>
    <n v="2"/>
    <n v="50422"/>
    <n v="100844"/>
    <x v="2"/>
  </r>
  <r>
    <s v="2024-11-26"/>
    <s v="martes"/>
    <x v="5"/>
    <s v="2024"/>
    <x v="0"/>
    <x v="4"/>
    <x v="1"/>
    <x v="2"/>
    <x v="0"/>
    <n v="19"/>
    <n v="28621"/>
    <n v="543799"/>
    <x v="0"/>
  </r>
  <r>
    <s v="2024-05-29"/>
    <s v="miércoles"/>
    <x v="4"/>
    <s v="2024"/>
    <x v="3"/>
    <x v="4"/>
    <x v="1"/>
    <x v="3"/>
    <x v="0"/>
    <n v="19"/>
    <n v="47443"/>
    <n v="901417"/>
    <x v="1"/>
  </r>
  <r>
    <s v="2024-04-11"/>
    <s v="jueves"/>
    <x v="3"/>
    <s v="2024"/>
    <x v="3"/>
    <x v="0"/>
    <x v="4"/>
    <x v="2"/>
    <x v="2"/>
    <n v="16"/>
    <n v="42393"/>
    <n v="678288"/>
    <x v="1"/>
  </r>
  <r>
    <s v="2024-06-14"/>
    <s v="viernes"/>
    <x v="9"/>
    <s v="2024"/>
    <x v="3"/>
    <x v="0"/>
    <x v="1"/>
    <x v="0"/>
    <x v="1"/>
    <n v="1"/>
    <n v="55400"/>
    <n v="55400"/>
    <x v="3"/>
  </r>
  <r>
    <s v="2024-07-11"/>
    <s v="jueves"/>
    <x v="0"/>
    <s v="2024"/>
    <x v="4"/>
    <x v="2"/>
    <x v="0"/>
    <x v="4"/>
    <x v="1"/>
    <n v="16"/>
    <n v="20737"/>
    <n v="331792"/>
    <x v="3"/>
  </r>
  <r>
    <s v="2024-11-18"/>
    <s v="lunes"/>
    <x v="5"/>
    <s v="2024"/>
    <x v="1"/>
    <x v="2"/>
    <x v="1"/>
    <x v="3"/>
    <x v="2"/>
    <n v="7"/>
    <n v="32233"/>
    <n v="225631"/>
    <x v="0"/>
  </r>
  <r>
    <s v="2024-05-30"/>
    <s v="jueves"/>
    <x v="4"/>
    <s v="2024"/>
    <x v="3"/>
    <x v="3"/>
    <x v="4"/>
    <x v="1"/>
    <x v="0"/>
    <n v="12"/>
    <n v="29377"/>
    <n v="352524"/>
    <x v="3"/>
  </r>
  <r>
    <s v="2024-01-31"/>
    <s v="miércoles"/>
    <x v="11"/>
    <s v="2024"/>
    <x v="4"/>
    <x v="1"/>
    <x v="0"/>
    <x v="4"/>
    <x v="2"/>
    <n v="8"/>
    <n v="18520"/>
    <n v="148160"/>
    <x v="3"/>
  </r>
  <r>
    <s v="2024-09-24"/>
    <s v="martes"/>
    <x v="1"/>
    <s v="2024"/>
    <x v="2"/>
    <x v="3"/>
    <x v="1"/>
    <x v="4"/>
    <x v="1"/>
    <n v="3"/>
    <n v="45976"/>
    <n v="137928"/>
    <x v="0"/>
  </r>
  <r>
    <s v="2024-01-04"/>
    <s v="jueves"/>
    <x v="11"/>
    <s v="2024"/>
    <x v="0"/>
    <x v="3"/>
    <x v="1"/>
    <x v="3"/>
    <x v="0"/>
    <n v="3"/>
    <n v="34673"/>
    <n v="104019"/>
    <x v="3"/>
  </r>
  <r>
    <s v="2024-06-29"/>
    <s v="sábado"/>
    <x v="9"/>
    <s v="2024"/>
    <x v="2"/>
    <x v="4"/>
    <x v="0"/>
    <x v="3"/>
    <x v="0"/>
    <n v="7"/>
    <n v="38363"/>
    <n v="268541"/>
    <x v="2"/>
  </r>
  <r>
    <s v="2024-11-22"/>
    <s v="viernes"/>
    <x v="5"/>
    <s v="2024"/>
    <x v="0"/>
    <x v="1"/>
    <x v="4"/>
    <x v="4"/>
    <x v="0"/>
    <n v="7"/>
    <n v="17579"/>
    <n v="123053"/>
    <x v="0"/>
  </r>
  <r>
    <s v="2024-10-30"/>
    <s v="miércoles"/>
    <x v="8"/>
    <s v="2024"/>
    <x v="2"/>
    <x v="1"/>
    <x v="2"/>
    <x v="2"/>
    <x v="2"/>
    <n v="11"/>
    <n v="51348"/>
    <n v="564828"/>
    <x v="3"/>
  </r>
  <r>
    <s v="2024-12-23"/>
    <s v="lunes"/>
    <x v="7"/>
    <s v="2024"/>
    <x v="2"/>
    <x v="3"/>
    <x v="1"/>
    <x v="2"/>
    <x v="1"/>
    <n v="6"/>
    <n v="41020"/>
    <n v="246120"/>
    <x v="2"/>
  </r>
  <r>
    <s v="2024-12-05"/>
    <s v="jueves"/>
    <x v="7"/>
    <s v="2024"/>
    <x v="0"/>
    <x v="3"/>
    <x v="0"/>
    <x v="4"/>
    <x v="0"/>
    <n v="10"/>
    <n v="57718"/>
    <n v="577180"/>
    <x v="2"/>
  </r>
  <r>
    <s v="2024-04-05"/>
    <s v="viernes"/>
    <x v="3"/>
    <s v="2024"/>
    <x v="1"/>
    <x v="4"/>
    <x v="0"/>
    <x v="1"/>
    <x v="0"/>
    <n v="18"/>
    <n v="16121"/>
    <n v="290178"/>
    <x v="2"/>
  </r>
  <r>
    <s v="2024-04-13"/>
    <s v="sábado"/>
    <x v="3"/>
    <s v="2024"/>
    <x v="1"/>
    <x v="1"/>
    <x v="2"/>
    <x v="3"/>
    <x v="1"/>
    <n v="20"/>
    <n v="19420"/>
    <n v="388400"/>
    <x v="2"/>
  </r>
  <r>
    <s v="2024-03-16"/>
    <s v="sábado"/>
    <x v="6"/>
    <s v="2024"/>
    <x v="0"/>
    <x v="0"/>
    <x v="3"/>
    <x v="0"/>
    <x v="0"/>
    <n v="18"/>
    <n v="58229"/>
    <n v="1048122"/>
    <x v="1"/>
  </r>
  <r>
    <s v="2024-09-16"/>
    <s v="lunes"/>
    <x v="1"/>
    <s v="2024"/>
    <x v="4"/>
    <x v="1"/>
    <x v="0"/>
    <x v="4"/>
    <x v="2"/>
    <n v="8"/>
    <n v="24059"/>
    <n v="192472"/>
    <x v="1"/>
  </r>
  <r>
    <s v="2024-04-27"/>
    <s v="sábado"/>
    <x v="3"/>
    <s v="2024"/>
    <x v="3"/>
    <x v="1"/>
    <x v="2"/>
    <x v="3"/>
    <x v="0"/>
    <n v="10"/>
    <n v="25902"/>
    <n v="259020"/>
    <x v="1"/>
  </r>
  <r>
    <s v="2024-03-24"/>
    <s v="domingo"/>
    <x v="6"/>
    <s v="2024"/>
    <x v="3"/>
    <x v="1"/>
    <x v="1"/>
    <x v="0"/>
    <x v="2"/>
    <n v="5"/>
    <n v="48705"/>
    <n v="243525"/>
    <x v="3"/>
  </r>
  <r>
    <s v="2024-05-22"/>
    <s v="miércoles"/>
    <x v="4"/>
    <s v="2024"/>
    <x v="0"/>
    <x v="3"/>
    <x v="0"/>
    <x v="0"/>
    <x v="2"/>
    <n v="2"/>
    <n v="34196"/>
    <n v="68392"/>
    <x v="0"/>
  </r>
  <r>
    <s v="2024-03-09"/>
    <s v="sábado"/>
    <x v="6"/>
    <s v="2024"/>
    <x v="0"/>
    <x v="1"/>
    <x v="1"/>
    <x v="0"/>
    <x v="0"/>
    <n v="20"/>
    <n v="20224"/>
    <n v="404480"/>
    <x v="3"/>
  </r>
  <r>
    <s v="2024-03-12"/>
    <s v="martes"/>
    <x v="6"/>
    <s v="2024"/>
    <x v="4"/>
    <x v="4"/>
    <x v="2"/>
    <x v="0"/>
    <x v="0"/>
    <n v="20"/>
    <n v="38317"/>
    <n v="766340"/>
    <x v="0"/>
  </r>
  <r>
    <s v="2024-12-08"/>
    <s v="domingo"/>
    <x v="7"/>
    <s v="2024"/>
    <x v="1"/>
    <x v="0"/>
    <x v="1"/>
    <x v="2"/>
    <x v="1"/>
    <n v="7"/>
    <n v="57241"/>
    <n v="400687"/>
    <x v="1"/>
  </r>
  <r>
    <s v="2024-02-01"/>
    <s v="jueves"/>
    <x v="10"/>
    <s v="2024"/>
    <x v="2"/>
    <x v="2"/>
    <x v="4"/>
    <x v="0"/>
    <x v="0"/>
    <n v="15"/>
    <n v="58374"/>
    <n v="875610"/>
    <x v="0"/>
  </r>
  <r>
    <s v="2024-02-11"/>
    <s v="domingo"/>
    <x v="10"/>
    <s v="2024"/>
    <x v="1"/>
    <x v="4"/>
    <x v="1"/>
    <x v="1"/>
    <x v="2"/>
    <n v="14"/>
    <n v="48299"/>
    <n v="676186"/>
    <x v="1"/>
  </r>
  <r>
    <s v="2024-10-02"/>
    <s v="miércoles"/>
    <x v="8"/>
    <s v="2024"/>
    <x v="1"/>
    <x v="4"/>
    <x v="0"/>
    <x v="2"/>
    <x v="2"/>
    <n v="20"/>
    <n v="45643"/>
    <n v="912860"/>
    <x v="1"/>
  </r>
  <r>
    <s v="2024-06-22"/>
    <s v="sábado"/>
    <x v="9"/>
    <s v="2024"/>
    <x v="2"/>
    <x v="3"/>
    <x v="2"/>
    <x v="1"/>
    <x v="1"/>
    <n v="20"/>
    <n v="27717"/>
    <n v="554340"/>
    <x v="2"/>
  </r>
  <r>
    <s v="2024-08-17"/>
    <s v="sábado"/>
    <x v="2"/>
    <s v="2024"/>
    <x v="3"/>
    <x v="1"/>
    <x v="1"/>
    <x v="0"/>
    <x v="1"/>
    <n v="8"/>
    <n v="44148"/>
    <n v="353184"/>
    <x v="1"/>
  </r>
  <r>
    <s v="2024-07-09"/>
    <s v="martes"/>
    <x v="0"/>
    <s v="2024"/>
    <x v="1"/>
    <x v="3"/>
    <x v="2"/>
    <x v="4"/>
    <x v="0"/>
    <n v="20"/>
    <n v="26318"/>
    <n v="526360"/>
    <x v="2"/>
  </r>
  <r>
    <s v="2024-09-29"/>
    <s v="domingo"/>
    <x v="1"/>
    <s v="2024"/>
    <x v="4"/>
    <x v="4"/>
    <x v="0"/>
    <x v="0"/>
    <x v="0"/>
    <n v="19"/>
    <n v="53331"/>
    <n v="1013289"/>
    <x v="0"/>
  </r>
  <r>
    <s v="2024-03-04"/>
    <s v="lunes"/>
    <x v="6"/>
    <s v="2024"/>
    <x v="4"/>
    <x v="2"/>
    <x v="0"/>
    <x v="4"/>
    <x v="0"/>
    <n v="18"/>
    <n v="37211"/>
    <n v="669798"/>
    <x v="3"/>
  </r>
  <r>
    <s v="2024-10-01"/>
    <s v="martes"/>
    <x v="8"/>
    <s v="2024"/>
    <x v="3"/>
    <x v="4"/>
    <x v="1"/>
    <x v="2"/>
    <x v="0"/>
    <n v="4"/>
    <n v="42154"/>
    <n v="168616"/>
    <x v="0"/>
  </r>
  <r>
    <s v="2024-06-11"/>
    <s v="martes"/>
    <x v="9"/>
    <s v="2024"/>
    <x v="4"/>
    <x v="4"/>
    <x v="0"/>
    <x v="0"/>
    <x v="0"/>
    <n v="14"/>
    <n v="51237"/>
    <n v="717318"/>
    <x v="1"/>
  </r>
  <r>
    <s v="2024-11-02"/>
    <s v="sábado"/>
    <x v="5"/>
    <s v="2024"/>
    <x v="4"/>
    <x v="4"/>
    <x v="3"/>
    <x v="2"/>
    <x v="2"/>
    <n v="14"/>
    <n v="22063"/>
    <n v="308882"/>
    <x v="0"/>
  </r>
  <r>
    <s v="2024-08-28"/>
    <s v="miércoles"/>
    <x v="2"/>
    <s v="2024"/>
    <x v="3"/>
    <x v="3"/>
    <x v="4"/>
    <x v="4"/>
    <x v="0"/>
    <n v="14"/>
    <n v="26872"/>
    <n v="376208"/>
    <x v="2"/>
  </r>
  <r>
    <s v="2024-05-27"/>
    <s v="lunes"/>
    <x v="4"/>
    <s v="2024"/>
    <x v="1"/>
    <x v="2"/>
    <x v="3"/>
    <x v="3"/>
    <x v="1"/>
    <n v="20"/>
    <n v="54924"/>
    <n v="1098480"/>
    <x v="3"/>
  </r>
  <r>
    <s v="2024-04-18"/>
    <s v="jueves"/>
    <x v="3"/>
    <s v="2024"/>
    <x v="3"/>
    <x v="2"/>
    <x v="4"/>
    <x v="1"/>
    <x v="0"/>
    <n v="18"/>
    <n v="43344"/>
    <n v="780192"/>
    <x v="1"/>
  </r>
  <r>
    <s v="2024-09-13"/>
    <s v="viernes"/>
    <x v="1"/>
    <s v="2024"/>
    <x v="2"/>
    <x v="4"/>
    <x v="0"/>
    <x v="0"/>
    <x v="1"/>
    <n v="6"/>
    <n v="34610"/>
    <n v="207660"/>
    <x v="3"/>
  </r>
  <r>
    <s v="2024-04-10"/>
    <s v="miércoles"/>
    <x v="3"/>
    <s v="2024"/>
    <x v="0"/>
    <x v="3"/>
    <x v="0"/>
    <x v="4"/>
    <x v="2"/>
    <n v="13"/>
    <n v="33497"/>
    <n v="435461"/>
    <x v="2"/>
  </r>
  <r>
    <s v="2024-04-12"/>
    <s v="viernes"/>
    <x v="3"/>
    <s v="2024"/>
    <x v="4"/>
    <x v="3"/>
    <x v="1"/>
    <x v="1"/>
    <x v="0"/>
    <n v="14"/>
    <n v="31594"/>
    <n v="442316"/>
    <x v="2"/>
  </r>
  <r>
    <s v="2024-03-28"/>
    <s v="jueves"/>
    <x v="6"/>
    <s v="2024"/>
    <x v="3"/>
    <x v="2"/>
    <x v="1"/>
    <x v="2"/>
    <x v="0"/>
    <n v="11"/>
    <n v="22405"/>
    <n v="246455"/>
    <x v="1"/>
  </r>
  <r>
    <s v="2024-05-14"/>
    <s v="martes"/>
    <x v="4"/>
    <s v="2024"/>
    <x v="1"/>
    <x v="4"/>
    <x v="1"/>
    <x v="3"/>
    <x v="1"/>
    <n v="2"/>
    <n v="42598"/>
    <n v="85196"/>
    <x v="2"/>
  </r>
  <r>
    <s v="2024-10-20"/>
    <s v="domingo"/>
    <x v="8"/>
    <s v="2024"/>
    <x v="4"/>
    <x v="3"/>
    <x v="3"/>
    <x v="3"/>
    <x v="0"/>
    <n v="11"/>
    <n v="34013"/>
    <n v="374143"/>
    <x v="0"/>
  </r>
  <r>
    <s v="2024-08-14"/>
    <s v="miércoles"/>
    <x v="2"/>
    <s v="2024"/>
    <x v="0"/>
    <x v="2"/>
    <x v="3"/>
    <x v="3"/>
    <x v="0"/>
    <n v="11"/>
    <n v="24347"/>
    <n v="267817"/>
    <x v="1"/>
  </r>
  <r>
    <s v="2024-06-01"/>
    <s v="sábado"/>
    <x v="9"/>
    <s v="2024"/>
    <x v="4"/>
    <x v="1"/>
    <x v="0"/>
    <x v="4"/>
    <x v="2"/>
    <n v="15"/>
    <n v="27356"/>
    <n v="410340"/>
    <x v="0"/>
  </r>
  <r>
    <s v="2024-12-10"/>
    <s v="martes"/>
    <x v="7"/>
    <s v="2024"/>
    <x v="0"/>
    <x v="1"/>
    <x v="3"/>
    <x v="4"/>
    <x v="1"/>
    <n v="7"/>
    <n v="17800"/>
    <n v="124600"/>
    <x v="3"/>
  </r>
  <r>
    <s v="2024-11-12"/>
    <s v="martes"/>
    <x v="5"/>
    <s v="2024"/>
    <x v="2"/>
    <x v="0"/>
    <x v="0"/>
    <x v="0"/>
    <x v="0"/>
    <n v="10"/>
    <n v="26920"/>
    <n v="269200"/>
    <x v="3"/>
  </r>
  <r>
    <s v="2024-08-22"/>
    <s v="jueves"/>
    <x v="2"/>
    <s v="2024"/>
    <x v="1"/>
    <x v="2"/>
    <x v="3"/>
    <x v="3"/>
    <x v="2"/>
    <n v="6"/>
    <n v="59963"/>
    <n v="359778"/>
    <x v="1"/>
  </r>
  <r>
    <s v="2024-01-29"/>
    <s v="lunes"/>
    <x v="11"/>
    <s v="2024"/>
    <x v="4"/>
    <x v="1"/>
    <x v="3"/>
    <x v="0"/>
    <x v="2"/>
    <n v="13"/>
    <n v="53193"/>
    <n v="691509"/>
    <x v="0"/>
  </r>
  <r>
    <s v="2024-05-03"/>
    <s v="viernes"/>
    <x v="4"/>
    <s v="2024"/>
    <x v="2"/>
    <x v="2"/>
    <x v="1"/>
    <x v="1"/>
    <x v="1"/>
    <n v="19"/>
    <n v="21127"/>
    <n v="401413"/>
    <x v="3"/>
  </r>
  <r>
    <s v="2024-03-27"/>
    <s v="miércoles"/>
    <x v="6"/>
    <s v="2024"/>
    <x v="2"/>
    <x v="4"/>
    <x v="4"/>
    <x v="4"/>
    <x v="2"/>
    <n v="3"/>
    <n v="55138"/>
    <n v="165414"/>
    <x v="3"/>
  </r>
  <r>
    <s v="2024-02-05"/>
    <s v="lunes"/>
    <x v="10"/>
    <s v="2024"/>
    <x v="1"/>
    <x v="4"/>
    <x v="0"/>
    <x v="0"/>
    <x v="0"/>
    <n v="9"/>
    <n v="57992"/>
    <n v="521928"/>
    <x v="1"/>
  </r>
  <r>
    <s v="2024-10-14"/>
    <s v="lunes"/>
    <x v="8"/>
    <s v="2024"/>
    <x v="2"/>
    <x v="0"/>
    <x v="3"/>
    <x v="0"/>
    <x v="1"/>
    <n v="15"/>
    <n v="16307"/>
    <n v="244605"/>
    <x v="3"/>
  </r>
  <r>
    <s v="2024-04-22"/>
    <s v="lunes"/>
    <x v="3"/>
    <s v="2024"/>
    <x v="1"/>
    <x v="3"/>
    <x v="4"/>
    <x v="3"/>
    <x v="2"/>
    <n v="6"/>
    <n v="29767"/>
    <n v="178602"/>
    <x v="1"/>
  </r>
  <r>
    <s v="2024-02-05"/>
    <s v="lunes"/>
    <x v="10"/>
    <s v="2024"/>
    <x v="1"/>
    <x v="3"/>
    <x v="2"/>
    <x v="4"/>
    <x v="2"/>
    <n v="6"/>
    <n v="19021"/>
    <n v="114126"/>
    <x v="3"/>
  </r>
  <r>
    <s v="2024-04-20"/>
    <s v="sábado"/>
    <x v="3"/>
    <s v="2024"/>
    <x v="3"/>
    <x v="4"/>
    <x v="2"/>
    <x v="4"/>
    <x v="0"/>
    <n v="3"/>
    <n v="38503"/>
    <n v="115509"/>
    <x v="1"/>
  </r>
  <r>
    <s v="2024-05-30"/>
    <s v="jueves"/>
    <x v="4"/>
    <s v="2024"/>
    <x v="2"/>
    <x v="1"/>
    <x v="3"/>
    <x v="4"/>
    <x v="1"/>
    <n v="1"/>
    <n v="54238"/>
    <n v="54238"/>
    <x v="3"/>
  </r>
  <r>
    <s v="2024-07-30"/>
    <s v="martes"/>
    <x v="0"/>
    <s v="2024"/>
    <x v="4"/>
    <x v="2"/>
    <x v="3"/>
    <x v="4"/>
    <x v="0"/>
    <n v="4"/>
    <n v="41666"/>
    <n v="166664"/>
    <x v="1"/>
  </r>
  <r>
    <s v="2024-10-27"/>
    <s v="domingo"/>
    <x v="8"/>
    <s v="2024"/>
    <x v="2"/>
    <x v="1"/>
    <x v="0"/>
    <x v="0"/>
    <x v="2"/>
    <n v="13"/>
    <n v="53625"/>
    <n v="697125"/>
    <x v="1"/>
  </r>
  <r>
    <s v="2024-06-02"/>
    <s v="domingo"/>
    <x v="9"/>
    <s v="2024"/>
    <x v="3"/>
    <x v="2"/>
    <x v="2"/>
    <x v="3"/>
    <x v="0"/>
    <n v="19"/>
    <n v="56890"/>
    <n v="1080910"/>
    <x v="2"/>
  </r>
  <r>
    <s v="2024-08-31"/>
    <s v="sábado"/>
    <x v="2"/>
    <s v="2024"/>
    <x v="4"/>
    <x v="4"/>
    <x v="2"/>
    <x v="4"/>
    <x v="1"/>
    <n v="14"/>
    <n v="54264"/>
    <n v="759696"/>
    <x v="0"/>
  </r>
  <r>
    <s v="2024-12-22"/>
    <s v="domingo"/>
    <x v="7"/>
    <s v="2024"/>
    <x v="0"/>
    <x v="3"/>
    <x v="1"/>
    <x v="1"/>
    <x v="2"/>
    <n v="2"/>
    <n v="39767"/>
    <n v="79534"/>
    <x v="2"/>
  </r>
  <r>
    <s v="2024-10-14"/>
    <s v="lunes"/>
    <x v="8"/>
    <s v="2024"/>
    <x v="0"/>
    <x v="4"/>
    <x v="4"/>
    <x v="2"/>
    <x v="1"/>
    <n v="5"/>
    <n v="30283"/>
    <n v="151415"/>
    <x v="2"/>
  </r>
  <r>
    <s v="2024-11-16"/>
    <s v="sábado"/>
    <x v="5"/>
    <s v="2024"/>
    <x v="1"/>
    <x v="3"/>
    <x v="3"/>
    <x v="4"/>
    <x v="2"/>
    <n v="11"/>
    <n v="16078"/>
    <n v="176858"/>
    <x v="0"/>
  </r>
  <r>
    <s v="2024-08-19"/>
    <s v="lunes"/>
    <x v="2"/>
    <s v="2024"/>
    <x v="1"/>
    <x v="3"/>
    <x v="3"/>
    <x v="2"/>
    <x v="2"/>
    <n v="17"/>
    <n v="23209"/>
    <n v="394553"/>
    <x v="3"/>
  </r>
  <r>
    <s v="2024-04-18"/>
    <s v="jueves"/>
    <x v="3"/>
    <s v="2024"/>
    <x v="1"/>
    <x v="3"/>
    <x v="3"/>
    <x v="3"/>
    <x v="2"/>
    <n v="16"/>
    <n v="16486"/>
    <n v="263776"/>
    <x v="2"/>
  </r>
  <r>
    <s v="2024-08-24"/>
    <s v="sábado"/>
    <x v="2"/>
    <s v="2024"/>
    <x v="1"/>
    <x v="2"/>
    <x v="4"/>
    <x v="1"/>
    <x v="1"/>
    <n v="4"/>
    <n v="48835"/>
    <n v="195340"/>
    <x v="1"/>
  </r>
  <r>
    <s v="2024-05-24"/>
    <s v="viernes"/>
    <x v="4"/>
    <s v="2024"/>
    <x v="3"/>
    <x v="0"/>
    <x v="4"/>
    <x v="4"/>
    <x v="2"/>
    <n v="3"/>
    <n v="37479"/>
    <n v="112437"/>
    <x v="3"/>
  </r>
  <r>
    <s v="2024-12-06"/>
    <s v="viernes"/>
    <x v="7"/>
    <s v="2024"/>
    <x v="4"/>
    <x v="1"/>
    <x v="1"/>
    <x v="4"/>
    <x v="2"/>
    <n v="5"/>
    <n v="52549"/>
    <n v="262745"/>
    <x v="1"/>
  </r>
  <r>
    <s v="2024-04-14"/>
    <s v="domingo"/>
    <x v="3"/>
    <s v="2024"/>
    <x v="1"/>
    <x v="1"/>
    <x v="1"/>
    <x v="0"/>
    <x v="1"/>
    <n v="19"/>
    <n v="40744"/>
    <n v="774136"/>
    <x v="2"/>
  </r>
  <r>
    <s v="2024-05-21"/>
    <s v="martes"/>
    <x v="4"/>
    <s v="2024"/>
    <x v="0"/>
    <x v="4"/>
    <x v="4"/>
    <x v="0"/>
    <x v="1"/>
    <n v="15"/>
    <n v="15800"/>
    <n v="237000"/>
    <x v="0"/>
  </r>
  <r>
    <s v="2024-02-06"/>
    <s v="martes"/>
    <x v="10"/>
    <s v="2024"/>
    <x v="0"/>
    <x v="2"/>
    <x v="4"/>
    <x v="1"/>
    <x v="0"/>
    <n v="15"/>
    <n v="48510"/>
    <n v="727650"/>
    <x v="2"/>
  </r>
  <r>
    <s v="2024-06-21"/>
    <s v="viernes"/>
    <x v="9"/>
    <s v="2024"/>
    <x v="2"/>
    <x v="4"/>
    <x v="2"/>
    <x v="2"/>
    <x v="0"/>
    <n v="1"/>
    <n v="36072"/>
    <n v="36072"/>
    <x v="1"/>
  </r>
  <r>
    <s v="2024-04-08"/>
    <s v="lunes"/>
    <x v="3"/>
    <s v="2024"/>
    <x v="2"/>
    <x v="4"/>
    <x v="0"/>
    <x v="4"/>
    <x v="0"/>
    <n v="7"/>
    <n v="25751"/>
    <n v="180257"/>
    <x v="2"/>
  </r>
  <r>
    <s v="2024-09-15"/>
    <s v="domingo"/>
    <x v="1"/>
    <s v="2024"/>
    <x v="4"/>
    <x v="2"/>
    <x v="3"/>
    <x v="2"/>
    <x v="2"/>
    <n v="18"/>
    <n v="32249"/>
    <n v="580482"/>
    <x v="1"/>
  </r>
  <r>
    <s v="2024-01-27"/>
    <s v="sábado"/>
    <x v="11"/>
    <s v="2024"/>
    <x v="1"/>
    <x v="0"/>
    <x v="3"/>
    <x v="4"/>
    <x v="1"/>
    <n v="16"/>
    <n v="38885"/>
    <n v="622160"/>
    <x v="1"/>
  </r>
  <r>
    <s v="2024-05-15"/>
    <s v="miércoles"/>
    <x v="4"/>
    <s v="2024"/>
    <x v="0"/>
    <x v="4"/>
    <x v="4"/>
    <x v="3"/>
    <x v="2"/>
    <n v="18"/>
    <n v="17826"/>
    <n v="320868"/>
    <x v="0"/>
  </r>
  <r>
    <s v="2024-03-06"/>
    <s v="miércoles"/>
    <x v="6"/>
    <s v="2024"/>
    <x v="2"/>
    <x v="4"/>
    <x v="3"/>
    <x v="1"/>
    <x v="0"/>
    <n v="13"/>
    <n v="45284"/>
    <n v="588692"/>
    <x v="3"/>
  </r>
  <r>
    <s v="2024-09-09"/>
    <s v="lunes"/>
    <x v="1"/>
    <s v="2024"/>
    <x v="0"/>
    <x v="2"/>
    <x v="0"/>
    <x v="2"/>
    <x v="2"/>
    <n v="14"/>
    <n v="31625"/>
    <n v="442750"/>
    <x v="1"/>
  </r>
  <r>
    <s v="2024-06-05"/>
    <s v="miércoles"/>
    <x v="9"/>
    <s v="2024"/>
    <x v="2"/>
    <x v="2"/>
    <x v="1"/>
    <x v="0"/>
    <x v="1"/>
    <n v="7"/>
    <n v="41326"/>
    <n v="289282"/>
    <x v="1"/>
  </r>
  <r>
    <s v="2024-10-12"/>
    <s v="sábado"/>
    <x v="8"/>
    <s v="2024"/>
    <x v="2"/>
    <x v="0"/>
    <x v="1"/>
    <x v="3"/>
    <x v="2"/>
    <n v="10"/>
    <n v="20856"/>
    <n v="208560"/>
    <x v="3"/>
  </r>
  <r>
    <s v="2024-01-31"/>
    <s v="miércoles"/>
    <x v="11"/>
    <s v="2024"/>
    <x v="0"/>
    <x v="4"/>
    <x v="2"/>
    <x v="2"/>
    <x v="2"/>
    <n v="19"/>
    <n v="59802"/>
    <n v="1136238"/>
    <x v="3"/>
  </r>
  <r>
    <s v="2024-01-25"/>
    <s v="jueves"/>
    <x v="11"/>
    <s v="2024"/>
    <x v="1"/>
    <x v="1"/>
    <x v="3"/>
    <x v="1"/>
    <x v="0"/>
    <n v="7"/>
    <n v="44926"/>
    <n v="314482"/>
    <x v="0"/>
  </r>
  <r>
    <s v="2024-10-27"/>
    <s v="domingo"/>
    <x v="8"/>
    <s v="2024"/>
    <x v="1"/>
    <x v="3"/>
    <x v="0"/>
    <x v="0"/>
    <x v="1"/>
    <n v="11"/>
    <n v="48381"/>
    <n v="532191"/>
    <x v="0"/>
  </r>
  <r>
    <s v="2024-10-14"/>
    <s v="lunes"/>
    <x v="8"/>
    <s v="2024"/>
    <x v="0"/>
    <x v="0"/>
    <x v="3"/>
    <x v="3"/>
    <x v="1"/>
    <n v="15"/>
    <n v="43408"/>
    <n v="651120"/>
    <x v="2"/>
  </r>
  <r>
    <s v="2024-01-26"/>
    <s v="viernes"/>
    <x v="11"/>
    <s v="2024"/>
    <x v="3"/>
    <x v="0"/>
    <x v="2"/>
    <x v="4"/>
    <x v="0"/>
    <n v="4"/>
    <n v="38505"/>
    <n v="154020"/>
    <x v="1"/>
  </r>
  <r>
    <s v="2024-07-10"/>
    <s v="miércoles"/>
    <x v="0"/>
    <s v="2024"/>
    <x v="3"/>
    <x v="4"/>
    <x v="3"/>
    <x v="0"/>
    <x v="2"/>
    <n v="19"/>
    <n v="36133"/>
    <n v="686527"/>
    <x v="2"/>
  </r>
  <r>
    <s v="2024-06-25"/>
    <s v="martes"/>
    <x v="9"/>
    <s v="2024"/>
    <x v="3"/>
    <x v="4"/>
    <x v="1"/>
    <x v="2"/>
    <x v="0"/>
    <n v="1"/>
    <n v="23799"/>
    <n v="23799"/>
    <x v="0"/>
  </r>
  <r>
    <s v="2024-11-13"/>
    <s v="miércoles"/>
    <x v="5"/>
    <s v="2024"/>
    <x v="1"/>
    <x v="4"/>
    <x v="4"/>
    <x v="2"/>
    <x v="2"/>
    <n v="7"/>
    <n v="48983"/>
    <n v="342881"/>
    <x v="2"/>
  </r>
  <r>
    <s v="2024-10-27"/>
    <s v="domingo"/>
    <x v="8"/>
    <s v="2024"/>
    <x v="1"/>
    <x v="2"/>
    <x v="4"/>
    <x v="1"/>
    <x v="1"/>
    <n v="7"/>
    <n v="42585"/>
    <n v="298095"/>
    <x v="3"/>
  </r>
  <r>
    <s v="2024-06-05"/>
    <s v="miércoles"/>
    <x v="9"/>
    <s v="2024"/>
    <x v="0"/>
    <x v="3"/>
    <x v="1"/>
    <x v="3"/>
    <x v="0"/>
    <n v="5"/>
    <n v="19031"/>
    <n v="95155"/>
    <x v="1"/>
  </r>
  <r>
    <s v="2024-09-08"/>
    <s v="domingo"/>
    <x v="1"/>
    <s v="2024"/>
    <x v="4"/>
    <x v="3"/>
    <x v="4"/>
    <x v="0"/>
    <x v="0"/>
    <n v="5"/>
    <n v="23540"/>
    <n v="117700"/>
    <x v="1"/>
  </r>
  <r>
    <s v="2024-10-19"/>
    <s v="sábado"/>
    <x v="8"/>
    <s v="2024"/>
    <x v="3"/>
    <x v="0"/>
    <x v="2"/>
    <x v="3"/>
    <x v="2"/>
    <n v="16"/>
    <n v="52607"/>
    <n v="841712"/>
    <x v="2"/>
  </r>
  <r>
    <s v="2024-08-21"/>
    <s v="miércoles"/>
    <x v="2"/>
    <s v="2024"/>
    <x v="1"/>
    <x v="3"/>
    <x v="1"/>
    <x v="4"/>
    <x v="0"/>
    <n v="4"/>
    <n v="40481"/>
    <n v="161924"/>
    <x v="3"/>
  </r>
  <r>
    <s v="2024-06-07"/>
    <s v="viernes"/>
    <x v="9"/>
    <s v="2024"/>
    <x v="3"/>
    <x v="4"/>
    <x v="1"/>
    <x v="2"/>
    <x v="0"/>
    <n v="9"/>
    <n v="31131"/>
    <n v="280179"/>
    <x v="1"/>
  </r>
  <r>
    <s v="2024-07-10"/>
    <s v="miércoles"/>
    <x v="0"/>
    <s v="2024"/>
    <x v="1"/>
    <x v="3"/>
    <x v="2"/>
    <x v="1"/>
    <x v="2"/>
    <n v="2"/>
    <n v="42716"/>
    <n v="85432"/>
    <x v="1"/>
  </r>
  <r>
    <s v="2024-03-14"/>
    <s v="jueves"/>
    <x v="6"/>
    <s v="2024"/>
    <x v="4"/>
    <x v="0"/>
    <x v="2"/>
    <x v="1"/>
    <x v="2"/>
    <n v="18"/>
    <n v="28526"/>
    <n v="513468"/>
    <x v="1"/>
  </r>
  <r>
    <s v="2024-01-14"/>
    <s v="domingo"/>
    <x v="11"/>
    <s v="2024"/>
    <x v="2"/>
    <x v="1"/>
    <x v="2"/>
    <x v="0"/>
    <x v="0"/>
    <n v="19"/>
    <n v="19663"/>
    <n v="373597"/>
    <x v="2"/>
  </r>
  <r>
    <s v="2024-12-05"/>
    <s v="jueves"/>
    <x v="7"/>
    <s v="2024"/>
    <x v="4"/>
    <x v="0"/>
    <x v="1"/>
    <x v="1"/>
    <x v="0"/>
    <n v="5"/>
    <n v="23396"/>
    <n v="116980"/>
    <x v="0"/>
  </r>
  <r>
    <s v="2024-02-20"/>
    <s v="martes"/>
    <x v="10"/>
    <s v="2024"/>
    <x v="4"/>
    <x v="1"/>
    <x v="1"/>
    <x v="1"/>
    <x v="2"/>
    <n v="20"/>
    <n v="32881"/>
    <n v="657620"/>
    <x v="3"/>
  </r>
  <r>
    <s v="2024-06-15"/>
    <s v="sábado"/>
    <x v="9"/>
    <s v="2024"/>
    <x v="3"/>
    <x v="4"/>
    <x v="2"/>
    <x v="2"/>
    <x v="1"/>
    <n v="17"/>
    <n v="32256"/>
    <n v="548352"/>
    <x v="2"/>
  </r>
  <r>
    <s v="2024-06-01"/>
    <s v="sábado"/>
    <x v="9"/>
    <s v="2024"/>
    <x v="0"/>
    <x v="2"/>
    <x v="0"/>
    <x v="2"/>
    <x v="0"/>
    <n v="1"/>
    <n v="28730"/>
    <n v="28730"/>
    <x v="3"/>
  </r>
  <r>
    <s v="2024-07-02"/>
    <s v="martes"/>
    <x v="0"/>
    <s v="2024"/>
    <x v="1"/>
    <x v="2"/>
    <x v="1"/>
    <x v="4"/>
    <x v="0"/>
    <n v="2"/>
    <n v="37385"/>
    <n v="74770"/>
    <x v="2"/>
  </r>
  <r>
    <s v="2024-11-18"/>
    <s v="lunes"/>
    <x v="5"/>
    <s v="2024"/>
    <x v="3"/>
    <x v="4"/>
    <x v="3"/>
    <x v="4"/>
    <x v="0"/>
    <n v="17"/>
    <n v="39757"/>
    <n v="675869"/>
    <x v="1"/>
  </r>
  <r>
    <s v="2024-06-05"/>
    <s v="miércoles"/>
    <x v="9"/>
    <s v="2024"/>
    <x v="2"/>
    <x v="4"/>
    <x v="4"/>
    <x v="0"/>
    <x v="0"/>
    <n v="11"/>
    <n v="31280"/>
    <n v="344080"/>
    <x v="3"/>
  </r>
  <r>
    <s v="2024-03-12"/>
    <s v="martes"/>
    <x v="6"/>
    <s v="2024"/>
    <x v="1"/>
    <x v="1"/>
    <x v="3"/>
    <x v="4"/>
    <x v="2"/>
    <n v="14"/>
    <n v="32103"/>
    <n v="449442"/>
    <x v="3"/>
  </r>
  <r>
    <s v="2024-07-25"/>
    <s v="jueves"/>
    <x v="0"/>
    <s v="2024"/>
    <x v="3"/>
    <x v="2"/>
    <x v="1"/>
    <x v="1"/>
    <x v="1"/>
    <n v="19"/>
    <n v="37525"/>
    <n v="712975"/>
    <x v="3"/>
  </r>
  <r>
    <s v="2024-07-22"/>
    <s v="lunes"/>
    <x v="0"/>
    <s v="2024"/>
    <x v="3"/>
    <x v="0"/>
    <x v="0"/>
    <x v="3"/>
    <x v="2"/>
    <n v="15"/>
    <n v="54716"/>
    <n v="820740"/>
    <x v="3"/>
  </r>
  <r>
    <s v="2024-11-07"/>
    <s v="jueves"/>
    <x v="5"/>
    <s v="2024"/>
    <x v="4"/>
    <x v="1"/>
    <x v="0"/>
    <x v="2"/>
    <x v="1"/>
    <n v="12"/>
    <n v="26869"/>
    <n v="322428"/>
    <x v="2"/>
  </r>
  <r>
    <s v="2024-08-31"/>
    <s v="sábado"/>
    <x v="2"/>
    <s v="2024"/>
    <x v="2"/>
    <x v="4"/>
    <x v="3"/>
    <x v="4"/>
    <x v="2"/>
    <n v="13"/>
    <n v="24607"/>
    <n v="319891"/>
    <x v="2"/>
  </r>
  <r>
    <s v="2024-12-12"/>
    <s v="jueves"/>
    <x v="7"/>
    <s v="2024"/>
    <x v="1"/>
    <x v="1"/>
    <x v="1"/>
    <x v="3"/>
    <x v="2"/>
    <n v="14"/>
    <n v="19702"/>
    <n v="275828"/>
    <x v="3"/>
  </r>
  <r>
    <s v="2024-03-18"/>
    <s v="lunes"/>
    <x v="6"/>
    <s v="2024"/>
    <x v="3"/>
    <x v="4"/>
    <x v="0"/>
    <x v="2"/>
    <x v="0"/>
    <n v="8"/>
    <n v="41154"/>
    <n v="329232"/>
    <x v="3"/>
  </r>
  <r>
    <s v="2024-08-01"/>
    <s v="jueves"/>
    <x v="2"/>
    <s v="2024"/>
    <x v="3"/>
    <x v="3"/>
    <x v="2"/>
    <x v="0"/>
    <x v="1"/>
    <n v="14"/>
    <n v="58904"/>
    <n v="824656"/>
    <x v="0"/>
  </r>
  <r>
    <s v="2024-03-08"/>
    <s v="viernes"/>
    <x v="6"/>
    <s v="2024"/>
    <x v="0"/>
    <x v="1"/>
    <x v="3"/>
    <x v="1"/>
    <x v="1"/>
    <n v="12"/>
    <n v="45132"/>
    <n v="541584"/>
    <x v="3"/>
  </r>
  <r>
    <s v="2024-12-24"/>
    <s v="martes"/>
    <x v="7"/>
    <s v="2024"/>
    <x v="3"/>
    <x v="2"/>
    <x v="0"/>
    <x v="2"/>
    <x v="2"/>
    <n v="10"/>
    <n v="23515"/>
    <n v="235150"/>
    <x v="0"/>
  </r>
  <r>
    <s v="2024-04-04"/>
    <s v="jueves"/>
    <x v="3"/>
    <s v="2024"/>
    <x v="2"/>
    <x v="0"/>
    <x v="4"/>
    <x v="0"/>
    <x v="2"/>
    <n v="19"/>
    <n v="23225"/>
    <n v="441275"/>
    <x v="3"/>
  </r>
  <r>
    <s v="2024-03-18"/>
    <s v="lunes"/>
    <x v="6"/>
    <s v="2024"/>
    <x v="3"/>
    <x v="1"/>
    <x v="3"/>
    <x v="1"/>
    <x v="1"/>
    <n v="10"/>
    <n v="42951"/>
    <n v="429510"/>
    <x v="2"/>
  </r>
  <r>
    <s v="2024-04-18"/>
    <s v="jueves"/>
    <x v="3"/>
    <s v="2024"/>
    <x v="4"/>
    <x v="0"/>
    <x v="4"/>
    <x v="4"/>
    <x v="2"/>
    <n v="8"/>
    <n v="55113"/>
    <n v="440904"/>
    <x v="0"/>
  </r>
  <r>
    <s v="2024-03-27"/>
    <s v="miércoles"/>
    <x v="6"/>
    <s v="2024"/>
    <x v="1"/>
    <x v="4"/>
    <x v="4"/>
    <x v="1"/>
    <x v="2"/>
    <n v="15"/>
    <n v="45433"/>
    <n v="681495"/>
    <x v="0"/>
  </r>
  <r>
    <s v="2024-08-31"/>
    <s v="sábado"/>
    <x v="2"/>
    <s v="2024"/>
    <x v="1"/>
    <x v="2"/>
    <x v="2"/>
    <x v="2"/>
    <x v="0"/>
    <n v="10"/>
    <n v="16670"/>
    <n v="166700"/>
    <x v="0"/>
  </r>
  <r>
    <s v="2024-04-08"/>
    <s v="lunes"/>
    <x v="3"/>
    <s v="2024"/>
    <x v="1"/>
    <x v="0"/>
    <x v="1"/>
    <x v="1"/>
    <x v="0"/>
    <n v="12"/>
    <n v="47696"/>
    <n v="572352"/>
    <x v="2"/>
  </r>
  <r>
    <s v="2024-10-07"/>
    <s v="lunes"/>
    <x v="8"/>
    <s v="2024"/>
    <x v="0"/>
    <x v="0"/>
    <x v="2"/>
    <x v="4"/>
    <x v="1"/>
    <n v="8"/>
    <n v="33804"/>
    <n v="270432"/>
    <x v="3"/>
  </r>
  <r>
    <s v="2024-06-16"/>
    <s v="domingo"/>
    <x v="9"/>
    <s v="2024"/>
    <x v="2"/>
    <x v="1"/>
    <x v="0"/>
    <x v="3"/>
    <x v="1"/>
    <n v="10"/>
    <n v="26342"/>
    <n v="263420"/>
    <x v="1"/>
  </r>
  <r>
    <s v="2024-04-25"/>
    <s v="jueves"/>
    <x v="3"/>
    <s v="2024"/>
    <x v="3"/>
    <x v="2"/>
    <x v="3"/>
    <x v="2"/>
    <x v="0"/>
    <n v="19"/>
    <n v="19264"/>
    <n v="36601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DB8E2-9847-41DC-AEFF-A15B16C98CC2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">
  <location ref="B34:D40" firstHeaderRow="0" firstDataRow="1" firstDataCol="1"/>
  <pivotFields count="13"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showAll="0"/>
    <pivotField dataField="1" showAll="0"/>
    <pivotField showAll="0"/>
  </pivotFields>
  <rowFields count="1">
    <field x="5"/>
  </rowFields>
  <rowItems count="6">
    <i>
      <x v="2"/>
    </i>
    <i>
      <x v="3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nta total" fld="11" baseField="5" baseItem="2" numFmtId="164"/>
    <dataField name="Unidades totales" fld="9" baseField="5" baseItem="2" numFmtId="3"/>
  </dataFields>
  <formats count="2">
    <format dxfId="149">
      <pivotArea outline="0" collapsedLevelsAreSubtotals="1" fieldPosition="0"/>
    </format>
    <format dxfId="1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91C45-97B0-4FBE-9A57-FEC241F2BF39}" name="Top 3 menos vendido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">
  <location ref="E51:F55" firstHeaderRow="1" firstDataRow="1" firstDataCol="1"/>
  <pivotFields count="13"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axis="axisRow" showAll="0" measureFilter="1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4"/>
    </i>
    <i t="grand">
      <x/>
    </i>
  </rowItems>
  <colItems count="1">
    <i/>
  </colItems>
  <dataFields count="1">
    <dataField name="Venta total" fld="11" baseField="5" baseItem="0" numFmtId="164"/>
  </dataFields>
  <formats count="1">
    <format dxfId="15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2062B-13C9-4B8F-9FAE-3DA2C8E3AE5D}" name="top 3 mas vendido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arca">
  <location ref="B51:C55" firstHeaderRow="1" firstDataRow="1" firstDataCol="1"/>
  <pivotFields count="13"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axis="axisRow" showAll="0" measureFilter="1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4"/>
        <item x="0"/>
        <item x="3"/>
        <item x="2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4">
    <i>
      <x v="2"/>
    </i>
    <i>
      <x v="3"/>
    </i>
    <i>
      <x/>
    </i>
    <i t="grand">
      <x/>
    </i>
  </rowItems>
  <colItems count="1">
    <i/>
  </colItems>
  <dataFields count="1">
    <dataField name="Venta total" fld="11" baseField="5" baseItem="2" numFmtId="164"/>
  </dataFields>
  <formats count="1">
    <format dxfId="15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96D41-5450-49D9-A6B9-D7DFBA896BE5}" name="Ventas por marca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I13:J19" firstHeaderRow="1" firstDataRow="1" firstDataCol="1"/>
  <pivotFields count="13">
    <pivotField showAll="0"/>
    <pivotField showAll="0"/>
    <pivotField showAll="0">
      <items count="13">
        <item x="11"/>
        <item x="10"/>
        <item x="6"/>
        <item x="3"/>
        <item x="4"/>
        <item x="9"/>
        <item x="0"/>
        <item x="2"/>
        <item x="1"/>
        <item x="8"/>
        <item x="5"/>
        <item x="7"/>
        <item t="default"/>
      </items>
    </pivotField>
    <pivotField showAll="0"/>
    <pivotField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a de Ingreso_Total" fld="11" baseField="0" baseItem="0" numFmtId="164"/>
  </dataFields>
  <formats count="1">
    <format dxfId="154">
      <pivotArea outline="0" collapsedLevelsAreSubtotals="1" fieldPosition="0"/>
    </format>
  </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245B8-A729-4428-8974-240E3860DA19}" name="Unidades totales vendida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1"/>
        <item x="3"/>
        <item x="0"/>
        <item x="2"/>
        <item t="default"/>
      </items>
    </pivotField>
  </pivotFields>
  <rowItems count="1">
    <i/>
  </rowItems>
  <colItems count="1">
    <i/>
  </colItems>
  <dataFields count="1">
    <dataField name="Suma de Unidades_Vendidas" fld="9" baseField="0" baseItem="0" numFmtId="3"/>
  </dataFields>
  <formats count="1">
    <format dxfId="1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07841-DA4D-4C3F-AA32-C4816E632F91}" name="Unidades vendidas por marca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I2:J8" firstHeaderRow="1" firstDataRow="1" firstDataCol="1"/>
  <pivotFields count="13">
    <pivotField showAll="0"/>
    <pivotField showAll="0"/>
    <pivotField showAll="0">
      <items count="13">
        <item x="11"/>
        <item x="10"/>
        <item x="6"/>
        <item x="3"/>
        <item x="4"/>
        <item x="9"/>
        <item x="0"/>
        <item x="2"/>
        <item x="1"/>
        <item x="8"/>
        <item x="5"/>
        <item x="7"/>
        <item t="default"/>
      </items>
    </pivotField>
    <pivotField showAll="0"/>
    <pivotField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>
      <items count="5">
        <item x="1"/>
        <item x="3"/>
        <item x="0"/>
        <item x="2"/>
        <item t="default"/>
      </items>
    </pivotField>
  </pivotFields>
  <rowFields count="1">
    <field x="5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Suma de Unidades_Vendidas" fld="9" baseField="0" baseItem="0" numFmtId="3"/>
  </dataFields>
  <formats count="1">
    <format dxfId="156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A0DB-01B2-4ED8-A067-4F82E2E3F78C}" name="Proveedor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11:P16" firstHeaderRow="1" firstDataRow="1" firstDataCol="1"/>
  <pivotFields count="13"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axis="axisRow" showAll="0">
      <items count="5">
        <item x="1"/>
        <item x="3"/>
        <item x="0"/>
        <item x="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Ingreso_Total" fld="11" baseField="0" baseItem="0" numFmtId="164"/>
  </dataFields>
  <formats count="1">
    <format dxfId="1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46111-8C7D-428F-B701-B5EA945A355A}" name="Share de ventas por modelo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24:P30" firstHeaderRow="1" firstDataRow="1" firstDataCol="1"/>
  <pivotFields count="13"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5">
        <item x="1"/>
        <item x="3"/>
        <item x="0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Ingreso_Total" fld="11" baseField="0" baseItem="0" numFmtId="164"/>
  </dataFields>
  <formats count="1">
    <format dxfId="1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26DB8-649A-485C-A524-37AFE76AF221}" name="Ventas por paí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3:G19" firstHeaderRow="1" firstDataRow="1" firstDataCol="1"/>
  <pivotFields count="13">
    <pivotField showAll="0"/>
    <pivotField showAll="0"/>
    <pivotField showAll="0">
      <items count="13">
        <item x="11"/>
        <item x="10"/>
        <item x="6"/>
        <item x="3"/>
        <item x="4"/>
        <item x="9"/>
        <item x="0"/>
        <item x="2"/>
        <item x="1"/>
        <item x="8"/>
        <item x="5"/>
        <item x="7"/>
        <item t="default"/>
      </items>
    </pivotField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Ingreso_Total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BE62F-3919-4B12-A57D-A6836F939052}" name="Share de ventas por tipo de vehiculo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24:M30" firstHeaderRow="1" firstDataRow="1" firstDataCol="1"/>
  <pivotFields count="13"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5">
        <item x="1"/>
        <item x="3"/>
        <item x="0"/>
        <item x="2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Ingreso_Total" fld="11" baseField="0" baseItem="0" numFmtId="164"/>
  </dataFields>
  <formats count="1">
    <format dxfId="1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C8161-0110-4FB6-BC8A-286F95FF6227}" name="Relación Ventas unidades vendida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3:D26" firstHeaderRow="0" firstDataRow="1" firstDataCol="1"/>
  <pivotFields count="13">
    <pivotField showAll="0"/>
    <pivotField showAll="0"/>
    <pivotField axis="axisRow" showAll="0">
      <items count="13">
        <item x="11"/>
        <item x="10"/>
        <item x="6"/>
        <item x="3"/>
        <item x="4"/>
        <item x="9"/>
        <item x="0"/>
        <item x="2"/>
        <item x="1"/>
        <item x="8"/>
        <item x="5"/>
        <item x="7"/>
        <item t="default"/>
      </items>
    </pivotField>
    <pivotField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  <pivotField showAll="0"/>
    <pivotField dataField="1" showAll="0"/>
    <pivotField showAll="0">
      <items count="5">
        <item x="1"/>
        <item x="3"/>
        <item x="0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Unidades_Vendidas" fld="9" baseField="2" baseItem="0"/>
    <dataField name="Total de Ingresos" fld="11" baseField="2" baseItem="0"/>
  </dataFields>
  <formats count="2">
    <format dxfId="161">
      <pivotArea grandRow="1" outline="0" collapsedLevelsAreSubtotals="1" fieldPosition="0"/>
    </format>
    <format dxfId="160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6E9AA-385B-4520-A9B8-CE4DB009D3AD}" name="Marca más vendida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G8" firstHeaderRow="1" firstDataRow="1" firstDataCol="1"/>
  <pivotFields count="13"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a de Ingreso_Total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A8E25-03B1-4E0C-852E-0DFFE587A0A9}" name="Share de canal de venta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4:J28" firstHeaderRow="1" firstDataRow="1" firstDataCol="1"/>
  <pivotFields count="13">
    <pivotField showAll="0"/>
    <pivotField showAll="0"/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5">
        <item x="1"/>
        <item x="3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ngreso_Total" fld="11" baseField="0" baseItem="0" numFmtId="164"/>
  </dataFields>
  <formats count="1">
    <format dxfId="1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87B03-5E65-4D96-B194-071DA1867F10}" name="Ventas totale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:D3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a de Ingreso_Total" fld="11" baseField="0" baseItem="0" numFmtId="164"/>
  </dataFields>
  <formats count="1">
    <format dxfId="1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B4EDB381-68A7-4EC6-B4D6-29E694AD9500}" sourceName="Vendedor">
  <pivotTables>
    <pivotTable tabId="4" name="Proveedor"/>
    <pivotTable tabId="4" name="Relación Ventas unidades vendidas"/>
    <pivotTable tabId="4" name="Share de canal de ventas"/>
    <pivotTable tabId="4" name="Share de ventas por modelo"/>
    <pivotTable tabId="4" name="Share de ventas por tipo de vehiculo"/>
    <pivotTable tabId="4" name="Unidades totales vendidas"/>
    <pivotTable tabId="4" name="Unidades vendidas por marca"/>
  </pivotTables>
  <data>
    <tabular pivotCacheId="746365950">
      <items count="4">
        <i x="1" s="1"/>
        <i x="3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6187E765-F84E-43F9-8C7E-B895E8BB59A7}" sourceName="Mes">
  <pivotTables>
    <pivotTable tabId="4" name="Relación Ventas unidades vendidas"/>
    <pivotTable tabId="4" name="Unidades vendidas por marca"/>
    <pivotTable tabId="4" name="Ventas por marca"/>
    <pivotTable tabId="4" name="Ventas por país"/>
  </pivotTables>
  <data>
    <tabular pivotCacheId="746365950">
      <items count="12">
        <i x="11" s="1"/>
        <i x="10" s="1"/>
        <i x="6" s="1"/>
        <i x="3" s="1"/>
        <i x="4" s="1"/>
        <i x="9" s="1"/>
        <i x="0" s="1"/>
        <i x="2" s="1"/>
        <i x="1" s="1"/>
        <i x="8" s="1"/>
        <i x="5" s="1"/>
        <i x="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" xr10:uid="{CBA88129-A144-4333-BCEA-1B0148C423B8}" sourceName="Marca">
  <pivotTables>
    <pivotTable tabId="4" name="Marca más vendida"/>
    <pivotTable tabId="4" name="Relación Ventas unidades vendidas"/>
    <pivotTable tabId="4" name="Share de canal de ventas"/>
    <pivotTable tabId="4" name="Share de ventas por modelo"/>
    <pivotTable tabId="4" name="Share de ventas por tipo de vehiculo"/>
    <pivotTable tabId="4" name="Ventas por país"/>
  </pivotTables>
  <data>
    <tabular pivotCacheId="746365950">
      <items count="5">
        <i x="3" s="1"/>
        <i x="2" s="1"/>
        <i x="0" s="1"/>
        <i x="1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_Venta" xr10:uid="{B0B84480-2B40-406D-9740-BD52CB7AA89D}" sourceName="Canal_Venta">
  <pivotTables>
    <pivotTable tabId="4" name="Marca más vendida"/>
    <pivotTable tabId="4" name="Relación Ventas unidades vendidas"/>
    <pivotTable tabId="4" name="Unidades vendidas por marca"/>
    <pivotTable tabId="4" name="Ventas por marca"/>
    <pivotTable tabId="4" name="Ventas por país"/>
  </pivotTables>
  <data>
    <tabular pivotCacheId="74636595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57B6AABB-BE8C-46EA-9370-60035A6DA4B4}" cache="SegmentaciónDeDatos_Vendedor" caption="Vendedor" columnCount="2" style="SlicerStyleDark1" rowHeight="241300"/>
  <slicer name="Mes" xr10:uid="{23932169-C8C4-47DD-820F-A3E347516E8D}" cache="SegmentaciónDeDatos_Mes" caption="Mes" columnCount="3" rowHeight="241300"/>
  <slicer name="Marca" xr10:uid="{0DD2C3E1-552F-4424-86B7-F94D2DBD6E17}" cache="SegmentaciónDeDatos_Marca" caption="Marca" columnCount="2" rowHeight="241300"/>
  <slicer name="Canal_Venta" xr10:uid="{67752654-A6F1-4007-8257-459C841DBB7B}" cache="SegmentaciónDeDatos_Canal_Venta" caption="Canal_Vent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BBB86-5970-4697-9261-3088349E3F1E}" name="Tabla2" displayName="Tabla2" ref="A1:J2001" totalsRowShown="0">
  <autoFilter ref="A1:J2001" xr:uid="{DFCBBB86-5970-4697-9261-3088349E3F1E}"/>
  <tableColumns count="10">
    <tableColumn id="1" xr3:uid="{E631353F-5AB2-43B8-9AD9-862A1630205D}" name="Fecha"/>
    <tableColumn id="2" xr3:uid="{9BC3573D-B1AC-484C-92ED-EF0A185E1D2D}" name="País"/>
    <tableColumn id="3" xr3:uid="{3F5DFB9D-4C32-4B94-8C71-2BB361E39C9F}" name="Marca"/>
    <tableColumn id="4" xr3:uid="{16BC9E21-39ED-4EA2-ACFA-95AAFCA9C115}" name="Modelo"/>
    <tableColumn id="5" xr3:uid="{3982285D-9F74-4EB1-B66D-2C1018F24182}" name="Tipo_Vehículo"/>
    <tableColumn id="6" xr3:uid="{41F39E32-D390-4047-A85D-B303069ABDFE}" name="Canal_Venta"/>
    <tableColumn id="7" xr3:uid="{A5376F17-3C5C-4515-818B-6EE67AC6C3D1}" name="Unidades_Vendidas"/>
    <tableColumn id="8" xr3:uid="{6DD27FBC-5EC3-4EA4-9227-B726456A0EC5}" name="Precio_Unitario"/>
    <tableColumn id="9" xr3:uid="{D887809C-49D0-40E7-9C08-8BA84E5D2CA1}" name="Ingreso_Total"/>
    <tableColumn id="10" xr3:uid="{B9C3E260-7670-44ED-98A1-4F1B1D43EDF6}" name="Vended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19A92E-BA79-443D-8332-EEED561442AF}" name="Tabla24" displayName="Tabla24" ref="A1:M2001" totalsRowShown="0">
  <autoFilter ref="A1:M2001" xr:uid="{DFCBBB86-5970-4697-9261-3088349E3F1E}"/>
  <tableColumns count="13">
    <tableColumn id="1" xr3:uid="{84F8C7EB-EA48-490F-8475-C5085E7C05B7}" name="Fecha"/>
    <tableColumn id="12" xr3:uid="{DB979BA8-4D1A-4479-BC08-3A7BF15CAB36}" name="Día" dataDxfId="166">
      <calculatedColumnFormula>TEXT(Tabla24[[#This Row],[Fecha]],"dddd")</calculatedColumnFormula>
    </tableColumn>
    <tableColumn id="11" xr3:uid="{19ACA583-F4F8-4A28-9772-016E956A99B9}" name="Mes" dataDxfId="165"/>
    <tableColumn id="14" xr3:uid="{9643CF12-144A-4F8F-B229-02EA8E0EA60B}" name="Año" dataDxfId="164">
      <calculatedColumnFormula>TEXT(Tabla24[[#This Row],[Fecha]],"aaaa")</calculatedColumnFormula>
    </tableColumn>
    <tableColumn id="2" xr3:uid="{435E98BC-7D04-45A7-AFFB-2BEF564685C9}" name="País"/>
    <tableColumn id="3" xr3:uid="{CC54A1A3-1293-4F43-9870-7BD57E22EFA2}" name="Marca"/>
    <tableColumn id="4" xr3:uid="{60B9455D-1635-40B6-8BCF-03F81BE3FD0C}" name="Modelo"/>
    <tableColumn id="5" xr3:uid="{6DE83A9B-4BD9-48F7-A4BB-DBF256F4A9F4}" name="Tipo_Vehículo"/>
    <tableColumn id="6" xr3:uid="{E7271F5C-0ED7-4B5A-B7D3-9601C6E1B54E}" name="Canal_Venta"/>
    <tableColumn id="7" xr3:uid="{C846B21C-87CE-4750-98C0-2562B18F77AD}" name="Unidades_Vendidas"/>
    <tableColumn id="8" xr3:uid="{2224997C-94CC-4180-8CCE-BA8DD9595DE5}" name="Precio_Unitario"/>
    <tableColumn id="9" xr3:uid="{CA61D886-EFAD-4B61-A002-56B8A5B6A49F}" name="Ingreso_Total">
      <calculatedColumnFormula>Tabla24[[#This Row],[Precio_Unitario]]*Tabla24[[#This Row],[Unidades_Vendidas]]</calculatedColumnFormula>
    </tableColumn>
    <tableColumn id="10" xr3:uid="{DC97EF31-F8A5-469A-8684-5CD6A5998117}" name="Vendedo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B5516-6530-43C6-983A-D02C25766A0E}" name="Tabla1" displayName="Tabla1" ref="B57:C61" totalsRowShown="0">
  <autoFilter ref="B57:C61" xr:uid="{299B5516-6530-43C6-983A-D02C25766A0E}"/>
  <tableColumns count="2">
    <tableColumn id="1" xr3:uid="{05FC8149-F5C8-4CE9-BD9E-79EFCBCDF9DF}" name="Marca"/>
    <tableColumn id="2" xr3:uid="{B4B7153C-8B61-491A-B759-BA37C83B3032}" name="Venta total" dataDxfId="15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F468C5-C661-4A6E-833F-B934D6FA31D7}" name="Tabla4" displayName="Tabla4" ref="E57:F61" totalsRowShown="0">
  <autoFilter ref="E57:F61" xr:uid="{20F468C5-C661-4A6E-833F-B934D6FA31D7}"/>
  <tableColumns count="2">
    <tableColumn id="1" xr3:uid="{B663EBB8-CC05-4357-9575-1ED5E68F8C64}" name="Marca"/>
    <tableColumn id="2" xr3:uid="{22154724-F031-4C06-BEBF-A6F454F910DB}" name="Venta total" dataDxfId="15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CA4E23-910F-4A92-BD55-5F752FAE23C8}" name="Tabla6" displayName="Tabla6" ref="B42:D48" totalsRowShown="0">
  <autoFilter ref="B42:D48" xr:uid="{16CA4E23-910F-4A92-BD55-5F752FAE23C8}"/>
  <tableColumns count="3">
    <tableColumn id="1" xr3:uid="{F605E9CD-1CE1-4562-9B91-C6F931C2CCD9}" name="Marca"/>
    <tableColumn id="2" xr3:uid="{0DA76CBF-0538-473C-9F46-30BBCE07377A}" name="Venta total"/>
    <tableColumn id="3" xr3:uid="{C838530F-30F2-409F-92B5-456F6100C98D}" name="Unidades tot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4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3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workbookViewId="0">
      <selection activeCell="C13" sqref="C13"/>
    </sheetView>
  </sheetViews>
  <sheetFormatPr baseColWidth="10" defaultColWidth="9.140625" defaultRowHeight="15" x14ac:dyDescent="0.25"/>
  <cols>
    <col min="1" max="1" width="10.42578125" bestFit="1" customWidth="1"/>
    <col min="2" max="2" width="9.42578125" bestFit="1" customWidth="1"/>
    <col min="3" max="3" width="11.7109375" bestFit="1" customWidth="1"/>
    <col min="4" max="4" width="11.5703125" bestFit="1" customWidth="1"/>
    <col min="5" max="5" width="15.85546875" customWidth="1"/>
    <col min="6" max="6" width="14.28515625" customWidth="1"/>
    <col min="7" max="7" width="20.85546875" customWidth="1"/>
    <col min="8" max="8" width="17" customWidth="1"/>
    <col min="9" max="9" width="15.140625" customWidth="1"/>
    <col min="10" max="10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</v>
      </c>
      <c r="H2">
        <v>25219</v>
      </c>
      <c r="I2">
        <v>100876</v>
      </c>
      <c r="J2" t="s">
        <v>16</v>
      </c>
    </row>
    <row r="3" spans="1:10" x14ac:dyDescent="0.25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15</v>
      </c>
      <c r="G3">
        <v>13</v>
      </c>
      <c r="H3">
        <v>57839</v>
      </c>
      <c r="I3">
        <v>751907</v>
      </c>
      <c r="J3" t="s">
        <v>20</v>
      </c>
    </row>
    <row r="4" spans="1:10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7</v>
      </c>
      <c r="H4">
        <v>44293</v>
      </c>
      <c r="I4">
        <v>310051</v>
      </c>
      <c r="J4" t="s">
        <v>27</v>
      </c>
    </row>
    <row r="5" spans="1:10" x14ac:dyDescent="0.25">
      <c r="A5" t="s">
        <v>28</v>
      </c>
      <c r="B5" t="s">
        <v>11</v>
      </c>
      <c r="C5" t="s">
        <v>29</v>
      </c>
      <c r="D5" t="s">
        <v>13</v>
      </c>
      <c r="E5" t="s">
        <v>30</v>
      </c>
      <c r="F5" t="s">
        <v>26</v>
      </c>
      <c r="G5">
        <v>1</v>
      </c>
      <c r="H5">
        <v>41792</v>
      </c>
      <c r="I5">
        <v>41792</v>
      </c>
      <c r="J5" t="s">
        <v>27</v>
      </c>
    </row>
    <row r="6" spans="1:10" x14ac:dyDescent="0.25">
      <c r="A6" t="s">
        <v>31</v>
      </c>
      <c r="B6" t="s">
        <v>11</v>
      </c>
      <c r="C6" t="s">
        <v>23</v>
      </c>
      <c r="D6" t="s">
        <v>24</v>
      </c>
      <c r="E6" t="s">
        <v>25</v>
      </c>
      <c r="F6" t="s">
        <v>26</v>
      </c>
      <c r="G6">
        <v>15</v>
      </c>
      <c r="H6">
        <v>52774</v>
      </c>
      <c r="I6">
        <v>791610</v>
      </c>
      <c r="J6" t="s">
        <v>16</v>
      </c>
    </row>
    <row r="7" spans="1:10" x14ac:dyDescent="0.25">
      <c r="A7" t="s">
        <v>32</v>
      </c>
      <c r="B7" t="s">
        <v>33</v>
      </c>
      <c r="C7" t="s">
        <v>34</v>
      </c>
      <c r="D7" t="s">
        <v>24</v>
      </c>
      <c r="E7" t="s">
        <v>35</v>
      </c>
      <c r="F7" t="s">
        <v>26</v>
      </c>
      <c r="G7">
        <v>12</v>
      </c>
      <c r="H7">
        <v>22482</v>
      </c>
      <c r="I7">
        <v>269784</v>
      </c>
      <c r="J7" t="s">
        <v>36</v>
      </c>
    </row>
    <row r="8" spans="1:10" x14ac:dyDescent="0.25">
      <c r="A8" t="s">
        <v>37</v>
      </c>
      <c r="B8" t="s">
        <v>22</v>
      </c>
      <c r="C8" t="s">
        <v>38</v>
      </c>
      <c r="D8" t="s">
        <v>39</v>
      </c>
      <c r="E8" t="s">
        <v>35</v>
      </c>
      <c r="F8" t="s">
        <v>40</v>
      </c>
      <c r="G8">
        <v>4</v>
      </c>
      <c r="H8">
        <v>53850</v>
      </c>
      <c r="I8">
        <v>215400</v>
      </c>
      <c r="J8" t="s">
        <v>36</v>
      </c>
    </row>
    <row r="9" spans="1:10" x14ac:dyDescent="0.25">
      <c r="A9" t="s">
        <v>41</v>
      </c>
      <c r="B9" t="s">
        <v>42</v>
      </c>
      <c r="C9" t="s">
        <v>23</v>
      </c>
      <c r="D9" t="s">
        <v>24</v>
      </c>
      <c r="E9" t="s">
        <v>35</v>
      </c>
      <c r="F9" t="s">
        <v>15</v>
      </c>
      <c r="G9">
        <v>11</v>
      </c>
      <c r="H9">
        <v>16085</v>
      </c>
      <c r="I9">
        <v>176935</v>
      </c>
      <c r="J9" t="s">
        <v>36</v>
      </c>
    </row>
    <row r="10" spans="1:10" x14ac:dyDescent="0.25">
      <c r="A10" t="s">
        <v>43</v>
      </c>
      <c r="B10" t="s">
        <v>33</v>
      </c>
      <c r="C10" t="s">
        <v>29</v>
      </c>
      <c r="D10" t="s">
        <v>44</v>
      </c>
      <c r="E10" t="s">
        <v>19</v>
      </c>
      <c r="F10" t="s">
        <v>26</v>
      </c>
      <c r="G10">
        <v>8</v>
      </c>
      <c r="H10">
        <v>17272</v>
      </c>
      <c r="I10">
        <v>138176</v>
      </c>
      <c r="J10" t="s">
        <v>16</v>
      </c>
    </row>
    <row r="11" spans="1:10" x14ac:dyDescent="0.25">
      <c r="A11" t="s">
        <v>10</v>
      </c>
      <c r="B11" t="s">
        <v>11</v>
      </c>
      <c r="C11" t="s">
        <v>29</v>
      </c>
      <c r="D11" t="s">
        <v>13</v>
      </c>
      <c r="E11" t="s">
        <v>25</v>
      </c>
      <c r="F11" t="s">
        <v>15</v>
      </c>
      <c r="G11">
        <v>18</v>
      </c>
      <c r="H11">
        <v>48746</v>
      </c>
      <c r="I11">
        <v>877428</v>
      </c>
      <c r="J11" t="s">
        <v>16</v>
      </c>
    </row>
    <row r="12" spans="1:10" x14ac:dyDescent="0.25">
      <c r="A12" t="s">
        <v>45</v>
      </c>
      <c r="B12" t="s">
        <v>22</v>
      </c>
      <c r="C12" t="s">
        <v>23</v>
      </c>
      <c r="D12" t="s">
        <v>24</v>
      </c>
      <c r="E12" t="s">
        <v>30</v>
      </c>
      <c r="F12" t="s">
        <v>15</v>
      </c>
      <c r="G12">
        <v>10</v>
      </c>
      <c r="H12">
        <v>40118</v>
      </c>
      <c r="I12">
        <v>401180</v>
      </c>
      <c r="J12" t="s">
        <v>27</v>
      </c>
    </row>
    <row r="13" spans="1:10" x14ac:dyDescent="0.25">
      <c r="A13" t="s">
        <v>46</v>
      </c>
      <c r="B13" t="s">
        <v>11</v>
      </c>
      <c r="C13" t="s">
        <v>34</v>
      </c>
      <c r="D13" t="s">
        <v>13</v>
      </c>
      <c r="E13" t="s">
        <v>19</v>
      </c>
      <c r="F13" t="s">
        <v>15</v>
      </c>
      <c r="G13">
        <v>6</v>
      </c>
      <c r="H13">
        <v>36009</v>
      </c>
      <c r="I13">
        <v>216054</v>
      </c>
      <c r="J13" t="s">
        <v>27</v>
      </c>
    </row>
    <row r="14" spans="1:10" x14ac:dyDescent="0.25">
      <c r="A14" t="s">
        <v>47</v>
      </c>
      <c r="B14" t="s">
        <v>33</v>
      </c>
      <c r="C14" t="s">
        <v>23</v>
      </c>
      <c r="D14" t="s">
        <v>48</v>
      </c>
      <c r="E14" t="s">
        <v>14</v>
      </c>
      <c r="F14" t="s">
        <v>15</v>
      </c>
      <c r="G14">
        <v>6</v>
      </c>
      <c r="H14">
        <v>54461</v>
      </c>
      <c r="I14">
        <v>326766</v>
      </c>
      <c r="J14" t="s">
        <v>27</v>
      </c>
    </row>
    <row r="15" spans="1:10" x14ac:dyDescent="0.25">
      <c r="A15" t="s">
        <v>49</v>
      </c>
      <c r="B15" t="s">
        <v>33</v>
      </c>
      <c r="C15" t="s">
        <v>29</v>
      </c>
      <c r="D15" t="s">
        <v>44</v>
      </c>
      <c r="E15" t="s">
        <v>35</v>
      </c>
      <c r="F15" t="s">
        <v>15</v>
      </c>
      <c r="G15">
        <v>19</v>
      </c>
      <c r="H15">
        <v>24275</v>
      </c>
      <c r="I15">
        <v>461225</v>
      </c>
      <c r="J15" t="s">
        <v>16</v>
      </c>
    </row>
    <row r="16" spans="1:10" x14ac:dyDescent="0.25">
      <c r="A16" t="s">
        <v>50</v>
      </c>
      <c r="B16" t="s">
        <v>18</v>
      </c>
      <c r="C16" t="s">
        <v>34</v>
      </c>
      <c r="D16" t="s">
        <v>24</v>
      </c>
      <c r="E16" t="s">
        <v>19</v>
      </c>
      <c r="F16" t="s">
        <v>15</v>
      </c>
      <c r="G16">
        <v>14</v>
      </c>
      <c r="H16">
        <v>54738</v>
      </c>
      <c r="I16">
        <v>766332</v>
      </c>
      <c r="J16" t="s">
        <v>36</v>
      </c>
    </row>
    <row r="17" spans="1:10" x14ac:dyDescent="0.25">
      <c r="A17" t="s">
        <v>51</v>
      </c>
      <c r="B17" t="s">
        <v>11</v>
      </c>
      <c r="C17" t="s">
        <v>29</v>
      </c>
      <c r="D17" t="s">
        <v>13</v>
      </c>
      <c r="E17" t="s">
        <v>35</v>
      </c>
      <c r="F17" t="s">
        <v>15</v>
      </c>
      <c r="G17">
        <v>8</v>
      </c>
      <c r="H17">
        <v>31396</v>
      </c>
      <c r="I17">
        <v>251168</v>
      </c>
      <c r="J17" t="s">
        <v>36</v>
      </c>
    </row>
    <row r="18" spans="1:10" x14ac:dyDescent="0.25">
      <c r="A18" t="s">
        <v>52</v>
      </c>
      <c r="B18" t="s">
        <v>42</v>
      </c>
      <c r="C18" t="s">
        <v>23</v>
      </c>
      <c r="D18" t="s">
        <v>13</v>
      </c>
      <c r="E18" t="s">
        <v>25</v>
      </c>
      <c r="F18" t="s">
        <v>26</v>
      </c>
      <c r="G18">
        <v>20</v>
      </c>
      <c r="H18">
        <v>21854</v>
      </c>
      <c r="I18">
        <v>437080</v>
      </c>
      <c r="J18" t="s">
        <v>27</v>
      </c>
    </row>
    <row r="19" spans="1:10" x14ac:dyDescent="0.25">
      <c r="A19" t="s">
        <v>53</v>
      </c>
      <c r="B19" t="s">
        <v>22</v>
      </c>
      <c r="C19" t="s">
        <v>23</v>
      </c>
      <c r="D19" t="s">
        <v>44</v>
      </c>
      <c r="E19" t="s">
        <v>35</v>
      </c>
      <c r="F19" t="s">
        <v>26</v>
      </c>
      <c r="G19">
        <v>3</v>
      </c>
      <c r="H19">
        <v>33825</v>
      </c>
      <c r="I19">
        <v>101475</v>
      </c>
      <c r="J19" t="s">
        <v>27</v>
      </c>
    </row>
    <row r="20" spans="1:10" x14ac:dyDescent="0.25">
      <c r="A20" t="s">
        <v>54</v>
      </c>
      <c r="B20" t="s">
        <v>18</v>
      </c>
      <c r="C20" t="s">
        <v>34</v>
      </c>
      <c r="D20" t="s">
        <v>24</v>
      </c>
      <c r="E20" t="s">
        <v>30</v>
      </c>
      <c r="F20" t="s">
        <v>15</v>
      </c>
      <c r="G20">
        <v>7</v>
      </c>
      <c r="H20">
        <v>45748</v>
      </c>
      <c r="I20">
        <v>320236</v>
      </c>
      <c r="J20" t="s">
        <v>36</v>
      </c>
    </row>
    <row r="21" spans="1:10" x14ac:dyDescent="0.25">
      <c r="A21" t="s">
        <v>55</v>
      </c>
      <c r="B21" t="s">
        <v>33</v>
      </c>
      <c r="C21" t="s">
        <v>29</v>
      </c>
      <c r="D21" t="s">
        <v>24</v>
      </c>
      <c r="E21" t="s">
        <v>35</v>
      </c>
      <c r="F21" t="s">
        <v>15</v>
      </c>
      <c r="G21">
        <v>13</v>
      </c>
      <c r="H21">
        <v>17202</v>
      </c>
      <c r="I21">
        <v>223626</v>
      </c>
      <c r="J21" t="s">
        <v>27</v>
      </c>
    </row>
    <row r="22" spans="1:10" x14ac:dyDescent="0.25">
      <c r="A22" t="s">
        <v>56</v>
      </c>
      <c r="B22" t="s">
        <v>22</v>
      </c>
      <c r="C22" t="s">
        <v>34</v>
      </c>
      <c r="D22" t="s">
        <v>39</v>
      </c>
      <c r="E22" t="s">
        <v>25</v>
      </c>
      <c r="F22" t="s">
        <v>15</v>
      </c>
      <c r="G22">
        <v>6</v>
      </c>
      <c r="H22">
        <v>28242</v>
      </c>
      <c r="I22">
        <v>169452</v>
      </c>
      <c r="J22" t="s">
        <v>27</v>
      </c>
    </row>
    <row r="23" spans="1:10" x14ac:dyDescent="0.25">
      <c r="A23" t="s">
        <v>57</v>
      </c>
      <c r="B23" t="s">
        <v>11</v>
      </c>
      <c r="C23" t="s">
        <v>34</v>
      </c>
      <c r="D23" t="s">
        <v>39</v>
      </c>
      <c r="E23" t="s">
        <v>35</v>
      </c>
      <c r="F23" t="s">
        <v>26</v>
      </c>
      <c r="G23">
        <v>13</v>
      </c>
      <c r="H23">
        <v>15999</v>
      </c>
      <c r="I23">
        <v>207987</v>
      </c>
      <c r="J23" t="s">
        <v>20</v>
      </c>
    </row>
    <row r="24" spans="1:10" x14ac:dyDescent="0.25">
      <c r="A24" t="s">
        <v>58</v>
      </c>
      <c r="B24" t="s">
        <v>18</v>
      </c>
      <c r="C24" t="s">
        <v>38</v>
      </c>
      <c r="D24" t="s">
        <v>39</v>
      </c>
      <c r="E24" t="s">
        <v>19</v>
      </c>
      <c r="F24" t="s">
        <v>15</v>
      </c>
      <c r="G24">
        <v>20</v>
      </c>
      <c r="H24">
        <v>47914</v>
      </c>
      <c r="I24">
        <v>958280</v>
      </c>
      <c r="J24" t="s">
        <v>16</v>
      </c>
    </row>
    <row r="25" spans="1:10" x14ac:dyDescent="0.25">
      <c r="A25" t="s">
        <v>59</v>
      </c>
      <c r="B25" t="s">
        <v>33</v>
      </c>
      <c r="C25" t="s">
        <v>12</v>
      </c>
      <c r="D25" t="s">
        <v>39</v>
      </c>
      <c r="E25" t="s">
        <v>19</v>
      </c>
      <c r="F25" t="s">
        <v>15</v>
      </c>
      <c r="G25">
        <v>2</v>
      </c>
      <c r="H25">
        <v>28132</v>
      </c>
      <c r="I25">
        <v>56264</v>
      </c>
      <c r="J25" t="s">
        <v>16</v>
      </c>
    </row>
    <row r="26" spans="1:10" x14ac:dyDescent="0.25">
      <c r="A26" t="s">
        <v>60</v>
      </c>
      <c r="B26" t="s">
        <v>33</v>
      </c>
      <c r="C26" t="s">
        <v>12</v>
      </c>
      <c r="D26" t="s">
        <v>48</v>
      </c>
      <c r="E26" t="s">
        <v>30</v>
      </c>
      <c r="F26" t="s">
        <v>26</v>
      </c>
      <c r="G26">
        <v>8</v>
      </c>
      <c r="H26">
        <v>56427</v>
      </c>
      <c r="I26">
        <v>451416</v>
      </c>
      <c r="J26" t="s">
        <v>20</v>
      </c>
    </row>
    <row r="27" spans="1:10" x14ac:dyDescent="0.25">
      <c r="A27" t="s">
        <v>61</v>
      </c>
      <c r="B27" t="s">
        <v>33</v>
      </c>
      <c r="C27" t="s">
        <v>29</v>
      </c>
      <c r="D27" t="s">
        <v>13</v>
      </c>
      <c r="E27" t="s">
        <v>19</v>
      </c>
      <c r="F27" t="s">
        <v>15</v>
      </c>
      <c r="G27">
        <v>11</v>
      </c>
      <c r="H27">
        <v>15688</v>
      </c>
      <c r="I27">
        <v>172568</v>
      </c>
      <c r="J27" t="s">
        <v>27</v>
      </c>
    </row>
    <row r="28" spans="1:10" x14ac:dyDescent="0.25">
      <c r="A28" t="s">
        <v>52</v>
      </c>
      <c r="B28" t="s">
        <v>11</v>
      </c>
      <c r="C28" t="s">
        <v>34</v>
      </c>
      <c r="D28" t="s">
        <v>44</v>
      </c>
      <c r="E28" t="s">
        <v>14</v>
      </c>
      <c r="F28" t="s">
        <v>40</v>
      </c>
      <c r="G28">
        <v>13</v>
      </c>
      <c r="H28">
        <v>15854</v>
      </c>
      <c r="I28">
        <v>206102</v>
      </c>
      <c r="J28" t="s">
        <v>20</v>
      </c>
    </row>
    <row r="29" spans="1:10" x14ac:dyDescent="0.25">
      <c r="A29" t="s">
        <v>62</v>
      </c>
      <c r="B29" t="s">
        <v>33</v>
      </c>
      <c r="C29" t="s">
        <v>34</v>
      </c>
      <c r="D29" t="s">
        <v>44</v>
      </c>
      <c r="E29" t="s">
        <v>14</v>
      </c>
      <c r="F29" t="s">
        <v>40</v>
      </c>
      <c r="G29">
        <v>18</v>
      </c>
      <c r="H29">
        <v>20973</v>
      </c>
      <c r="I29">
        <v>377514</v>
      </c>
      <c r="J29" t="s">
        <v>27</v>
      </c>
    </row>
    <row r="30" spans="1:10" x14ac:dyDescent="0.25">
      <c r="A30" t="s">
        <v>63</v>
      </c>
      <c r="B30" t="s">
        <v>42</v>
      </c>
      <c r="C30" t="s">
        <v>12</v>
      </c>
      <c r="D30" t="s">
        <v>13</v>
      </c>
      <c r="E30" t="s">
        <v>30</v>
      </c>
      <c r="F30" t="s">
        <v>26</v>
      </c>
      <c r="G30">
        <v>13</v>
      </c>
      <c r="H30">
        <v>24001</v>
      </c>
      <c r="I30">
        <v>312013</v>
      </c>
      <c r="J30" t="s">
        <v>20</v>
      </c>
    </row>
    <row r="31" spans="1:10" x14ac:dyDescent="0.25">
      <c r="A31" t="s">
        <v>64</v>
      </c>
      <c r="B31" t="s">
        <v>22</v>
      </c>
      <c r="C31" t="s">
        <v>23</v>
      </c>
      <c r="D31" t="s">
        <v>44</v>
      </c>
      <c r="E31" t="s">
        <v>19</v>
      </c>
      <c r="F31" t="s">
        <v>40</v>
      </c>
      <c r="G31">
        <v>11</v>
      </c>
      <c r="H31">
        <v>19001</v>
      </c>
      <c r="I31">
        <v>209011</v>
      </c>
      <c r="J31" t="s">
        <v>36</v>
      </c>
    </row>
    <row r="32" spans="1:10" x14ac:dyDescent="0.25">
      <c r="A32" t="s">
        <v>59</v>
      </c>
      <c r="B32" t="s">
        <v>18</v>
      </c>
      <c r="C32" t="s">
        <v>38</v>
      </c>
      <c r="D32" t="s">
        <v>48</v>
      </c>
      <c r="E32" t="s">
        <v>30</v>
      </c>
      <c r="F32" t="s">
        <v>15</v>
      </c>
      <c r="G32">
        <v>19</v>
      </c>
      <c r="H32">
        <v>58650</v>
      </c>
      <c r="I32">
        <v>1114350</v>
      </c>
      <c r="J32" t="s">
        <v>16</v>
      </c>
    </row>
    <row r="33" spans="1:10" x14ac:dyDescent="0.25">
      <c r="A33" t="s">
        <v>65</v>
      </c>
      <c r="B33" t="s">
        <v>22</v>
      </c>
      <c r="C33" t="s">
        <v>12</v>
      </c>
      <c r="D33" t="s">
        <v>39</v>
      </c>
      <c r="E33" t="s">
        <v>25</v>
      </c>
      <c r="F33" t="s">
        <v>26</v>
      </c>
      <c r="G33">
        <v>17</v>
      </c>
      <c r="H33">
        <v>25152</v>
      </c>
      <c r="I33">
        <v>427584</v>
      </c>
      <c r="J33" t="s">
        <v>36</v>
      </c>
    </row>
    <row r="34" spans="1:10" x14ac:dyDescent="0.25">
      <c r="A34" t="s">
        <v>66</v>
      </c>
      <c r="B34" t="s">
        <v>42</v>
      </c>
      <c r="C34" t="s">
        <v>23</v>
      </c>
      <c r="D34" t="s">
        <v>44</v>
      </c>
      <c r="E34" t="s">
        <v>25</v>
      </c>
      <c r="F34" t="s">
        <v>15</v>
      </c>
      <c r="G34">
        <v>13</v>
      </c>
      <c r="H34">
        <v>39995</v>
      </c>
      <c r="I34">
        <v>519935</v>
      </c>
      <c r="J34" t="s">
        <v>36</v>
      </c>
    </row>
    <row r="35" spans="1:10" x14ac:dyDescent="0.25">
      <c r="A35" t="s">
        <v>67</v>
      </c>
      <c r="B35" t="s">
        <v>33</v>
      </c>
      <c r="C35" t="s">
        <v>29</v>
      </c>
      <c r="D35" t="s">
        <v>39</v>
      </c>
      <c r="E35" t="s">
        <v>19</v>
      </c>
      <c r="F35" t="s">
        <v>26</v>
      </c>
      <c r="G35">
        <v>8</v>
      </c>
      <c r="H35">
        <v>23069</v>
      </c>
      <c r="I35">
        <v>184552</v>
      </c>
      <c r="J35" t="s">
        <v>36</v>
      </c>
    </row>
    <row r="36" spans="1:10" x14ac:dyDescent="0.25">
      <c r="A36" t="s">
        <v>68</v>
      </c>
      <c r="B36" t="s">
        <v>18</v>
      </c>
      <c r="C36" t="s">
        <v>38</v>
      </c>
      <c r="D36" t="s">
        <v>39</v>
      </c>
      <c r="E36" t="s">
        <v>35</v>
      </c>
      <c r="F36" t="s">
        <v>26</v>
      </c>
      <c r="G36">
        <v>16</v>
      </c>
      <c r="H36">
        <v>20386</v>
      </c>
      <c r="I36">
        <v>326176</v>
      </c>
      <c r="J36" t="s">
        <v>27</v>
      </c>
    </row>
    <row r="37" spans="1:10" x14ac:dyDescent="0.25">
      <c r="A37" t="s">
        <v>69</v>
      </c>
      <c r="B37" t="s">
        <v>33</v>
      </c>
      <c r="C37" t="s">
        <v>23</v>
      </c>
      <c r="D37" t="s">
        <v>44</v>
      </c>
      <c r="E37" t="s">
        <v>30</v>
      </c>
      <c r="F37" t="s">
        <v>15</v>
      </c>
      <c r="G37">
        <v>16</v>
      </c>
      <c r="H37">
        <v>22504</v>
      </c>
      <c r="I37">
        <v>360064</v>
      </c>
      <c r="J37" t="s">
        <v>16</v>
      </c>
    </row>
    <row r="38" spans="1:10" x14ac:dyDescent="0.25">
      <c r="A38" t="s">
        <v>70</v>
      </c>
      <c r="B38" t="s">
        <v>22</v>
      </c>
      <c r="C38" t="s">
        <v>23</v>
      </c>
      <c r="D38" t="s">
        <v>13</v>
      </c>
      <c r="E38" t="s">
        <v>25</v>
      </c>
      <c r="F38" t="s">
        <v>40</v>
      </c>
      <c r="G38">
        <v>13</v>
      </c>
      <c r="H38">
        <v>30123</v>
      </c>
      <c r="I38">
        <v>391599</v>
      </c>
      <c r="J38" t="s">
        <v>27</v>
      </c>
    </row>
    <row r="39" spans="1:10" x14ac:dyDescent="0.25">
      <c r="A39" t="s">
        <v>71</v>
      </c>
      <c r="B39" t="s">
        <v>42</v>
      </c>
      <c r="C39" t="s">
        <v>23</v>
      </c>
      <c r="D39" t="s">
        <v>48</v>
      </c>
      <c r="E39" t="s">
        <v>35</v>
      </c>
      <c r="F39" t="s">
        <v>40</v>
      </c>
      <c r="G39">
        <v>16</v>
      </c>
      <c r="H39">
        <v>51959</v>
      </c>
      <c r="I39">
        <v>831344</v>
      </c>
      <c r="J39" t="s">
        <v>27</v>
      </c>
    </row>
    <row r="40" spans="1:10" x14ac:dyDescent="0.25">
      <c r="A40" t="s">
        <v>72</v>
      </c>
      <c r="B40" t="s">
        <v>33</v>
      </c>
      <c r="C40" t="s">
        <v>34</v>
      </c>
      <c r="D40" t="s">
        <v>39</v>
      </c>
      <c r="E40" t="s">
        <v>25</v>
      </c>
      <c r="F40" t="s">
        <v>26</v>
      </c>
      <c r="G40">
        <v>20</v>
      </c>
      <c r="H40">
        <v>42230</v>
      </c>
      <c r="I40">
        <v>844600</v>
      </c>
      <c r="J40" t="s">
        <v>20</v>
      </c>
    </row>
    <row r="41" spans="1:10" x14ac:dyDescent="0.25">
      <c r="A41" t="s">
        <v>73</v>
      </c>
      <c r="B41" t="s">
        <v>33</v>
      </c>
      <c r="C41" t="s">
        <v>38</v>
      </c>
      <c r="D41" t="s">
        <v>39</v>
      </c>
      <c r="E41" t="s">
        <v>35</v>
      </c>
      <c r="F41" t="s">
        <v>15</v>
      </c>
      <c r="G41">
        <v>19</v>
      </c>
      <c r="H41">
        <v>18713</v>
      </c>
      <c r="I41">
        <v>355547</v>
      </c>
      <c r="J41" t="s">
        <v>20</v>
      </c>
    </row>
    <row r="42" spans="1:10" x14ac:dyDescent="0.25">
      <c r="A42" t="s">
        <v>74</v>
      </c>
      <c r="B42" t="s">
        <v>22</v>
      </c>
      <c r="C42" t="s">
        <v>29</v>
      </c>
      <c r="D42" t="s">
        <v>24</v>
      </c>
      <c r="E42" t="s">
        <v>30</v>
      </c>
      <c r="F42" t="s">
        <v>40</v>
      </c>
      <c r="G42">
        <v>19</v>
      </c>
      <c r="H42">
        <v>53198</v>
      </c>
      <c r="I42">
        <v>1010762</v>
      </c>
      <c r="J42" t="s">
        <v>36</v>
      </c>
    </row>
    <row r="43" spans="1:10" x14ac:dyDescent="0.25">
      <c r="A43" t="s">
        <v>75</v>
      </c>
      <c r="B43" t="s">
        <v>22</v>
      </c>
      <c r="C43" t="s">
        <v>38</v>
      </c>
      <c r="D43" t="s">
        <v>13</v>
      </c>
      <c r="E43" t="s">
        <v>25</v>
      </c>
      <c r="F43" t="s">
        <v>40</v>
      </c>
      <c r="G43">
        <v>5</v>
      </c>
      <c r="H43">
        <v>22796</v>
      </c>
      <c r="I43">
        <v>113980</v>
      </c>
      <c r="J43" t="s">
        <v>36</v>
      </c>
    </row>
    <row r="44" spans="1:10" x14ac:dyDescent="0.25">
      <c r="A44" t="s">
        <v>76</v>
      </c>
      <c r="B44" t="s">
        <v>11</v>
      </c>
      <c r="C44" t="s">
        <v>12</v>
      </c>
      <c r="D44" t="s">
        <v>48</v>
      </c>
      <c r="E44" t="s">
        <v>35</v>
      </c>
      <c r="F44" t="s">
        <v>40</v>
      </c>
      <c r="G44">
        <v>17</v>
      </c>
      <c r="H44">
        <v>42578</v>
      </c>
      <c r="I44">
        <v>723826</v>
      </c>
      <c r="J44" t="s">
        <v>16</v>
      </c>
    </row>
    <row r="45" spans="1:10" x14ac:dyDescent="0.25">
      <c r="A45" t="s">
        <v>77</v>
      </c>
      <c r="B45" t="s">
        <v>22</v>
      </c>
      <c r="C45" t="s">
        <v>23</v>
      </c>
      <c r="D45" t="s">
        <v>44</v>
      </c>
      <c r="E45" t="s">
        <v>35</v>
      </c>
      <c r="F45" t="s">
        <v>26</v>
      </c>
      <c r="G45">
        <v>8</v>
      </c>
      <c r="H45">
        <v>19511</v>
      </c>
      <c r="I45">
        <v>156088</v>
      </c>
      <c r="J45" t="s">
        <v>20</v>
      </c>
    </row>
    <row r="46" spans="1:10" x14ac:dyDescent="0.25">
      <c r="A46" t="s">
        <v>78</v>
      </c>
      <c r="B46" t="s">
        <v>42</v>
      </c>
      <c r="C46" t="s">
        <v>12</v>
      </c>
      <c r="D46" t="s">
        <v>39</v>
      </c>
      <c r="E46" t="s">
        <v>25</v>
      </c>
      <c r="F46" t="s">
        <v>26</v>
      </c>
      <c r="G46">
        <v>5</v>
      </c>
      <c r="H46">
        <v>37505</v>
      </c>
      <c r="I46">
        <v>187525</v>
      </c>
      <c r="J46" t="s">
        <v>27</v>
      </c>
    </row>
    <row r="47" spans="1:10" x14ac:dyDescent="0.25">
      <c r="A47" t="s">
        <v>79</v>
      </c>
      <c r="B47" t="s">
        <v>42</v>
      </c>
      <c r="C47" t="s">
        <v>23</v>
      </c>
      <c r="D47" t="s">
        <v>24</v>
      </c>
      <c r="E47" t="s">
        <v>14</v>
      </c>
      <c r="F47" t="s">
        <v>26</v>
      </c>
      <c r="G47">
        <v>10</v>
      </c>
      <c r="H47">
        <v>31826</v>
      </c>
      <c r="I47">
        <v>318260</v>
      </c>
      <c r="J47" t="s">
        <v>20</v>
      </c>
    </row>
    <row r="48" spans="1:10" x14ac:dyDescent="0.25">
      <c r="A48" t="s">
        <v>59</v>
      </c>
      <c r="B48" t="s">
        <v>11</v>
      </c>
      <c r="C48" t="s">
        <v>12</v>
      </c>
      <c r="D48" t="s">
        <v>24</v>
      </c>
      <c r="E48" t="s">
        <v>35</v>
      </c>
      <c r="F48" t="s">
        <v>15</v>
      </c>
      <c r="G48">
        <v>19</v>
      </c>
      <c r="H48">
        <v>21839</v>
      </c>
      <c r="I48">
        <v>414941</v>
      </c>
      <c r="J48" t="s">
        <v>16</v>
      </c>
    </row>
    <row r="49" spans="1:10" x14ac:dyDescent="0.25">
      <c r="A49" t="s">
        <v>80</v>
      </c>
      <c r="B49" t="s">
        <v>42</v>
      </c>
      <c r="C49" t="s">
        <v>12</v>
      </c>
      <c r="D49" t="s">
        <v>48</v>
      </c>
      <c r="E49" t="s">
        <v>19</v>
      </c>
      <c r="F49" t="s">
        <v>26</v>
      </c>
      <c r="G49">
        <v>15</v>
      </c>
      <c r="H49">
        <v>49785</v>
      </c>
      <c r="I49">
        <v>746775</v>
      </c>
      <c r="J49" t="s">
        <v>36</v>
      </c>
    </row>
    <row r="50" spans="1:10" x14ac:dyDescent="0.25">
      <c r="A50" t="s">
        <v>81</v>
      </c>
      <c r="B50" t="s">
        <v>42</v>
      </c>
      <c r="C50" t="s">
        <v>38</v>
      </c>
      <c r="D50" t="s">
        <v>39</v>
      </c>
      <c r="E50" t="s">
        <v>19</v>
      </c>
      <c r="F50" t="s">
        <v>40</v>
      </c>
      <c r="G50">
        <v>7</v>
      </c>
      <c r="H50">
        <v>43487</v>
      </c>
      <c r="I50">
        <v>304409</v>
      </c>
      <c r="J50" t="s">
        <v>27</v>
      </c>
    </row>
    <row r="51" spans="1:10" x14ac:dyDescent="0.25">
      <c r="A51" t="s">
        <v>82</v>
      </c>
      <c r="B51" t="s">
        <v>18</v>
      </c>
      <c r="C51" t="s">
        <v>29</v>
      </c>
      <c r="D51" t="s">
        <v>44</v>
      </c>
      <c r="E51" t="s">
        <v>14</v>
      </c>
      <c r="F51" t="s">
        <v>15</v>
      </c>
      <c r="G51">
        <v>6</v>
      </c>
      <c r="H51">
        <v>26498</v>
      </c>
      <c r="I51">
        <v>158988</v>
      </c>
      <c r="J51" t="s">
        <v>20</v>
      </c>
    </row>
    <row r="52" spans="1:10" x14ac:dyDescent="0.25">
      <c r="A52" t="s">
        <v>83</v>
      </c>
      <c r="B52" t="s">
        <v>11</v>
      </c>
      <c r="C52" t="s">
        <v>29</v>
      </c>
      <c r="D52" t="s">
        <v>39</v>
      </c>
      <c r="E52" t="s">
        <v>19</v>
      </c>
      <c r="F52" t="s">
        <v>40</v>
      </c>
      <c r="G52">
        <v>11</v>
      </c>
      <c r="H52">
        <v>30624</v>
      </c>
      <c r="I52">
        <v>336864</v>
      </c>
      <c r="J52" t="s">
        <v>27</v>
      </c>
    </row>
    <row r="53" spans="1:10" x14ac:dyDescent="0.25">
      <c r="A53" t="s">
        <v>84</v>
      </c>
      <c r="B53" t="s">
        <v>11</v>
      </c>
      <c r="C53" t="s">
        <v>34</v>
      </c>
      <c r="D53" t="s">
        <v>24</v>
      </c>
      <c r="E53" t="s">
        <v>19</v>
      </c>
      <c r="F53" t="s">
        <v>15</v>
      </c>
      <c r="G53">
        <v>17</v>
      </c>
      <c r="H53">
        <v>29697</v>
      </c>
      <c r="I53">
        <v>504849</v>
      </c>
      <c r="J53" t="s">
        <v>27</v>
      </c>
    </row>
    <row r="54" spans="1:10" x14ac:dyDescent="0.25">
      <c r="A54" t="s">
        <v>85</v>
      </c>
      <c r="B54" t="s">
        <v>18</v>
      </c>
      <c r="C54" t="s">
        <v>12</v>
      </c>
      <c r="D54" t="s">
        <v>39</v>
      </c>
      <c r="E54" t="s">
        <v>19</v>
      </c>
      <c r="F54" t="s">
        <v>15</v>
      </c>
      <c r="G54">
        <v>6</v>
      </c>
      <c r="H54">
        <v>39894</v>
      </c>
      <c r="I54">
        <v>239364</v>
      </c>
      <c r="J54" t="s">
        <v>36</v>
      </c>
    </row>
    <row r="55" spans="1:10" x14ac:dyDescent="0.25">
      <c r="A55" t="s">
        <v>86</v>
      </c>
      <c r="B55" t="s">
        <v>18</v>
      </c>
      <c r="C55" t="s">
        <v>34</v>
      </c>
      <c r="D55" t="s">
        <v>13</v>
      </c>
      <c r="E55" t="s">
        <v>14</v>
      </c>
      <c r="F55" t="s">
        <v>26</v>
      </c>
      <c r="G55">
        <v>9</v>
      </c>
      <c r="H55">
        <v>34757</v>
      </c>
      <c r="I55">
        <v>312813</v>
      </c>
      <c r="J55" t="s">
        <v>36</v>
      </c>
    </row>
    <row r="56" spans="1:10" x14ac:dyDescent="0.25">
      <c r="A56" t="s">
        <v>87</v>
      </c>
      <c r="B56" t="s">
        <v>22</v>
      </c>
      <c r="C56" t="s">
        <v>29</v>
      </c>
      <c r="D56" t="s">
        <v>44</v>
      </c>
      <c r="E56" t="s">
        <v>14</v>
      </c>
      <c r="F56" t="s">
        <v>40</v>
      </c>
      <c r="G56">
        <v>17</v>
      </c>
      <c r="H56">
        <v>32883</v>
      </c>
      <c r="I56">
        <v>559011</v>
      </c>
      <c r="J56" t="s">
        <v>16</v>
      </c>
    </row>
    <row r="57" spans="1:10" x14ac:dyDescent="0.25">
      <c r="A57" t="s">
        <v>88</v>
      </c>
      <c r="B57" t="s">
        <v>18</v>
      </c>
      <c r="C57" t="s">
        <v>29</v>
      </c>
      <c r="D57" t="s">
        <v>48</v>
      </c>
      <c r="E57" t="s">
        <v>19</v>
      </c>
      <c r="F57" t="s">
        <v>40</v>
      </c>
      <c r="G57">
        <v>6</v>
      </c>
      <c r="H57">
        <v>33703</v>
      </c>
      <c r="I57">
        <v>202218</v>
      </c>
      <c r="J57" t="s">
        <v>36</v>
      </c>
    </row>
    <row r="58" spans="1:10" x14ac:dyDescent="0.25">
      <c r="A58" t="s">
        <v>89</v>
      </c>
      <c r="B58" t="s">
        <v>18</v>
      </c>
      <c r="C58" t="s">
        <v>34</v>
      </c>
      <c r="D58" t="s">
        <v>13</v>
      </c>
      <c r="E58" t="s">
        <v>30</v>
      </c>
      <c r="F58" t="s">
        <v>40</v>
      </c>
      <c r="G58">
        <v>6</v>
      </c>
      <c r="H58">
        <v>17726</v>
      </c>
      <c r="I58">
        <v>106356</v>
      </c>
      <c r="J58" t="s">
        <v>36</v>
      </c>
    </row>
    <row r="59" spans="1:10" x14ac:dyDescent="0.25">
      <c r="A59" t="s">
        <v>90</v>
      </c>
      <c r="B59" t="s">
        <v>11</v>
      </c>
      <c r="C59" t="s">
        <v>23</v>
      </c>
      <c r="D59" t="s">
        <v>44</v>
      </c>
      <c r="E59" t="s">
        <v>35</v>
      </c>
      <c r="F59" t="s">
        <v>26</v>
      </c>
      <c r="G59">
        <v>17</v>
      </c>
      <c r="H59">
        <v>32569</v>
      </c>
      <c r="I59">
        <v>553673</v>
      </c>
      <c r="J59" t="s">
        <v>27</v>
      </c>
    </row>
    <row r="60" spans="1:10" x14ac:dyDescent="0.25">
      <c r="A60" t="s">
        <v>89</v>
      </c>
      <c r="B60" t="s">
        <v>18</v>
      </c>
      <c r="C60" t="s">
        <v>34</v>
      </c>
      <c r="D60" t="s">
        <v>39</v>
      </c>
      <c r="E60" t="s">
        <v>19</v>
      </c>
      <c r="F60" t="s">
        <v>26</v>
      </c>
      <c r="G60">
        <v>18</v>
      </c>
      <c r="H60">
        <v>39218</v>
      </c>
      <c r="I60">
        <v>705924</v>
      </c>
      <c r="J60" t="s">
        <v>20</v>
      </c>
    </row>
    <row r="61" spans="1:10" x14ac:dyDescent="0.25">
      <c r="A61" t="s">
        <v>91</v>
      </c>
      <c r="B61" t="s">
        <v>18</v>
      </c>
      <c r="C61" t="s">
        <v>29</v>
      </c>
      <c r="D61" t="s">
        <v>39</v>
      </c>
      <c r="E61" t="s">
        <v>14</v>
      </c>
      <c r="F61" t="s">
        <v>26</v>
      </c>
      <c r="G61">
        <v>3</v>
      </c>
      <c r="H61">
        <v>24050</v>
      </c>
      <c r="I61">
        <v>72150</v>
      </c>
      <c r="J61" t="s">
        <v>20</v>
      </c>
    </row>
    <row r="62" spans="1:10" x14ac:dyDescent="0.25">
      <c r="A62" t="s">
        <v>28</v>
      </c>
      <c r="B62" t="s">
        <v>42</v>
      </c>
      <c r="C62" t="s">
        <v>29</v>
      </c>
      <c r="D62" t="s">
        <v>39</v>
      </c>
      <c r="E62" t="s">
        <v>25</v>
      </c>
      <c r="F62" t="s">
        <v>15</v>
      </c>
      <c r="G62">
        <v>1</v>
      </c>
      <c r="H62">
        <v>26544</v>
      </c>
      <c r="I62">
        <v>26544</v>
      </c>
      <c r="J62" t="s">
        <v>36</v>
      </c>
    </row>
    <row r="63" spans="1:10" x14ac:dyDescent="0.25">
      <c r="A63" t="s">
        <v>92</v>
      </c>
      <c r="B63" t="s">
        <v>42</v>
      </c>
      <c r="C63" t="s">
        <v>29</v>
      </c>
      <c r="D63" t="s">
        <v>48</v>
      </c>
      <c r="E63" t="s">
        <v>25</v>
      </c>
      <c r="F63" t="s">
        <v>15</v>
      </c>
      <c r="G63">
        <v>17</v>
      </c>
      <c r="H63">
        <v>28648</v>
      </c>
      <c r="I63">
        <v>487016</v>
      </c>
      <c r="J63" t="s">
        <v>36</v>
      </c>
    </row>
    <row r="64" spans="1:10" x14ac:dyDescent="0.25">
      <c r="A64" t="s">
        <v>89</v>
      </c>
      <c r="B64" t="s">
        <v>11</v>
      </c>
      <c r="C64" t="s">
        <v>29</v>
      </c>
      <c r="D64" t="s">
        <v>24</v>
      </c>
      <c r="E64" t="s">
        <v>25</v>
      </c>
      <c r="F64" t="s">
        <v>15</v>
      </c>
      <c r="G64">
        <v>4</v>
      </c>
      <c r="H64">
        <v>30145</v>
      </c>
      <c r="I64">
        <v>120580</v>
      </c>
      <c r="J64" t="s">
        <v>20</v>
      </c>
    </row>
    <row r="65" spans="1:10" x14ac:dyDescent="0.25">
      <c r="A65" t="s">
        <v>93</v>
      </c>
      <c r="B65" t="s">
        <v>22</v>
      </c>
      <c r="C65" t="s">
        <v>34</v>
      </c>
      <c r="D65" t="s">
        <v>24</v>
      </c>
      <c r="E65" t="s">
        <v>30</v>
      </c>
      <c r="F65" t="s">
        <v>26</v>
      </c>
      <c r="G65">
        <v>18</v>
      </c>
      <c r="H65">
        <v>31250</v>
      </c>
      <c r="I65">
        <v>562500</v>
      </c>
      <c r="J65" t="s">
        <v>36</v>
      </c>
    </row>
    <row r="66" spans="1:10" x14ac:dyDescent="0.25">
      <c r="A66" t="s">
        <v>94</v>
      </c>
      <c r="B66" t="s">
        <v>33</v>
      </c>
      <c r="C66" t="s">
        <v>34</v>
      </c>
      <c r="D66" t="s">
        <v>48</v>
      </c>
      <c r="E66" t="s">
        <v>30</v>
      </c>
      <c r="F66" t="s">
        <v>40</v>
      </c>
      <c r="G66">
        <v>19</v>
      </c>
      <c r="H66">
        <v>57227</v>
      </c>
      <c r="I66">
        <v>1087313</v>
      </c>
      <c r="J66" t="s">
        <v>16</v>
      </c>
    </row>
    <row r="67" spans="1:10" x14ac:dyDescent="0.25">
      <c r="A67" t="s">
        <v>89</v>
      </c>
      <c r="B67" t="s">
        <v>18</v>
      </c>
      <c r="C67" t="s">
        <v>34</v>
      </c>
      <c r="D67" t="s">
        <v>48</v>
      </c>
      <c r="E67" t="s">
        <v>19</v>
      </c>
      <c r="F67" t="s">
        <v>26</v>
      </c>
      <c r="G67">
        <v>1</v>
      </c>
      <c r="H67">
        <v>29951</v>
      </c>
      <c r="I67">
        <v>29951</v>
      </c>
      <c r="J67" t="s">
        <v>16</v>
      </c>
    </row>
    <row r="68" spans="1:10" x14ac:dyDescent="0.25">
      <c r="A68" t="s">
        <v>95</v>
      </c>
      <c r="B68" t="s">
        <v>22</v>
      </c>
      <c r="C68" t="s">
        <v>12</v>
      </c>
      <c r="D68" t="s">
        <v>48</v>
      </c>
      <c r="E68" t="s">
        <v>19</v>
      </c>
      <c r="F68" t="s">
        <v>26</v>
      </c>
      <c r="G68">
        <v>10</v>
      </c>
      <c r="H68">
        <v>32728</v>
      </c>
      <c r="I68">
        <v>327280</v>
      </c>
      <c r="J68" t="s">
        <v>16</v>
      </c>
    </row>
    <row r="69" spans="1:10" x14ac:dyDescent="0.25">
      <c r="A69" t="s">
        <v>96</v>
      </c>
      <c r="B69" t="s">
        <v>42</v>
      </c>
      <c r="C69" t="s">
        <v>29</v>
      </c>
      <c r="D69" t="s">
        <v>13</v>
      </c>
      <c r="E69" t="s">
        <v>35</v>
      </c>
      <c r="F69" t="s">
        <v>15</v>
      </c>
      <c r="G69">
        <v>14</v>
      </c>
      <c r="H69">
        <v>49766</v>
      </c>
      <c r="I69">
        <v>696724</v>
      </c>
      <c r="J69" t="s">
        <v>27</v>
      </c>
    </row>
    <row r="70" spans="1:10" x14ac:dyDescent="0.25">
      <c r="A70" t="s">
        <v>97</v>
      </c>
      <c r="B70" t="s">
        <v>18</v>
      </c>
      <c r="C70" t="s">
        <v>38</v>
      </c>
      <c r="D70" t="s">
        <v>48</v>
      </c>
      <c r="E70" t="s">
        <v>25</v>
      </c>
      <c r="F70" t="s">
        <v>26</v>
      </c>
      <c r="G70">
        <v>7</v>
      </c>
      <c r="H70">
        <v>21425</v>
      </c>
      <c r="I70">
        <v>149975</v>
      </c>
      <c r="J70" t="s">
        <v>20</v>
      </c>
    </row>
    <row r="71" spans="1:10" x14ac:dyDescent="0.25">
      <c r="A71" t="s">
        <v>98</v>
      </c>
      <c r="B71" t="s">
        <v>22</v>
      </c>
      <c r="C71" t="s">
        <v>12</v>
      </c>
      <c r="D71" t="s">
        <v>39</v>
      </c>
      <c r="E71" t="s">
        <v>25</v>
      </c>
      <c r="F71" t="s">
        <v>40</v>
      </c>
      <c r="G71">
        <v>18</v>
      </c>
      <c r="H71">
        <v>39067</v>
      </c>
      <c r="I71">
        <v>703206</v>
      </c>
      <c r="J71" t="s">
        <v>16</v>
      </c>
    </row>
    <row r="72" spans="1:10" x14ac:dyDescent="0.25">
      <c r="A72" t="s">
        <v>99</v>
      </c>
      <c r="B72" t="s">
        <v>18</v>
      </c>
      <c r="C72" t="s">
        <v>12</v>
      </c>
      <c r="D72" t="s">
        <v>13</v>
      </c>
      <c r="E72" t="s">
        <v>14</v>
      </c>
      <c r="F72" t="s">
        <v>40</v>
      </c>
      <c r="G72">
        <v>11</v>
      </c>
      <c r="H72">
        <v>40720</v>
      </c>
      <c r="I72">
        <v>447920</v>
      </c>
      <c r="J72" t="s">
        <v>27</v>
      </c>
    </row>
    <row r="73" spans="1:10" x14ac:dyDescent="0.25">
      <c r="A73" t="s">
        <v>100</v>
      </c>
      <c r="B73" t="s">
        <v>42</v>
      </c>
      <c r="C73" t="s">
        <v>34</v>
      </c>
      <c r="D73" t="s">
        <v>39</v>
      </c>
      <c r="E73" t="s">
        <v>25</v>
      </c>
      <c r="F73" t="s">
        <v>15</v>
      </c>
      <c r="G73">
        <v>19</v>
      </c>
      <c r="H73">
        <v>19603</v>
      </c>
      <c r="I73">
        <v>372457</v>
      </c>
      <c r="J73" t="s">
        <v>36</v>
      </c>
    </row>
    <row r="74" spans="1:10" x14ac:dyDescent="0.25">
      <c r="A74" t="s">
        <v>101</v>
      </c>
      <c r="B74" t="s">
        <v>11</v>
      </c>
      <c r="C74" t="s">
        <v>34</v>
      </c>
      <c r="D74" t="s">
        <v>24</v>
      </c>
      <c r="E74" t="s">
        <v>35</v>
      </c>
      <c r="F74" t="s">
        <v>15</v>
      </c>
      <c r="G74">
        <v>20</v>
      </c>
      <c r="H74">
        <v>17880</v>
      </c>
      <c r="I74">
        <v>357600</v>
      </c>
      <c r="J74" t="s">
        <v>20</v>
      </c>
    </row>
    <row r="75" spans="1:10" x14ac:dyDescent="0.25">
      <c r="A75" t="s">
        <v>102</v>
      </c>
      <c r="B75" t="s">
        <v>18</v>
      </c>
      <c r="C75" t="s">
        <v>29</v>
      </c>
      <c r="D75" t="s">
        <v>44</v>
      </c>
      <c r="E75" t="s">
        <v>25</v>
      </c>
      <c r="F75" t="s">
        <v>40</v>
      </c>
      <c r="G75">
        <v>18</v>
      </c>
      <c r="H75">
        <v>40428</v>
      </c>
      <c r="I75">
        <v>727704</v>
      </c>
      <c r="J75" t="s">
        <v>36</v>
      </c>
    </row>
    <row r="76" spans="1:10" x14ac:dyDescent="0.25">
      <c r="A76" t="s">
        <v>103</v>
      </c>
      <c r="B76" t="s">
        <v>18</v>
      </c>
      <c r="C76" t="s">
        <v>23</v>
      </c>
      <c r="D76" t="s">
        <v>13</v>
      </c>
      <c r="E76" t="s">
        <v>30</v>
      </c>
      <c r="F76" t="s">
        <v>15</v>
      </c>
      <c r="G76">
        <v>8</v>
      </c>
      <c r="H76">
        <v>42707</v>
      </c>
      <c r="I76">
        <v>341656</v>
      </c>
      <c r="J76" t="s">
        <v>20</v>
      </c>
    </row>
    <row r="77" spans="1:10" x14ac:dyDescent="0.25">
      <c r="A77" t="s">
        <v>104</v>
      </c>
      <c r="B77" t="s">
        <v>33</v>
      </c>
      <c r="C77" t="s">
        <v>34</v>
      </c>
      <c r="D77" t="s">
        <v>13</v>
      </c>
      <c r="E77" t="s">
        <v>25</v>
      </c>
      <c r="F77" t="s">
        <v>40</v>
      </c>
      <c r="G77">
        <v>4</v>
      </c>
      <c r="H77">
        <v>54728</v>
      </c>
      <c r="I77">
        <v>218912</v>
      </c>
      <c r="J77" t="s">
        <v>16</v>
      </c>
    </row>
    <row r="78" spans="1:10" x14ac:dyDescent="0.25">
      <c r="A78" t="s">
        <v>105</v>
      </c>
      <c r="B78" t="s">
        <v>33</v>
      </c>
      <c r="C78" t="s">
        <v>29</v>
      </c>
      <c r="D78" t="s">
        <v>13</v>
      </c>
      <c r="E78" t="s">
        <v>30</v>
      </c>
      <c r="F78" t="s">
        <v>15</v>
      </c>
      <c r="G78">
        <v>8</v>
      </c>
      <c r="H78">
        <v>48522</v>
      </c>
      <c r="I78">
        <v>388176</v>
      </c>
      <c r="J78" t="s">
        <v>27</v>
      </c>
    </row>
    <row r="79" spans="1:10" x14ac:dyDescent="0.25">
      <c r="A79" t="s">
        <v>106</v>
      </c>
      <c r="B79" t="s">
        <v>11</v>
      </c>
      <c r="C79" t="s">
        <v>38</v>
      </c>
      <c r="D79" t="s">
        <v>48</v>
      </c>
      <c r="E79" t="s">
        <v>30</v>
      </c>
      <c r="F79" t="s">
        <v>40</v>
      </c>
      <c r="G79">
        <v>6</v>
      </c>
      <c r="H79">
        <v>35637</v>
      </c>
      <c r="I79">
        <v>213822</v>
      </c>
      <c r="J79" t="s">
        <v>36</v>
      </c>
    </row>
    <row r="80" spans="1:10" x14ac:dyDescent="0.25">
      <c r="A80" t="s">
        <v>107</v>
      </c>
      <c r="B80" t="s">
        <v>11</v>
      </c>
      <c r="C80" t="s">
        <v>12</v>
      </c>
      <c r="D80" t="s">
        <v>44</v>
      </c>
      <c r="E80" t="s">
        <v>30</v>
      </c>
      <c r="F80" t="s">
        <v>40</v>
      </c>
      <c r="G80">
        <v>2</v>
      </c>
      <c r="H80">
        <v>37526</v>
      </c>
      <c r="I80">
        <v>75052</v>
      </c>
      <c r="J80" t="s">
        <v>27</v>
      </c>
    </row>
    <row r="81" spans="1:10" x14ac:dyDescent="0.25">
      <c r="A81" t="s">
        <v>108</v>
      </c>
      <c r="B81" t="s">
        <v>22</v>
      </c>
      <c r="C81" t="s">
        <v>38</v>
      </c>
      <c r="D81" t="s">
        <v>44</v>
      </c>
      <c r="E81" t="s">
        <v>25</v>
      </c>
      <c r="F81" t="s">
        <v>15</v>
      </c>
      <c r="G81">
        <v>7</v>
      </c>
      <c r="H81">
        <v>16124</v>
      </c>
      <c r="I81">
        <v>112868</v>
      </c>
      <c r="J81" t="s">
        <v>36</v>
      </c>
    </row>
    <row r="82" spans="1:10" x14ac:dyDescent="0.25">
      <c r="A82" t="s">
        <v>109</v>
      </c>
      <c r="B82" t="s">
        <v>22</v>
      </c>
      <c r="C82" t="s">
        <v>12</v>
      </c>
      <c r="D82" t="s">
        <v>39</v>
      </c>
      <c r="E82" t="s">
        <v>25</v>
      </c>
      <c r="F82" t="s">
        <v>26</v>
      </c>
      <c r="G82">
        <v>15</v>
      </c>
      <c r="H82">
        <v>36949</v>
      </c>
      <c r="I82">
        <v>554235</v>
      </c>
      <c r="J82" t="s">
        <v>27</v>
      </c>
    </row>
    <row r="83" spans="1:10" x14ac:dyDescent="0.25">
      <c r="A83" t="s">
        <v>110</v>
      </c>
      <c r="B83" t="s">
        <v>11</v>
      </c>
      <c r="C83" t="s">
        <v>34</v>
      </c>
      <c r="D83" t="s">
        <v>13</v>
      </c>
      <c r="E83" t="s">
        <v>25</v>
      </c>
      <c r="F83" t="s">
        <v>15</v>
      </c>
      <c r="G83">
        <v>2</v>
      </c>
      <c r="H83">
        <v>25558</v>
      </c>
      <c r="I83">
        <v>51116</v>
      </c>
      <c r="J83" t="s">
        <v>36</v>
      </c>
    </row>
    <row r="84" spans="1:10" x14ac:dyDescent="0.25">
      <c r="A84" t="s">
        <v>111</v>
      </c>
      <c r="B84" t="s">
        <v>18</v>
      </c>
      <c r="C84" t="s">
        <v>29</v>
      </c>
      <c r="D84" t="s">
        <v>39</v>
      </c>
      <c r="E84" t="s">
        <v>25</v>
      </c>
      <c r="F84" t="s">
        <v>15</v>
      </c>
      <c r="G84">
        <v>10</v>
      </c>
      <c r="H84">
        <v>35045</v>
      </c>
      <c r="I84">
        <v>350450</v>
      </c>
      <c r="J84" t="s">
        <v>20</v>
      </c>
    </row>
    <row r="85" spans="1:10" x14ac:dyDescent="0.25">
      <c r="A85" t="s">
        <v>112</v>
      </c>
      <c r="B85" t="s">
        <v>22</v>
      </c>
      <c r="C85" t="s">
        <v>12</v>
      </c>
      <c r="D85" t="s">
        <v>13</v>
      </c>
      <c r="E85" t="s">
        <v>30</v>
      </c>
      <c r="F85" t="s">
        <v>15</v>
      </c>
      <c r="G85">
        <v>5</v>
      </c>
      <c r="H85">
        <v>49985</v>
      </c>
      <c r="I85">
        <v>249925</v>
      </c>
      <c r="J85" t="s">
        <v>20</v>
      </c>
    </row>
    <row r="86" spans="1:10" x14ac:dyDescent="0.25">
      <c r="A86" t="s">
        <v>113</v>
      </c>
      <c r="B86" t="s">
        <v>18</v>
      </c>
      <c r="C86" t="s">
        <v>12</v>
      </c>
      <c r="D86" t="s">
        <v>24</v>
      </c>
      <c r="E86" t="s">
        <v>30</v>
      </c>
      <c r="F86" t="s">
        <v>15</v>
      </c>
      <c r="G86">
        <v>7</v>
      </c>
      <c r="H86">
        <v>32031</v>
      </c>
      <c r="I86">
        <v>224217</v>
      </c>
      <c r="J86" t="s">
        <v>16</v>
      </c>
    </row>
    <row r="87" spans="1:10" x14ac:dyDescent="0.25">
      <c r="A87" t="s">
        <v>114</v>
      </c>
      <c r="B87" t="s">
        <v>33</v>
      </c>
      <c r="C87" t="s">
        <v>29</v>
      </c>
      <c r="D87" t="s">
        <v>48</v>
      </c>
      <c r="E87" t="s">
        <v>14</v>
      </c>
      <c r="F87" t="s">
        <v>40</v>
      </c>
      <c r="G87">
        <v>1</v>
      </c>
      <c r="H87">
        <v>55584</v>
      </c>
      <c r="I87">
        <v>55584</v>
      </c>
      <c r="J87" t="s">
        <v>16</v>
      </c>
    </row>
    <row r="88" spans="1:10" x14ac:dyDescent="0.25">
      <c r="A88" t="s">
        <v>115</v>
      </c>
      <c r="B88" t="s">
        <v>42</v>
      </c>
      <c r="C88" t="s">
        <v>23</v>
      </c>
      <c r="D88" t="s">
        <v>44</v>
      </c>
      <c r="E88" t="s">
        <v>19</v>
      </c>
      <c r="F88" t="s">
        <v>40</v>
      </c>
      <c r="G88">
        <v>8</v>
      </c>
      <c r="H88">
        <v>56825</v>
      </c>
      <c r="I88">
        <v>454600</v>
      </c>
      <c r="J88" t="s">
        <v>36</v>
      </c>
    </row>
    <row r="89" spans="1:10" x14ac:dyDescent="0.25">
      <c r="A89" t="s">
        <v>116</v>
      </c>
      <c r="B89" t="s">
        <v>22</v>
      </c>
      <c r="C89" t="s">
        <v>38</v>
      </c>
      <c r="D89" t="s">
        <v>48</v>
      </c>
      <c r="E89" t="s">
        <v>30</v>
      </c>
      <c r="F89" t="s">
        <v>40</v>
      </c>
      <c r="G89">
        <v>13</v>
      </c>
      <c r="H89">
        <v>24871</v>
      </c>
      <c r="I89">
        <v>323323</v>
      </c>
      <c r="J89" t="s">
        <v>36</v>
      </c>
    </row>
    <row r="90" spans="1:10" x14ac:dyDescent="0.25">
      <c r="A90" t="s">
        <v>117</v>
      </c>
      <c r="B90" t="s">
        <v>42</v>
      </c>
      <c r="C90" t="s">
        <v>34</v>
      </c>
      <c r="D90" t="s">
        <v>39</v>
      </c>
      <c r="E90" t="s">
        <v>19</v>
      </c>
      <c r="F90" t="s">
        <v>26</v>
      </c>
      <c r="G90">
        <v>1</v>
      </c>
      <c r="H90">
        <v>37138</v>
      </c>
      <c r="I90">
        <v>37138</v>
      </c>
      <c r="J90" t="s">
        <v>36</v>
      </c>
    </row>
    <row r="91" spans="1:10" x14ac:dyDescent="0.25">
      <c r="A91" t="s">
        <v>118</v>
      </c>
      <c r="B91" t="s">
        <v>42</v>
      </c>
      <c r="C91" t="s">
        <v>29</v>
      </c>
      <c r="D91" t="s">
        <v>24</v>
      </c>
      <c r="E91" t="s">
        <v>35</v>
      </c>
      <c r="F91" t="s">
        <v>40</v>
      </c>
      <c r="G91">
        <v>18</v>
      </c>
      <c r="H91">
        <v>44145</v>
      </c>
      <c r="I91">
        <v>794610</v>
      </c>
      <c r="J91" t="s">
        <v>27</v>
      </c>
    </row>
    <row r="92" spans="1:10" x14ac:dyDescent="0.25">
      <c r="A92" t="s">
        <v>54</v>
      </c>
      <c r="B92" t="s">
        <v>11</v>
      </c>
      <c r="C92" t="s">
        <v>23</v>
      </c>
      <c r="D92" t="s">
        <v>24</v>
      </c>
      <c r="E92" t="s">
        <v>25</v>
      </c>
      <c r="F92" t="s">
        <v>15</v>
      </c>
      <c r="G92">
        <v>14</v>
      </c>
      <c r="H92">
        <v>27663</v>
      </c>
      <c r="I92">
        <v>387282</v>
      </c>
      <c r="J92" t="s">
        <v>20</v>
      </c>
    </row>
    <row r="93" spans="1:10" x14ac:dyDescent="0.25">
      <c r="A93" t="s">
        <v>119</v>
      </c>
      <c r="B93" t="s">
        <v>33</v>
      </c>
      <c r="C93" t="s">
        <v>23</v>
      </c>
      <c r="D93" t="s">
        <v>13</v>
      </c>
      <c r="E93" t="s">
        <v>35</v>
      </c>
      <c r="F93" t="s">
        <v>26</v>
      </c>
      <c r="G93">
        <v>13</v>
      </c>
      <c r="H93">
        <v>58976</v>
      </c>
      <c r="I93">
        <v>766688</v>
      </c>
      <c r="J93" t="s">
        <v>16</v>
      </c>
    </row>
    <row r="94" spans="1:10" x14ac:dyDescent="0.25">
      <c r="A94" t="s">
        <v>120</v>
      </c>
      <c r="B94" t="s">
        <v>22</v>
      </c>
      <c r="C94" t="s">
        <v>12</v>
      </c>
      <c r="D94" t="s">
        <v>44</v>
      </c>
      <c r="E94" t="s">
        <v>25</v>
      </c>
      <c r="F94" t="s">
        <v>26</v>
      </c>
      <c r="G94">
        <v>19</v>
      </c>
      <c r="H94">
        <v>42012</v>
      </c>
      <c r="I94">
        <v>798228</v>
      </c>
      <c r="J94" t="s">
        <v>36</v>
      </c>
    </row>
    <row r="95" spans="1:10" x14ac:dyDescent="0.25">
      <c r="A95" t="s">
        <v>121</v>
      </c>
      <c r="B95" t="s">
        <v>42</v>
      </c>
      <c r="C95" t="s">
        <v>38</v>
      </c>
      <c r="D95" t="s">
        <v>39</v>
      </c>
      <c r="E95" t="s">
        <v>30</v>
      </c>
      <c r="F95" t="s">
        <v>15</v>
      </c>
      <c r="G95">
        <v>17</v>
      </c>
      <c r="H95">
        <v>18660</v>
      </c>
      <c r="I95">
        <v>317220</v>
      </c>
      <c r="J95" t="s">
        <v>20</v>
      </c>
    </row>
    <row r="96" spans="1:10" x14ac:dyDescent="0.25">
      <c r="A96" t="s">
        <v>122</v>
      </c>
      <c r="B96" t="s">
        <v>22</v>
      </c>
      <c r="C96" t="s">
        <v>29</v>
      </c>
      <c r="D96" t="s">
        <v>48</v>
      </c>
      <c r="E96" t="s">
        <v>35</v>
      </c>
      <c r="F96" t="s">
        <v>26</v>
      </c>
      <c r="G96">
        <v>8</v>
      </c>
      <c r="H96">
        <v>59405</v>
      </c>
      <c r="I96">
        <v>475240</v>
      </c>
      <c r="J96" t="s">
        <v>36</v>
      </c>
    </row>
    <row r="97" spans="1:10" x14ac:dyDescent="0.25">
      <c r="A97" t="s">
        <v>123</v>
      </c>
      <c r="B97" t="s">
        <v>42</v>
      </c>
      <c r="C97" t="s">
        <v>12</v>
      </c>
      <c r="D97" t="s">
        <v>48</v>
      </c>
      <c r="E97" t="s">
        <v>19</v>
      </c>
      <c r="F97" t="s">
        <v>26</v>
      </c>
      <c r="G97">
        <v>1</v>
      </c>
      <c r="H97">
        <v>23213</v>
      </c>
      <c r="I97">
        <v>23213</v>
      </c>
      <c r="J97" t="s">
        <v>27</v>
      </c>
    </row>
    <row r="98" spans="1:10" x14ac:dyDescent="0.25">
      <c r="A98" t="s">
        <v>81</v>
      </c>
      <c r="B98" t="s">
        <v>42</v>
      </c>
      <c r="C98" t="s">
        <v>34</v>
      </c>
      <c r="D98" t="s">
        <v>44</v>
      </c>
      <c r="E98" t="s">
        <v>25</v>
      </c>
      <c r="F98" t="s">
        <v>15</v>
      </c>
      <c r="G98">
        <v>10</v>
      </c>
      <c r="H98">
        <v>35343</v>
      </c>
      <c r="I98">
        <v>353430</v>
      </c>
      <c r="J98" t="s">
        <v>16</v>
      </c>
    </row>
    <row r="99" spans="1:10" x14ac:dyDescent="0.25">
      <c r="A99" t="s">
        <v>123</v>
      </c>
      <c r="B99" t="s">
        <v>18</v>
      </c>
      <c r="C99" t="s">
        <v>38</v>
      </c>
      <c r="D99" t="s">
        <v>24</v>
      </c>
      <c r="E99" t="s">
        <v>14</v>
      </c>
      <c r="F99" t="s">
        <v>15</v>
      </c>
      <c r="G99">
        <v>13</v>
      </c>
      <c r="H99">
        <v>37599</v>
      </c>
      <c r="I99">
        <v>488787</v>
      </c>
      <c r="J99" t="s">
        <v>20</v>
      </c>
    </row>
    <row r="100" spans="1:10" x14ac:dyDescent="0.25">
      <c r="A100" t="s">
        <v>124</v>
      </c>
      <c r="B100" t="s">
        <v>42</v>
      </c>
      <c r="C100" t="s">
        <v>29</v>
      </c>
      <c r="D100" t="s">
        <v>48</v>
      </c>
      <c r="E100" t="s">
        <v>25</v>
      </c>
      <c r="F100" t="s">
        <v>15</v>
      </c>
      <c r="G100">
        <v>20</v>
      </c>
      <c r="H100">
        <v>59994</v>
      </c>
      <c r="I100">
        <v>1199880</v>
      </c>
      <c r="J100" t="s">
        <v>16</v>
      </c>
    </row>
    <row r="101" spans="1:10" x14ac:dyDescent="0.25">
      <c r="A101" t="s">
        <v>109</v>
      </c>
      <c r="B101" t="s">
        <v>42</v>
      </c>
      <c r="C101" t="s">
        <v>12</v>
      </c>
      <c r="D101" t="s">
        <v>39</v>
      </c>
      <c r="E101" t="s">
        <v>25</v>
      </c>
      <c r="F101" t="s">
        <v>26</v>
      </c>
      <c r="G101">
        <v>2</v>
      </c>
      <c r="H101">
        <v>59533</v>
      </c>
      <c r="I101">
        <v>119066</v>
      </c>
      <c r="J101" t="s">
        <v>20</v>
      </c>
    </row>
    <row r="102" spans="1:10" x14ac:dyDescent="0.25">
      <c r="A102" t="s">
        <v>125</v>
      </c>
      <c r="B102" t="s">
        <v>22</v>
      </c>
      <c r="C102" t="s">
        <v>12</v>
      </c>
      <c r="D102" t="s">
        <v>13</v>
      </c>
      <c r="E102" t="s">
        <v>25</v>
      </c>
      <c r="F102" t="s">
        <v>26</v>
      </c>
      <c r="G102">
        <v>9</v>
      </c>
      <c r="H102">
        <v>29728</v>
      </c>
      <c r="I102">
        <v>267552</v>
      </c>
      <c r="J102" t="s">
        <v>27</v>
      </c>
    </row>
    <row r="103" spans="1:10" x14ac:dyDescent="0.25">
      <c r="A103" t="s">
        <v>126</v>
      </c>
      <c r="B103" t="s">
        <v>11</v>
      </c>
      <c r="C103" t="s">
        <v>29</v>
      </c>
      <c r="D103" t="s">
        <v>24</v>
      </c>
      <c r="E103" t="s">
        <v>35</v>
      </c>
      <c r="F103" t="s">
        <v>15</v>
      </c>
      <c r="G103">
        <v>14</v>
      </c>
      <c r="H103">
        <v>33586</v>
      </c>
      <c r="I103">
        <v>470204</v>
      </c>
      <c r="J103" t="s">
        <v>27</v>
      </c>
    </row>
    <row r="104" spans="1:10" x14ac:dyDescent="0.25">
      <c r="A104" t="s">
        <v>127</v>
      </c>
      <c r="B104" t="s">
        <v>18</v>
      </c>
      <c r="C104" t="s">
        <v>23</v>
      </c>
      <c r="D104" t="s">
        <v>48</v>
      </c>
      <c r="E104" t="s">
        <v>14</v>
      </c>
      <c r="F104" t="s">
        <v>26</v>
      </c>
      <c r="G104">
        <v>6</v>
      </c>
      <c r="H104">
        <v>20356</v>
      </c>
      <c r="I104">
        <v>122136</v>
      </c>
      <c r="J104" t="s">
        <v>20</v>
      </c>
    </row>
    <row r="105" spans="1:10" x14ac:dyDescent="0.25">
      <c r="A105" t="s">
        <v>128</v>
      </c>
      <c r="B105" t="s">
        <v>33</v>
      </c>
      <c r="C105" t="s">
        <v>23</v>
      </c>
      <c r="D105" t="s">
        <v>24</v>
      </c>
      <c r="E105" t="s">
        <v>35</v>
      </c>
      <c r="F105" t="s">
        <v>15</v>
      </c>
      <c r="G105">
        <v>12</v>
      </c>
      <c r="H105">
        <v>48402</v>
      </c>
      <c r="I105">
        <v>580824</v>
      </c>
      <c r="J105" t="s">
        <v>36</v>
      </c>
    </row>
    <row r="106" spans="1:10" x14ac:dyDescent="0.25">
      <c r="A106" t="s">
        <v>68</v>
      </c>
      <c r="B106" t="s">
        <v>42</v>
      </c>
      <c r="C106" t="s">
        <v>12</v>
      </c>
      <c r="D106" t="s">
        <v>48</v>
      </c>
      <c r="E106" t="s">
        <v>30</v>
      </c>
      <c r="F106" t="s">
        <v>15</v>
      </c>
      <c r="G106">
        <v>1</v>
      </c>
      <c r="H106">
        <v>16938</v>
      </c>
      <c r="I106">
        <v>16938</v>
      </c>
      <c r="J106" t="s">
        <v>20</v>
      </c>
    </row>
    <row r="107" spans="1:10" x14ac:dyDescent="0.25">
      <c r="A107" t="s">
        <v>129</v>
      </c>
      <c r="B107" t="s">
        <v>22</v>
      </c>
      <c r="C107" t="s">
        <v>29</v>
      </c>
      <c r="D107" t="s">
        <v>13</v>
      </c>
      <c r="E107" t="s">
        <v>14</v>
      </c>
      <c r="F107" t="s">
        <v>15</v>
      </c>
      <c r="G107">
        <v>13</v>
      </c>
      <c r="H107">
        <v>57731</v>
      </c>
      <c r="I107">
        <v>750503</v>
      </c>
      <c r="J107" t="s">
        <v>16</v>
      </c>
    </row>
    <row r="108" spans="1:10" x14ac:dyDescent="0.25">
      <c r="A108" t="s">
        <v>130</v>
      </c>
      <c r="B108" t="s">
        <v>18</v>
      </c>
      <c r="C108" t="s">
        <v>38</v>
      </c>
      <c r="D108" t="s">
        <v>13</v>
      </c>
      <c r="E108" t="s">
        <v>14</v>
      </c>
      <c r="F108" t="s">
        <v>15</v>
      </c>
      <c r="G108">
        <v>1</v>
      </c>
      <c r="H108">
        <v>50925</v>
      </c>
      <c r="I108">
        <v>50925</v>
      </c>
      <c r="J108" t="s">
        <v>27</v>
      </c>
    </row>
    <row r="109" spans="1:10" x14ac:dyDescent="0.25">
      <c r="A109" t="s">
        <v>131</v>
      </c>
      <c r="B109" t="s">
        <v>42</v>
      </c>
      <c r="C109" t="s">
        <v>34</v>
      </c>
      <c r="D109" t="s">
        <v>48</v>
      </c>
      <c r="E109" t="s">
        <v>30</v>
      </c>
      <c r="F109" t="s">
        <v>26</v>
      </c>
      <c r="G109">
        <v>6</v>
      </c>
      <c r="H109">
        <v>53839</v>
      </c>
      <c r="I109">
        <v>323034</v>
      </c>
      <c r="J109" t="s">
        <v>16</v>
      </c>
    </row>
    <row r="110" spans="1:10" x14ac:dyDescent="0.25">
      <c r="A110" t="s">
        <v>132</v>
      </c>
      <c r="B110" t="s">
        <v>11</v>
      </c>
      <c r="C110" t="s">
        <v>23</v>
      </c>
      <c r="D110" t="s">
        <v>44</v>
      </c>
      <c r="E110" t="s">
        <v>19</v>
      </c>
      <c r="F110" t="s">
        <v>15</v>
      </c>
      <c r="G110">
        <v>7</v>
      </c>
      <c r="H110">
        <v>21053</v>
      </c>
      <c r="I110">
        <v>147371</v>
      </c>
      <c r="J110" t="s">
        <v>16</v>
      </c>
    </row>
    <row r="111" spans="1:10" x14ac:dyDescent="0.25">
      <c r="A111" t="s">
        <v>63</v>
      </c>
      <c r="B111" t="s">
        <v>42</v>
      </c>
      <c r="C111" t="s">
        <v>29</v>
      </c>
      <c r="D111" t="s">
        <v>13</v>
      </c>
      <c r="E111" t="s">
        <v>19</v>
      </c>
      <c r="F111" t="s">
        <v>26</v>
      </c>
      <c r="G111">
        <v>18</v>
      </c>
      <c r="H111">
        <v>57153</v>
      </c>
      <c r="I111">
        <v>1028754</v>
      </c>
      <c r="J111" t="s">
        <v>27</v>
      </c>
    </row>
    <row r="112" spans="1:10" x14ac:dyDescent="0.25">
      <c r="A112" t="s">
        <v>117</v>
      </c>
      <c r="B112" t="s">
        <v>33</v>
      </c>
      <c r="C112" t="s">
        <v>34</v>
      </c>
      <c r="D112" t="s">
        <v>24</v>
      </c>
      <c r="E112" t="s">
        <v>19</v>
      </c>
      <c r="F112" t="s">
        <v>26</v>
      </c>
      <c r="G112">
        <v>17</v>
      </c>
      <c r="H112">
        <v>56627</v>
      </c>
      <c r="I112">
        <v>962659</v>
      </c>
      <c r="J112" t="s">
        <v>27</v>
      </c>
    </row>
    <row r="113" spans="1:10" x14ac:dyDescent="0.25">
      <c r="A113" t="s">
        <v>133</v>
      </c>
      <c r="B113" t="s">
        <v>42</v>
      </c>
      <c r="C113" t="s">
        <v>34</v>
      </c>
      <c r="D113" t="s">
        <v>44</v>
      </c>
      <c r="E113" t="s">
        <v>19</v>
      </c>
      <c r="F113" t="s">
        <v>40</v>
      </c>
      <c r="G113">
        <v>9</v>
      </c>
      <c r="H113">
        <v>58676</v>
      </c>
      <c r="I113">
        <v>528084</v>
      </c>
      <c r="J113" t="s">
        <v>20</v>
      </c>
    </row>
    <row r="114" spans="1:10" x14ac:dyDescent="0.25">
      <c r="A114" t="s">
        <v>134</v>
      </c>
      <c r="B114" t="s">
        <v>11</v>
      </c>
      <c r="C114" t="s">
        <v>23</v>
      </c>
      <c r="D114" t="s">
        <v>39</v>
      </c>
      <c r="E114" t="s">
        <v>30</v>
      </c>
      <c r="F114" t="s">
        <v>15</v>
      </c>
      <c r="G114">
        <v>15</v>
      </c>
      <c r="H114">
        <v>23478</v>
      </c>
      <c r="I114">
        <v>352170</v>
      </c>
      <c r="J114" t="s">
        <v>36</v>
      </c>
    </row>
    <row r="115" spans="1:10" x14ac:dyDescent="0.25">
      <c r="A115" t="s">
        <v>135</v>
      </c>
      <c r="B115" t="s">
        <v>42</v>
      </c>
      <c r="C115" t="s">
        <v>12</v>
      </c>
      <c r="D115" t="s">
        <v>44</v>
      </c>
      <c r="E115" t="s">
        <v>25</v>
      </c>
      <c r="F115" t="s">
        <v>26</v>
      </c>
      <c r="G115">
        <v>8</v>
      </c>
      <c r="H115">
        <v>33263</v>
      </c>
      <c r="I115">
        <v>266104</v>
      </c>
      <c r="J115" t="s">
        <v>36</v>
      </c>
    </row>
    <row r="116" spans="1:10" x14ac:dyDescent="0.25">
      <c r="A116" t="s">
        <v>136</v>
      </c>
      <c r="B116" t="s">
        <v>11</v>
      </c>
      <c r="C116" t="s">
        <v>38</v>
      </c>
      <c r="D116" t="s">
        <v>24</v>
      </c>
      <c r="E116" t="s">
        <v>35</v>
      </c>
      <c r="F116" t="s">
        <v>26</v>
      </c>
      <c r="G116">
        <v>3</v>
      </c>
      <c r="H116">
        <v>26400</v>
      </c>
      <c r="I116">
        <v>79200</v>
      </c>
      <c r="J116" t="s">
        <v>20</v>
      </c>
    </row>
    <row r="117" spans="1:10" x14ac:dyDescent="0.25">
      <c r="A117" t="s">
        <v>137</v>
      </c>
      <c r="B117" t="s">
        <v>11</v>
      </c>
      <c r="C117" t="s">
        <v>29</v>
      </c>
      <c r="D117" t="s">
        <v>13</v>
      </c>
      <c r="E117" t="s">
        <v>25</v>
      </c>
      <c r="F117" t="s">
        <v>15</v>
      </c>
      <c r="G117">
        <v>9</v>
      </c>
      <c r="H117">
        <v>29092</v>
      </c>
      <c r="I117">
        <v>261828</v>
      </c>
      <c r="J117" t="s">
        <v>27</v>
      </c>
    </row>
    <row r="118" spans="1:10" x14ac:dyDescent="0.25">
      <c r="A118" t="s">
        <v>138</v>
      </c>
      <c r="B118" t="s">
        <v>42</v>
      </c>
      <c r="C118" t="s">
        <v>23</v>
      </c>
      <c r="D118" t="s">
        <v>39</v>
      </c>
      <c r="E118" t="s">
        <v>35</v>
      </c>
      <c r="F118" t="s">
        <v>26</v>
      </c>
      <c r="G118">
        <v>8</v>
      </c>
      <c r="H118">
        <v>41246</v>
      </c>
      <c r="I118">
        <v>329968</v>
      </c>
      <c r="J118" t="s">
        <v>20</v>
      </c>
    </row>
    <row r="119" spans="1:10" x14ac:dyDescent="0.25">
      <c r="A119" t="s">
        <v>139</v>
      </c>
      <c r="B119" t="s">
        <v>33</v>
      </c>
      <c r="C119" t="s">
        <v>34</v>
      </c>
      <c r="D119" t="s">
        <v>44</v>
      </c>
      <c r="E119" t="s">
        <v>19</v>
      </c>
      <c r="F119" t="s">
        <v>26</v>
      </c>
      <c r="G119">
        <v>6</v>
      </c>
      <c r="H119">
        <v>55363</v>
      </c>
      <c r="I119">
        <v>332178</v>
      </c>
      <c r="J119" t="s">
        <v>20</v>
      </c>
    </row>
    <row r="120" spans="1:10" x14ac:dyDescent="0.25">
      <c r="A120" t="s">
        <v>140</v>
      </c>
      <c r="B120" t="s">
        <v>33</v>
      </c>
      <c r="C120" t="s">
        <v>23</v>
      </c>
      <c r="D120" t="s">
        <v>44</v>
      </c>
      <c r="E120" t="s">
        <v>14</v>
      </c>
      <c r="F120" t="s">
        <v>15</v>
      </c>
      <c r="G120">
        <v>19</v>
      </c>
      <c r="H120">
        <v>17206</v>
      </c>
      <c r="I120">
        <v>326914</v>
      </c>
      <c r="J120" t="s">
        <v>36</v>
      </c>
    </row>
    <row r="121" spans="1:10" x14ac:dyDescent="0.25">
      <c r="A121" t="s">
        <v>141</v>
      </c>
      <c r="B121" t="s">
        <v>11</v>
      </c>
      <c r="C121" t="s">
        <v>38</v>
      </c>
      <c r="D121" t="s">
        <v>48</v>
      </c>
      <c r="E121" t="s">
        <v>14</v>
      </c>
      <c r="F121" t="s">
        <v>26</v>
      </c>
      <c r="G121">
        <v>13</v>
      </c>
      <c r="H121">
        <v>27116</v>
      </c>
      <c r="I121">
        <v>352508</v>
      </c>
      <c r="J121" t="s">
        <v>36</v>
      </c>
    </row>
    <row r="122" spans="1:10" x14ac:dyDescent="0.25">
      <c r="A122" t="s">
        <v>142</v>
      </c>
      <c r="B122" t="s">
        <v>11</v>
      </c>
      <c r="C122" t="s">
        <v>34</v>
      </c>
      <c r="D122" t="s">
        <v>48</v>
      </c>
      <c r="E122" t="s">
        <v>19</v>
      </c>
      <c r="F122" t="s">
        <v>40</v>
      </c>
      <c r="G122">
        <v>16</v>
      </c>
      <c r="H122">
        <v>25922</v>
      </c>
      <c r="I122">
        <v>414752</v>
      </c>
      <c r="J122" t="s">
        <v>20</v>
      </c>
    </row>
    <row r="123" spans="1:10" x14ac:dyDescent="0.25">
      <c r="A123" t="s">
        <v>45</v>
      </c>
      <c r="B123" t="s">
        <v>22</v>
      </c>
      <c r="C123" t="s">
        <v>38</v>
      </c>
      <c r="D123" t="s">
        <v>24</v>
      </c>
      <c r="E123" t="s">
        <v>19</v>
      </c>
      <c r="F123" t="s">
        <v>40</v>
      </c>
      <c r="G123">
        <v>13</v>
      </c>
      <c r="H123">
        <v>59388</v>
      </c>
      <c r="I123">
        <v>772044</v>
      </c>
      <c r="J123" t="s">
        <v>36</v>
      </c>
    </row>
    <row r="124" spans="1:10" x14ac:dyDescent="0.25">
      <c r="A124" t="s">
        <v>143</v>
      </c>
      <c r="B124" t="s">
        <v>42</v>
      </c>
      <c r="C124" t="s">
        <v>12</v>
      </c>
      <c r="D124" t="s">
        <v>44</v>
      </c>
      <c r="E124" t="s">
        <v>35</v>
      </c>
      <c r="F124" t="s">
        <v>26</v>
      </c>
      <c r="G124">
        <v>8</v>
      </c>
      <c r="H124">
        <v>37444</v>
      </c>
      <c r="I124">
        <v>299552</v>
      </c>
      <c r="J124" t="s">
        <v>36</v>
      </c>
    </row>
    <row r="125" spans="1:10" x14ac:dyDescent="0.25">
      <c r="A125" t="s">
        <v>144</v>
      </c>
      <c r="B125" t="s">
        <v>33</v>
      </c>
      <c r="C125" t="s">
        <v>12</v>
      </c>
      <c r="D125" t="s">
        <v>39</v>
      </c>
      <c r="E125" t="s">
        <v>35</v>
      </c>
      <c r="F125" t="s">
        <v>40</v>
      </c>
      <c r="G125">
        <v>5</v>
      </c>
      <c r="H125">
        <v>54888</v>
      </c>
      <c r="I125">
        <v>274440</v>
      </c>
      <c r="J125" t="s">
        <v>16</v>
      </c>
    </row>
    <row r="126" spans="1:10" x14ac:dyDescent="0.25">
      <c r="A126" t="s">
        <v>32</v>
      </c>
      <c r="B126" t="s">
        <v>18</v>
      </c>
      <c r="C126" t="s">
        <v>12</v>
      </c>
      <c r="D126" t="s">
        <v>24</v>
      </c>
      <c r="E126" t="s">
        <v>14</v>
      </c>
      <c r="F126" t="s">
        <v>15</v>
      </c>
      <c r="G126">
        <v>13</v>
      </c>
      <c r="H126">
        <v>38263</v>
      </c>
      <c r="I126">
        <v>497419</v>
      </c>
      <c r="J126" t="s">
        <v>27</v>
      </c>
    </row>
    <row r="127" spans="1:10" x14ac:dyDescent="0.25">
      <c r="A127" t="s">
        <v>31</v>
      </c>
      <c r="B127" t="s">
        <v>33</v>
      </c>
      <c r="C127" t="s">
        <v>29</v>
      </c>
      <c r="D127" t="s">
        <v>48</v>
      </c>
      <c r="E127" t="s">
        <v>19</v>
      </c>
      <c r="F127" t="s">
        <v>15</v>
      </c>
      <c r="G127">
        <v>15</v>
      </c>
      <c r="H127">
        <v>17853</v>
      </c>
      <c r="I127">
        <v>267795</v>
      </c>
      <c r="J127" t="s">
        <v>36</v>
      </c>
    </row>
    <row r="128" spans="1:10" x14ac:dyDescent="0.25">
      <c r="A128" t="s">
        <v>145</v>
      </c>
      <c r="B128" t="s">
        <v>33</v>
      </c>
      <c r="C128" t="s">
        <v>12</v>
      </c>
      <c r="D128" t="s">
        <v>13</v>
      </c>
      <c r="E128" t="s">
        <v>30</v>
      </c>
      <c r="F128" t="s">
        <v>15</v>
      </c>
      <c r="G128">
        <v>13</v>
      </c>
      <c r="H128">
        <v>39574</v>
      </c>
      <c r="I128">
        <v>514462</v>
      </c>
      <c r="J128" t="s">
        <v>27</v>
      </c>
    </row>
    <row r="129" spans="1:10" x14ac:dyDescent="0.25">
      <c r="A129" t="s">
        <v>57</v>
      </c>
      <c r="B129" t="s">
        <v>42</v>
      </c>
      <c r="C129" t="s">
        <v>38</v>
      </c>
      <c r="D129" t="s">
        <v>13</v>
      </c>
      <c r="E129" t="s">
        <v>30</v>
      </c>
      <c r="F129" t="s">
        <v>40</v>
      </c>
      <c r="G129">
        <v>2</v>
      </c>
      <c r="H129">
        <v>57630</v>
      </c>
      <c r="I129">
        <v>115260</v>
      </c>
      <c r="J129" t="s">
        <v>16</v>
      </c>
    </row>
    <row r="130" spans="1:10" x14ac:dyDescent="0.25">
      <c r="A130" t="s">
        <v>146</v>
      </c>
      <c r="B130" t="s">
        <v>18</v>
      </c>
      <c r="C130" t="s">
        <v>34</v>
      </c>
      <c r="D130" t="s">
        <v>13</v>
      </c>
      <c r="E130" t="s">
        <v>19</v>
      </c>
      <c r="F130" t="s">
        <v>40</v>
      </c>
      <c r="G130">
        <v>6</v>
      </c>
      <c r="H130">
        <v>26253</v>
      </c>
      <c r="I130">
        <v>157518</v>
      </c>
      <c r="J130" t="s">
        <v>27</v>
      </c>
    </row>
    <row r="131" spans="1:10" x14ac:dyDescent="0.25">
      <c r="A131" t="s">
        <v>89</v>
      </c>
      <c r="B131" t="s">
        <v>33</v>
      </c>
      <c r="C131" t="s">
        <v>38</v>
      </c>
      <c r="D131" t="s">
        <v>39</v>
      </c>
      <c r="E131" t="s">
        <v>19</v>
      </c>
      <c r="F131" t="s">
        <v>26</v>
      </c>
      <c r="G131">
        <v>18</v>
      </c>
      <c r="H131">
        <v>33208</v>
      </c>
      <c r="I131">
        <v>597744</v>
      </c>
      <c r="J131" t="s">
        <v>16</v>
      </c>
    </row>
    <row r="132" spans="1:10" x14ac:dyDescent="0.25">
      <c r="A132" t="s">
        <v>147</v>
      </c>
      <c r="B132" t="s">
        <v>42</v>
      </c>
      <c r="C132" t="s">
        <v>38</v>
      </c>
      <c r="D132" t="s">
        <v>39</v>
      </c>
      <c r="E132" t="s">
        <v>30</v>
      </c>
      <c r="F132" t="s">
        <v>26</v>
      </c>
      <c r="G132">
        <v>12</v>
      </c>
      <c r="H132">
        <v>47984</v>
      </c>
      <c r="I132">
        <v>575808</v>
      </c>
      <c r="J132" t="s">
        <v>27</v>
      </c>
    </row>
    <row r="133" spans="1:10" x14ac:dyDescent="0.25">
      <c r="A133" t="s">
        <v>148</v>
      </c>
      <c r="B133" t="s">
        <v>22</v>
      </c>
      <c r="C133" t="s">
        <v>12</v>
      </c>
      <c r="D133" t="s">
        <v>24</v>
      </c>
      <c r="E133" t="s">
        <v>14</v>
      </c>
      <c r="F133" t="s">
        <v>40</v>
      </c>
      <c r="G133">
        <v>1</v>
      </c>
      <c r="H133">
        <v>17721</v>
      </c>
      <c r="I133">
        <v>17721</v>
      </c>
      <c r="J133" t="s">
        <v>27</v>
      </c>
    </row>
    <row r="134" spans="1:10" x14ac:dyDescent="0.25">
      <c r="A134" t="s">
        <v>149</v>
      </c>
      <c r="B134" t="s">
        <v>11</v>
      </c>
      <c r="C134" t="s">
        <v>12</v>
      </c>
      <c r="D134" t="s">
        <v>13</v>
      </c>
      <c r="E134" t="s">
        <v>14</v>
      </c>
      <c r="F134" t="s">
        <v>26</v>
      </c>
      <c r="G134">
        <v>5</v>
      </c>
      <c r="H134">
        <v>39704</v>
      </c>
      <c r="I134">
        <v>198520</v>
      </c>
      <c r="J134" t="s">
        <v>20</v>
      </c>
    </row>
    <row r="135" spans="1:10" x14ac:dyDescent="0.25">
      <c r="A135" t="s">
        <v>150</v>
      </c>
      <c r="B135" t="s">
        <v>11</v>
      </c>
      <c r="C135" t="s">
        <v>23</v>
      </c>
      <c r="D135" t="s">
        <v>24</v>
      </c>
      <c r="E135" t="s">
        <v>25</v>
      </c>
      <c r="F135" t="s">
        <v>40</v>
      </c>
      <c r="G135">
        <v>13</v>
      </c>
      <c r="H135">
        <v>39187</v>
      </c>
      <c r="I135">
        <v>509431</v>
      </c>
      <c r="J135" t="s">
        <v>20</v>
      </c>
    </row>
    <row r="136" spans="1:10" x14ac:dyDescent="0.25">
      <c r="A136" t="s">
        <v>151</v>
      </c>
      <c r="B136" t="s">
        <v>42</v>
      </c>
      <c r="C136" t="s">
        <v>34</v>
      </c>
      <c r="D136" t="s">
        <v>48</v>
      </c>
      <c r="E136" t="s">
        <v>14</v>
      </c>
      <c r="F136" t="s">
        <v>26</v>
      </c>
      <c r="G136">
        <v>4</v>
      </c>
      <c r="H136">
        <v>27408</v>
      </c>
      <c r="I136">
        <v>109632</v>
      </c>
      <c r="J136" t="s">
        <v>27</v>
      </c>
    </row>
    <row r="137" spans="1:10" x14ac:dyDescent="0.25">
      <c r="A137" t="s">
        <v>152</v>
      </c>
      <c r="B137" t="s">
        <v>33</v>
      </c>
      <c r="C137" t="s">
        <v>23</v>
      </c>
      <c r="D137" t="s">
        <v>13</v>
      </c>
      <c r="E137" t="s">
        <v>35</v>
      </c>
      <c r="F137" t="s">
        <v>15</v>
      </c>
      <c r="G137">
        <v>3</v>
      </c>
      <c r="H137">
        <v>31535</v>
      </c>
      <c r="I137">
        <v>94605</v>
      </c>
      <c r="J137" t="s">
        <v>16</v>
      </c>
    </row>
    <row r="138" spans="1:10" x14ac:dyDescent="0.25">
      <c r="A138" t="s">
        <v>153</v>
      </c>
      <c r="B138" t="s">
        <v>18</v>
      </c>
      <c r="C138" t="s">
        <v>23</v>
      </c>
      <c r="D138" t="s">
        <v>24</v>
      </c>
      <c r="E138" t="s">
        <v>30</v>
      </c>
      <c r="F138" t="s">
        <v>40</v>
      </c>
      <c r="G138">
        <v>8</v>
      </c>
      <c r="H138">
        <v>48205</v>
      </c>
      <c r="I138">
        <v>385640</v>
      </c>
      <c r="J138" t="s">
        <v>20</v>
      </c>
    </row>
    <row r="139" spans="1:10" x14ac:dyDescent="0.25">
      <c r="A139" t="s">
        <v>147</v>
      </c>
      <c r="B139" t="s">
        <v>11</v>
      </c>
      <c r="C139" t="s">
        <v>38</v>
      </c>
      <c r="D139" t="s">
        <v>39</v>
      </c>
      <c r="E139" t="s">
        <v>14</v>
      </c>
      <c r="F139" t="s">
        <v>26</v>
      </c>
      <c r="G139">
        <v>10</v>
      </c>
      <c r="H139">
        <v>28175</v>
      </c>
      <c r="I139">
        <v>281750</v>
      </c>
      <c r="J139" t="s">
        <v>20</v>
      </c>
    </row>
    <row r="140" spans="1:10" x14ac:dyDescent="0.25">
      <c r="A140" t="s">
        <v>138</v>
      </c>
      <c r="B140" t="s">
        <v>33</v>
      </c>
      <c r="C140" t="s">
        <v>23</v>
      </c>
      <c r="D140" t="s">
        <v>39</v>
      </c>
      <c r="E140" t="s">
        <v>25</v>
      </c>
      <c r="F140" t="s">
        <v>15</v>
      </c>
      <c r="G140">
        <v>9</v>
      </c>
      <c r="H140">
        <v>15143</v>
      </c>
      <c r="I140">
        <v>136287</v>
      </c>
      <c r="J140" t="s">
        <v>27</v>
      </c>
    </row>
    <row r="141" spans="1:10" x14ac:dyDescent="0.25">
      <c r="A141" t="s">
        <v>154</v>
      </c>
      <c r="B141" t="s">
        <v>22</v>
      </c>
      <c r="C141" t="s">
        <v>38</v>
      </c>
      <c r="D141" t="s">
        <v>39</v>
      </c>
      <c r="E141" t="s">
        <v>14</v>
      </c>
      <c r="F141" t="s">
        <v>15</v>
      </c>
      <c r="G141">
        <v>2</v>
      </c>
      <c r="H141">
        <v>37032</v>
      </c>
      <c r="I141">
        <v>74064</v>
      </c>
      <c r="J141" t="s">
        <v>20</v>
      </c>
    </row>
    <row r="142" spans="1:10" x14ac:dyDescent="0.25">
      <c r="A142" t="s">
        <v>55</v>
      </c>
      <c r="B142" t="s">
        <v>11</v>
      </c>
      <c r="C142" t="s">
        <v>23</v>
      </c>
      <c r="D142" t="s">
        <v>24</v>
      </c>
      <c r="E142" t="s">
        <v>19</v>
      </c>
      <c r="F142" t="s">
        <v>15</v>
      </c>
      <c r="G142">
        <v>10</v>
      </c>
      <c r="H142">
        <v>59246</v>
      </c>
      <c r="I142">
        <v>592460</v>
      </c>
      <c r="J142" t="s">
        <v>27</v>
      </c>
    </row>
    <row r="143" spans="1:10" x14ac:dyDescent="0.25">
      <c r="A143" t="s">
        <v>155</v>
      </c>
      <c r="B143" t="s">
        <v>11</v>
      </c>
      <c r="C143" t="s">
        <v>12</v>
      </c>
      <c r="D143" t="s">
        <v>48</v>
      </c>
      <c r="E143" t="s">
        <v>19</v>
      </c>
      <c r="F143" t="s">
        <v>40</v>
      </c>
      <c r="G143">
        <v>2</v>
      </c>
      <c r="H143">
        <v>44615</v>
      </c>
      <c r="I143">
        <v>89230</v>
      </c>
      <c r="J143" t="s">
        <v>36</v>
      </c>
    </row>
    <row r="144" spans="1:10" x14ac:dyDescent="0.25">
      <c r="A144" t="s">
        <v>137</v>
      </c>
      <c r="B144" t="s">
        <v>18</v>
      </c>
      <c r="C144" t="s">
        <v>12</v>
      </c>
      <c r="D144" t="s">
        <v>13</v>
      </c>
      <c r="E144" t="s">
        <v>35</v>
      </c>
      <c r="F144" t="s">
        <v>15</v>
      </c>
      <c r="G144">
        <v>20</v>
      </c>
      <c r="H144">
        <v>34008</v>
      </c>
      <c r="I144">
        <v>680160</v>
      </c>
      <c r="J144" t="s">
        <v>27</v>
      </c>
    </row>
    <row r="145" spans="1:10" x14ac:dyDescent="0.25">
      <c r="A145" t="s">
        <v>156</v>
      </c>
      <c r="B145" t="s">
        <v>22</v>
      </c>
      <c r="C145" t="s">
        <v>38</v>
      </c>
      <c r="D145" t="s">
        <v>24</v>
      </c>
      <c r="E145" t="s">
        <v>35</v>
      </c>
      <c r="F145" t="s">
        <v>15</v>
      </c>
      <c r="G145">
        <v>11</v>
      </c>
      <c r="H145">
        <v>49260</v>
      </c>
      <c r="I145">
        <v>541860</v>
      </c>
      <c r="J145" t="s">
        <v>27</v>
      </c>
    </row>
    <row r="146" spans="1:10" x14ac:dyDescent="0.25">
      <c r="A146" t="s">
        <v>157</v>
      </c>
      <c r="B146" t="s">
        <v>18</v>
      </c>
      <c r="C146" t="s">
        <v>38</v>
      </c>
      <c r="D146" t="s">
        <v>39</v>
      </c>
      <c r="E146" t="s">
        <v>14</v>
      </c>
      <c r="F146" t="s">
        <v>15</v>
      </c>
      <c r="G146">
        <v>19</v>
      </c>
      <c r="H146">
        <v>55055</v>
      </c>
      <c r="I146">
        <v>1046045</v>
      </c>
      <c r="J146" t="s">
        <v>16</v>
      </c>
    </row>
    <row r="147" spans="1:10" x14ac:dyDescent="0.25">
      <c r="A147" t="s">
        <v>158</v>
      </c>
      <c r="B147" t="s">
        <v>11</v>
      </c>
      <c r="C147" t="s">
        <v>12</v>
      </c>
      <c r="D147" t="s">
        <v>44</v>
      </c>
      <c r="E147" t="s">
        <v>14</v>
      </c>
      <c r="F147" t="s">
        <v>40</v>
      </c>
      <c r="G147">
        <v>2</v>
      </c>
      <c r="H147">
        <v>16677</v>
      </c>
      <c r="I147">
        <v>33354</v>
      </c>
      <c r="J147" t="s">
        <v>16</v>
      </c>
    </row>
    <row r="148" spans="1:10" x14ac:dyDescent="0.25">
      <c r="A148" t="s">
        <v>159</v>
      </c>
      <c r="B148" t="s">
        <v>42</v>
      </c>
      <c r="C148" t="s">
        <v>38</v>
      </c>
      <c r="D148" t="s">
        <v>44</v>
      </c>
      <c r="E148" t="s">
        <v>30</v>
      </c>
      <c r="F148" t="s">
        <v>40</v>
      </c>
      <c r="G148">
        <v>8</v>
      </c>
      <c r="H148">
        <v>15816</v>
      </c>
      <c r="I148">
        <v>126528</v>
      </c>
      <c r="J148" t="s">
        <v>36</v>
      </c>
    </row>
    <row r="149" spans="1:10" x14ac:dyDescent="0.25">
      <c r="A149" t="s">
        <v>141</v>
      </c>
      <c r="B149" t="s">
        <v>42</v>
      </c>
      <c r="C149" t="s">
        <v>38</v>
      </c>
      <c r="D149" t="s">
        <v>44</v>
      </c>
      <c r="E149" t="s">
        <v>14</v>
      </c>
      <c r="F149" t="s">
        <v>15</v>
      </c>
      <c r="G149">
        <v>6</v>
      </c>
      <c r="H149">
        <v>55423</v>
      </c>
      <c r="I149">
        <v>332538</v>
      </c>
      <c r="J149" t="s">
        <v>27</v>
      </c>
    </row>
    <row r="150" spans="1:10" x14ac:dyDescent="0.25">
      <c r="A150" t="s">
        <v>160</v>
      </c>
      <c r="B150" t="s">
        <v>42</v>
      </c>
      <c r="C150" t="s">
        <v>23</v>
      </c>
      <c r="D150" t="s">
        <v>44</v>
      </c>
      <c r="E150" t="s">
        <v>30</v>
      </c>
      <c r="F150" t="s">
        <v>26</v>
      </c>
      <c r="G150">
        <v>1</v>
      </c>
      <c r="H150">
        <v>39064</v>
      </c>
      <c r="I150">
        <v>39064</v>
      </c>
      <c r="J150" t="s">
        <v>27</v>
      </c>
    </row>
    <row r="151" spans="1:10" x14ac:dyDescent="0.25">
      <c r="A151" t="s">
        <v>63</v>
      </c>
      <c r="B151" t="s">
        <v>22</v>
      </c>
      <c r="C151" t="s">
        <v>12</v>
      </c>
      <c r="D151" t="s">
        <v>24</v>
      </c>
      <c r="E151" t="s">
        <v>25</v>
      </c>
      <c r="F151" t="s">
        <v>40</v>
      </c>
      <c r="G151">
        <v>3</v>
      </c>
      <c r="H151">
        <v>21366</v>
      </c>
      <c r="I151">
        <v>64098</v>
      </c>
      <c r="J151" t="s">
        <v>27</v>
      </c>
    </row>
    <row r="152" spans="1:10" x14ac:dyDescent="0.25">
      <c r="A152" t="s">
        <v>161</v>
      </c>
      <c r="B152" t="s">
        <v>22</v>
      </c>
      <c r="C152" t="s">
        <v>12</v>
      </c>
      <c r="D152" t="s">
        <v>13</v>
      </c>
      <c r="E152" t="s">
        <v>25</v>
      </c>
      <c r="F152" t="s">
        <v>15</v>
      </c>
      <c r="G152">
        <v>2</v>
      </c>
      <c r="H152">
        <v>41682</v>
      </c>
      <c r="I152">
        <v>83364</v>
      </c>
      <c r="J152" t="s">
        <v>20</v>
      </c>
    </row>
    <row r="153" spans="1:10" x14ac:dyDescent="0.25">
      <c r="A153" t="s">
        <v>162</v>
      </c>
      <c r="B153" t="s">
        <v>42</v>
      </c>
      <c r="C153" t="s">
        <v>12</v>
      </c>
      <c r="D153" t="s">
        <v>13</v>
      </c>
      <c r="E153" t="s">
        <v>14</v>
      </c>
      <c r="F153" t="s">
        <v>40</v>
      </c>
      <c r="G153">
        <v>13</v>
      </c>
      <c r="H153">
        <v>48846</v>
      </c>
      <c r="I153">
        <v>634998</v>
      </c>
      <c r="J153" t="s">
        <v>36</v>
      </c>
    </row>
    <row r="154" spans="1:10" x14ac:dyDescent="0.25">
      <c r="A154" t="s">
        <v>163</v>
      </c>
      <c r="B154" t="s">
        <v>33</v>
      </c>
      <c r="C154" t="s">
        <v>12</v>
      </c>
      <c r="D154" t="s">
        <v>24</v>
      </c>
      <c r="E154" t="s">
        <v>25</v>
      </c>
      <c r="F154" t="s">
        <v>26</v>
      </c>
      <c r="G154">
        <v>11</v>
      </c>
      <c r="H154">
        <v>25360</v>
      </c>
      <c r="I154">
        <v>278960</v>
      </c>
      <c r="J154" t="s">
        <v>20</v>
      </c>
    </row>
    <row r="155" spans="1:10" x14ac:dyDescent="0.25">
      <c r="A155" t="s">
        <v>164</v>
      </c>
      <c r="B155" t="s">
        <v>18</v>
      </c>
      <c r="C155" t="s">
        <v>29</v>
      </c>
      <c r="D155" t="s">
        <v>13</v>
      </c>
      <c r="E155" t="s">
        <v>19</v>
      </c>
      <c r="F155" t="s">
        <v>40</v>
      </c>
      <c r="G155">
        <v>17</v>
      </c>
      <c r="H155">
        <v>35635</v>
      </c>
      <c r="I155">
        <v>605795</v>
      </c>
      <c r="J155" t="s">
        <v>20</v>
      </c>
    </row>
    <row r="156" spans="1:10" x14ac:dyDescent="0.25">
      <c r="A156" t="s">
        <v>165</v>
      </c>
      <c r="B156" t="s">
        <v>33</v>
      </c>
      <c r="C156" t="s">
        <v>12</v>
      </c>
      <c r="D156" t="s">
        <v>48</v>
      </c>
      <c r="E156" t="s">
        <v>35</v>
      </c>
      <c r="F156" t="s">
        <v>26</v>
      </c>
      <c r="G156">
        <v>15</v>
      </c>
      <c r="H156">
        <v>24676</v>
      </c>
      <c r="I156">
        <v>370140</v>
      </c>
      <c r="J156" t="s">
        <v>16</v>
      </c>
    </row>
    <row r="157" spans="1:10" x14ac:dyDescent="0.25">
      <c r="A157" t="s">
        <v>166</v>
      </c>
      <c r="B157" t="s">
        <v>42</v>
      </c>
      <c r="C157" t="s">
        <v>29</v>
      </c>
      <c r="D157" t="s">
        <v>24</v>
      </c>
      <c r="E157" t="s">
        <v>14</v>
      </c>
      <c r="F157" t="s">
        <v>26</v>
      </c>
      <c r="G157">
        <v>3</v>
      </c>
      <c r="H157">
        <v>22556</v>
      </c>
      <c r="I157">
        <v>67668</v>
      </c>
      <c r="J157" t="s">
        <v>36</v>
      </c>
    </row>
    <row r="158" spans="1:10" x14ac:dyDescent="0.25">
      <c r="A158" t="s">
        <v>167</v>
      </c>
      <c r="B158" t="s">
        <v>18</v>
      </c>
      <c r="C158" t="s">
        <v>34</v>
      </c>
      <c r="D158" t="s">
        <v>13</v>
      </c>
      <c r="E158" t="s">
        <v>14</v>
      </c>
      <c r="F158" t="s">
        <v>40</v>
      </c>
      <c r="G158">
        <v>1</v>
      </c>
      <c r="H158">
        <v>45978</v>
      </c>
      <c r="I158">
        <v>45978</v>
      </c>
      <c r="J158" t="s">
        <v>36</v>
      </c>
    </row>
    <row r="159" spans="1:10" x14ac:dyDescent="0.25">
      <c r="A159" t="s">
        <v>168</v>
      </c>
      <c r="B159" t="s">
        <v>42</v>
      </c>
      <c r="C159" t="s">
        <v>23</v>
      </c>
      <c r="D159" t="s">
        <v>24</v>
      </c>
      <c r="E159" t="s">
        <v>35</v>
      </c>
      <c r="F159" t="s">
        <v>40</v>
      </c>
      <c r="G159">
        <v>12</v>
      </c>
      <c r="H159">
        <v>31477</v>
      </c>
      <c r="I159">
        <v>377724</v>
      </c>
      <c r="J159" t="s">
        <v>27</v>
      </c>
    </row>
    <row r="160" spans="1:10" x14ac:dyDescent="0.25">
      <c r="A160" t="s">
        <v>67</v>
      </c>
      <c r="B160" t="s">
        <v>22</v>
      </c>
      <c r="C160" t="s">
        <v>12</v>
      </c>
      <c r="D160" t="s">
        <v>24</v>
      </c>
      <c r="E160" t="s">
        <v>19</v>
      </c>
      <c r="F160" t="s">
        <v>40</v>
      </c>
      <c r="G160">
        <v>13</v>
      </c>
      <c r="H160">
        <v>22430</v>
      </c>
      <c r="I160">
        <v>291590</v>
      </c>
      <c r="J160" t="s">
        <v>36</v>
      </c>
    </row>
    <row r="161" spans="1:10" x14ac:dyDescent="0.25">
      <c r="A161" t="s">
        <v>169</v>
      </c>
      <c r="B161" t="s">
        <v>42</v>
      </c>
      <c r="C161" t="s">
        <v>23</v>
      </c>
      <c r="D161" t="s">
        <v>39</v>
      </c>
      <c r="E161" t="s">
        <v>25</v>
      </c>
      <c r="F161" t="s">
        <v>15</v>
      </c>
      <c r="G161">
        <v>5</v>
      </c>
      <c r="H161">
        <v>38108</v>
      </c>
      <c r="I161">
        <v>190540</v>
      </c>
      <c r="J161" t="s">
        <v>36</v>
      </c>
    </row>
    <row r="162" spans="1:10" x14ac:dyDescent="0.25">
      <c r="A162" t="s">
        <v>170</v>
      </c>
      <c r="B162" t="s">
        <v>33</v>
      </c>
      <c r="C162" t="s">
        <v>29</v>
      </c>
      <c r="D162" t="s">
        <v>24</v>
      </c>
      <c r="E162" t="s">
        <v>14</v>
      </c>
      <c r="F162" t="s">
        <v>15</v>
      </c>
      <c r="G162">
        <v>19</v>
      </c>
      <c r="H162">
        <v>27082</v>
      </c>
      <c r="I162">
        <v>514558</v>
      </c>
      <c r="J162" t="s">
        <v>16</v>
      </c>
    </row>
    <row r="163" spans="1:10" x14ac:dyDescent="0.25">
      <c r="A163" t="s">
        <v>171</v>
      </c>
      <c r="B163" t="s">
        <v>42</v>
      </c>
      <c r="C163" t="s">
        <v>34</v>
      </c>
      <c r="D163" t="s">
        <v>44</v>
      </c>
      <c r="E163" t="s">
        <v>30</v>
      </c>
      <c r="F163" t="s">
        <v>40</v>
      </c>
      <c r="G163">
        <v>10</v>
      </c>
      <c r="H163">
        <v>53813</v>
      </c>
      <c r="I163">
        <v>538130</v>
      </c>
      <c r="J163" t="s">
        <v>27</v>
      </c>
    </row>
    <row r="164" spans="1:10" x14ac:dyDescent="0.25">
      <c r="A164" t="s">
        <v>172</v>
      </c>
      <c r="B164" t="s">
        <v>11</v>
      </c>
      <c r="C164" t="s">
        <v>38</v>
      </c>
      <c r="D164" t="s">
        <v>24</v>
      </c>
      <c r="E164" t="s">
        <v>25</v>
      </c>
      <c r="F164" t="s">
        <v>40</v>
      </c>
      <c r="G164">
        <v>9</v>
      </c>
      <c r="H164">
        <v>49875</v>
      </c>
      <c r="I164">
        <v>448875</v>
      </c>
      <c r="J164" t="s">
        <v>36</v>
      </c>
    </row>
    <row r="165" spans="1:10" x14ac:dyDescent="0.25">
      <c r="A165" t="s">
        <v>173</v>
      </c>
      <c r="B165" t="s">
        <v>42</v>
      </c>
      <c r="C165" t="s">
        <v>29</v>
      </c>
      <c r="D165" t="s">
        <v>24</v>
      </c>
      <c r="E165" t="s">
        <v>35</v>
      </c>
      <c r="F165" t="s">
        <v>15</v>
      </c>
      <c r="G165">
        <v>1</v>
      </c>
      <c r="H165">
        <v>32297</v>
      </c>
      <c r="I165">
        <v>32297</v>
      </c>
      <c r="J165" t="s">
        <v>27</v>
      </c>
    </row>
    <row r="166" spans="1:10" x14ac:dyDescent="0.25">
      <c r="A166" t="s">
        <v>90</v>
      </c>
      <c r="B166" t="s">
        <v>11</v>
      </c>
      <c r="C166" t="s">
        <v>23</v>
      </c>
      <c r="D166" t="s">
        <v>44</v>
      </c>
      <c r="E166" t="s">
        <v>30</v>
      </c>
      <c r="F166" t="s">
        <v>15</v>
      </c>
      <c r="G166">
        <v>12</v>
      </c>
      <c r="H166">
        <v>39710</v>
      </c>
      <c r="I166">
        <v>476520</v>
      </c>
      <c r="J166" t="s">
        <v>20</v>
      </c>
    </row>
    <row r="167" spans="1:10" x14ac:dyDescent="0.25">
      <c r="A167" t="s">
        <v>174</v>
      </c>
      <c r="B167" t="s">
        <v>11</v>
      </c>
      <c r="C167" t="s">
        <v>12</v>
      </c>
      <c r="D167" t="s">
        <v>24</v>
      </c>
      <c r="E167" t="s">
        <v>14</v>
      </c>
      <c r="F167" t="s">
        <v>15</v>
      </c>
      <c r="G167">
        <v>11</v>
      </c>
      <c r="H167">
        <v>27334</v>
      </c>
      <c r="I167">
        <v>300674</v>
      </c>
      <c r="J167" t="s">
        <v>20</v>
      </c>
    </row>
    <row r="168" spans="1:10" x14ac:dyDescent="0.25">
      <c r="A168" t="s">
        <v>175</v>
      </c>
      <c r="B168" t="s">
        <v>22</v>
      </c>
      <c r="C168" t="s">
        <v>23</v>
      </c>
      <c r="D168" t="s">
        <v>48</v>
      </c>
      <c r="E168" t="s">
        <v>19</v>
      </c>
      <c r="F168" t="s">
        <v>15</v>
      </c>
      <c r="G168">
        <v>3</v>
      </c>
      <c r="H168">
        <v>22760</v>
      </c>
      <c r="I168">
        <v>68280</v>
      </c>
      <c r="J168" t="s">
        <v>36</v>
      </c>
    </row>
    <row r="169" spans="1:10" x14ac:dyDescent="0.25">
      <c r="A169" t="s">
        <v>176</v>
      </c>
      <c r="B169" t="s">
        <v>42</v>
      </c>
      <c r="C169" t="s">
        <v>23</v>
      </c>
      <c r="D169" t="s">
        <v>48</v>
      </c>
      <c r="E169" t="s">
        <v>30</v>
      </c>
      <c r="F169" t="s">
        <v>15</v>
      </c>
      <c r="G169">
        <v>15</v>
      </c>
      <c r="H169">
        <v>30645</v>
      </c>
      <c r="I169">
        <v>459675</v>
      </c>
      <c r="J169" t="s">
        <v>20</v>
      </c>
    </row>
    <row r="170" spans="1:10" x14ac:dyDescent="0.25">
      <c r="A170" t="s">
        <v>144</v>
      </c>
      <c r="B170" t="s">
        <v>18</v>
      </c>
      <c r="C170" t="s">
        <v>23</v>
      </c>
      <c r="D170" t="s">
        <v>24</v>
      </c>
      <c r="E170" t="s">
        <v>25</v>
      </c>
      <c r="F170" t="s">
        <v>40</v>
      </c>
      <c r="G170">
        <v>4</v>
      </c>
      <c r="H170">
        <v>55336</v>
      </c>
      <c r="I170">
        <v>221344</v>
      </c>
      <c r="J170" t="s">
        <v>16</v>
      </c>
    </row>
    <row r="171" spans="1:10" x14ac:dyDescent="0.25">
      <c r="A171" t="s">
        <v>177</v>
      </c>
      <c r="B171" t="s">
        <v>22</v>
      </c>
      <c r="C171" t="s">
        <v>34</v>
      </c>
      <c r="D171" t="s">
        <v>44</v>
      </c>
      <c r="E171" t="s">
        <v>19</v>
      </c>
      <c r="F171" t="s">
        <v>26</v>
      </c>
      <c r="G171">
        <v>10</v>
      </c>
      <c r="H171">
        <v>46579</v>
      </c>
      <c r="I171">
        <v>465790</v>
      </c>
      <c r="J171" t="s">
        <v>16</v>
      </c>
    </row>
    <row r="172" spans="1:10" x14ac:dyDescent="0.25">
      <c r="A172" t="s">
        <v>90</v>
      </c>
      <c r="B172" t="s">
        <v>11</v>
      </c>
      <c r="C172" t="s">
        <v>23</v>
      </c>
      <c r="D172" t="s">
        <v>48</v>
      </c>
      <c r="E172" t="s">
        <v>25</v>
      </c>
      <c r="F172" t="s">
        <v>15</v>
      </c>
      <c r="G172">
        <v>13</v>
      </c>
      <c r="H172">
        <v>54958</v>
      </c>
      <c r="I172">
        <v>714454</v>
      </c>
      <c r="J172" t="s">
        <v>36</v>
      </c>
    </row>
    <row r="173" spans="1:10" x14ac:dyDescent="0.25">
      <c r="A173" t="s">
        <v>178</v>
      </c>
      <c r="B173" t="s">
        <v>22</v>
      </c>
      <c r="C173" t="s">
        <v>23</v>
      </c>
      <c r="D173" t="s">
        <v>13</v>
      </c>
      <c r="E173" t="s">
        <v>35</v>
      </c>
      <c r="F173" t="s">
        <v>40</v>
      </c>
      <c r="G173">
        <v>19</v>
      </c>
      <c r="H173">
        <v>53506</v>
      </c>
      <c r="I173">
        <v>1016614</v>
      </c>
      <c r="J173" t="s">
        <v>20</v>
      </c>
    </row>
    <row r="174" spans="1:10" x14ac:dyDescent="0.25">
      <c r="A174" t="s">
        <v>179</v>
      </c>
      <c r="B174" t="s">
        <v>18</v>
      </c>
      <c r="C174" t="s">
        <v>38</v>
      </c>
      <c r="D174" t="s">
        <v>13</v>
      </c>
      <c r="E174" t="s">
        <v>30</v>
      </c>
      <c r="F174" t="s">
        <v>26</v>
      </c>
      <c r="G174">
        <v>16</v>
      </c>
      <c r="H174">
        <v>47165</v>
      </c>
      <c r="I174">
        <v>754640</v>
      </c>
      <c r="J174" t="s">
        <v>27</v>
      </c>
    </row>
    <row r="175" spans="1:10" x14ac:dyDescent="0.25">
      <c r="A175" t="s">
        <v>180</v>
      </c>
      <c r="B175" t="s">
        <v>11</v>
      </c>
      <c r="C175" t="s">
        <v>38</v>
      </c>
      <c r="D175" t="s">
        <v>24</v>
      </c>
      <c r="E175" t="s">
        <v>25</v>
      </c>
      <c r="F175" t="s">
        <v>26</v>
      </c>
      <c r="G175">
        <v>7</v>
      </c>
      <c r="H175">
        <v>17402</v>
      </c>
      <c r="I175">
        <v>121814</v>
      </c>
      <c r="J175" t="s">
        <v>27</v>
      </c>
    </row>
    <row r="176" spans="1:10" x14ac:dyDescent="0.25">
      <c r="A176" t="s">
        <v>181</v>
      </c>
      <c r="B176" t="s">
        <v>42</v>
      </c>
      <c r="C176" t="s">
        <v>23</v>
      </c>
      <c r="D176" t="s">
        <v>44</v>
      </c>
      <c r="E176" t="s">
        <v>19</v>
      </c>
      <c r="F176" t="s">
        <v>40</v>
      </c>
      <c r="G176">
        <v>2</v>
      </c>
      <c r="H176">
        <v>17121</v>
      </c>
      <c r="I176">
        <v>34242</v>
      </c>
      <c r="J176" t="s">
        <v>27</v>
      </c>
    </row>
    <row r="177" spans="1:10" x14ac:dyDescent="0.25">
      <c r="A177" t="s">
        <v>182</v>
      </c>
      <c r="B177" t="s">
        <v>18</v>
      </c>
      <c r="C177" t="s">
        <v>38</v>
      </c>
      <c r="D177" t="s">
        <v>39</v>
      </c>
      <c r="E177" t="s">
        <v>35</v>
      </c>
      <c r="F177" t="s">
        <v>26</v>
      </c>
      <c r="G177">
        <v>9</v>
      </c>
      <c r="H177">
        <v>50343</v>
      </c>
      <c r="I177">
        <v>453087</v>
      </c>
      <c r="J177" t="s">
        <v>36</v>
      </c>
    </row>
    <row r="178" spans="1:10" x14ac:dyDescent="0.25">
      <c r="A178" t="s">
        <v>183</v>
      </c>
      <c r="B178" t="s">
        <v>42</v>
      </c>
      <c r="C178" t="s">
        <v>34</v>
      </c>
      <c r="D178" t="s">
        <v>44</v>
      </c>
      <c r="E178" t="s">
        <v>19</v>
      </c>
      <c r="F178" t="s">
        <v>15</v>
      </c>
      <c r="G178">
        <v>1</v>
      </c>
      <c r="H178">
        <v>51300</v>
      </c>
      <c r="I178">
        <v>51300</v>
      </c>
      <c r="J178" t="s">
        <v>16</v>
      </c>
    </row>
    <row r="179" spans="1:10" x14ac:dyDescent="0.25">
      <c r="A179" t="s">
        <v>184</v>
      </c>
      <c r="B179" t="s">
        <v>33</v>
      </c>
      <c r="C179" t="s">
        <v>34</v>
      </c>
      <c r="D179" t="s">
        <v>39</v>
      </c>
      <c r="E179" t="s">
        <v>25</v>
      </c>
      <c r="F179" t="s">
        <v>26</v>
      </c>
      <c r="G179">
        <v>16</v>
      </c>
      <c r="H179">
        <v>33026</v>
      </c>
      <c r="I179">
        <v>528416</v>
      </c>
      <c r="J179" t="s">
        <v>27</v>
      </c>
    </row>
    <row r="180" spans="1:10" x14ac:dyDescent="0.25">
      <c r="A180" t="s">
        <v>61</v>
      </c>
      <c r="B180" t="s">
        <v>42</v>
      </c>
      <c r="C180" t="s">
        <v>12</v>
      </c>
      <c r="D180" t="s">
        <v>44</v>
      </c>
      <c r="E180" t="s">
        <v>14</v>
      </c>
      <c r="F180" t="s">
        <v>40</v>
      </c>
      <c r="G180">
        <v>2</v>
      </c>
      <c r="H180">
        <v>46008</v>
      </c>
      <c r="I180">
        <v>92016</v>
      </c>
      <c r="J180" t="s">
        <v>36</v>
      </c>
    </row>
    <row r="181" spans="1:10" x14ac:dyDescent="0.25">
      <c r="A181" t="s">
        <v>185</v>
      </c>
      <c r="B181" t="s">
        <v>22</v>
      </c>
      <c r="C181" t="s">
        <v>29</v>
      </c>
      <c r="D181" t="s">
        <v>44</v>
      </c>
      <c r="E181" t="s">
        <v>25</v>
      </c>
      <c r="F181" t="s">
        <v>15</v>
      </c>
      <c r="G181">
        <v>6</v>
      </c>
      <c r="H181">
        <v>36913</v>
      </c>
      <c r="I181">
        <v>221478</v>
      </c>
      <c r="J181" t="s">
        <v>36</v>
      </c>
    </row>
    <row r="182" spans="1:10" x14ac:dyDescent="0.25">
      <c r="A182" t="s">
        <v>186</v>
      </c>
      <c r="B182" t="s">
        <v>18</v>
      </c>
      <c r="C182" t="s">
        <v>12</v>
      </c>
      <c r="D182" t="s">
        <v>48</v>
      </c>
      <c r="E182" t="s">
        <v>30</v>
      </c>
      <c r="F182" t="s">
        <v>40</v>
      </c>
      <c r="G182">
        <v>17</v>
      </c>
      <c r="H182">
        <v>44130</v>
      </c>
      <c r="I182">
        <v>750210</v>
      </c>
      <c r="J182" t="s">
        <v>36</v>
      </c>
    </row>
    <row r="183" spans="1:10" x14ac:dyDescent="0.25">
      <c r="A183" t="s">
        <v>187</v>
      </c>
      <c r="B183" t="s">
        <v>33</v>
      </c>
      <c r="C183" t="s">
        <v>12</v>
      </c>
      <c r="D183" t="s">
        <v>13</v>
      </c>
      <c r="E183" t="s">
        <v>35</v>
      </c>
      <c r="F183" t="s">
        <v>40</v>
      </c>
      <c r="G183">
        <v>2</v>
      </c>
      <c r="H183">
        <v>22956</v>
      </c>
      <c r="I183">
        <v>45912</v>
      </c>
      <c r="J183" t="s">
        <v>16</v>
      </c>
    </row>
    <row r="184" spans="1:10" x14ac:dyDescent="0.25">
      <c r="A184" t="s">
        <v>188</v>
      </c>
      <c r="B184" t="s">
        <v>42</v>
      </c>
      <c r="C184" t="s">
        <v>29</v>
      </c>
      <c r="D184" t="s">
        <v>24</v>
      </c>
      <c r="E184" t="s">
        <v>35</v>
      </c>
      <c r="F184" t="s">
        <v>15</v>
      </c>
      <c r="G184">
        <v>8</v>
      </c>
      <c r="H184">
        <v>40805</v>
      </c>
      <c r="I184">
        <v>326440</v>
      </c>
      <c r="J184" t="s">
        <v>20</v>
      </c>
    </row>
    <row r="185" spans="1:10" x14ac:dyDescent="0.25">
      <c r="A185" t="s">
        <v>189</v>
      </c>
      <c r="B185" t="s">
        <v>11</v>
      </c>
      <c r="C185" t="s">
        <v>12</v>
      </c>
      <c r="D185" t="s">
        <v>24</v>
      </c>
      <c r="E185" t="s">
        <v>35</v>
      </c>
      <c r="F185" t="s">
        <v>26</v>
      </c>
      <c r="G185">
        <v>12</v>
      </c>
      <c r="H185">
        <v>45674</v>
      </c>
      <c r="I185">
        <v>548088</v>
      </c>
      <c r="J185" t="s">
        <v>36</v>
      </c>
    </row>
    <row r="186" spans="1:10" x14ac:dyDescent="0.25">
      <c r="A186" t="s">
        <v>190</v>
      </c>
      <c r="B186" t="s">
        <v>11</v>
      </c>
      <c r="C186" t="s">
        <v>34</v>
      </c>
      <c r="D186" t="s">
        <v>48</v>
      </c>
      <c r="E186" t="s">
        <v>35</v>
      </c>
      <c r="F186" t="s">
        <v>26</v>
      </c>
      <c r="G186">
        <v>14</v>
      </c>
      <c r="H186">
        <v>19795</v>
      </c>
      <c r="I186">
        <v>277130</v>
      </c>
      <c r="J186" t="s">
        <v>27</v>
      </c>
    </row>
    <row r="187" spans="1:10" x14ac:dyDescent="0.25">
      <c r="A187" t="s">
        <v>191</v>
      </c>
      <c r="B187" t="s">
        <v>33</v>
      </c>
      <c r="C187" t="s">
        <v>34</v>
      </c>
      <c r="D187" t="s">
        <v>24</v>
      </c>
      <c r="E187" t="s">
        <v>25</v>
      </c>
      <c r="F187" t="s">
        <v>15</v>
      </c>
      <c r="G187">
        <v>20</v>
      </c>
      <c r="H187">
        <v>45348</v>
      </c>
      <c r="I187">
        <v>906960</v>
      </c>
      <c r="J187" t="s">
        <v>20</v>
      </c>
    </row>
    <row r="188" spans="1:10" x14ac:dyDescent="0.25">
      <c r="A188" t="s">
        <v>192</v>
      </c>
      <c r="B188" t="s">
        <v>22</v>
      </c>
      <c r="C188" t="s">
        <v>29</v>
      </c>
      <c r="D188" t="s">
        <v>44</v>
      </c>
      <c r="E188" t="s">
        <v>35</v>
      </c>
      <c r="F188" t="s">
        <v>26</v>
      </c>
      <c r="G188">
        <v>1</v>
      </c>
      <c r="H188">
        <v>50520</v>
      </c>
      <c r="I188">
        <v>50520</v>
      </c>
      <c r="J188" t="s">
        <v>36</v>
      </c>
    </row>
    <row r="189" spans="1:10" x14ac:dyDescent="0.25">
      <c r="A189" t="s">
        <v>193</v>
      </c>
      <c r="B189" t="s">
        <v>42</v>
      </c>
      <c r="C189" t="s">
        <v>29</v>
      </c>
      <c r="D189" t="s">
        <v>39</v>
      </c>
      <c r="E189" t="s">
        <v>14</v>
      </c>
      <c r="F189" t="s">
        <v>40</v>
      </c>
      <c r="G189">
        <v>4</v>
      </c>
      <c r="H189">
        <v>57994</v>
      </c>
      <c r="I189">
        <v>231976</v>
      </c>
      <c r="J189" t="s">
        <v>36</v>
      </c>
    </row>
    <row r="190" spans="1:10" x14ac:dyDescent="0.25">
      <c r="A190" t="s">
        <v>172</v>
      </c>
      <c r="B190" t="s">
        <v>42</v>
      </c>
      <c r="C190" t="s">
        <v>38</v>
      </c>
      <c r="D190" t="s">
        <v>24</v>
      </c>
      <c r="E190" t="s">
        <v>14</v>
      </c>
      <c r="F190" t="s">
        <v>15</v>
      </c>
      <c r="G190">
        <v>1</v>
      </c>
      <c r="H190">
        <v>44593</v>
      </c>
      <c r="I190">
        <v>44593</v>
      </c>
      <c r="J190" t="s">
        <v>16</v>
      </c>
    </row>
    <row r="191" spans="1:10" x14ac:dyDescent="0.25">
      <c r="A191" t="s">
        <v>167</v>
      </c>
      <c r="B191" t="s">
        <v>18</v>
      </c>
      <c r="C191" t="s">
        <v>23</v>
      </c>
      <c r="D191" t="s">
        <v>48</v>
      </c>
      <c r="E191" t="s">
        <v>14</v>
      </c>
      <c r="F191" t="s">
        <v>15</v>
      </c>
      <c r="G191">
        <v>9</v>
      </c>
      <c r="H191">
        <v>52141</v>
      </c>
      <c r="I191">
        <v>469269</v>
      </c>
      <c r="J191" t="s">
        <v>36</v>
      </c>
    </row>
    <row r="192" spans="1:10" x14ac:dyDescent="0.25">
      <c r="A192" t="s">
        <v>194</v>
      </c>
      <c r="B192" t="s">
        <v>33</v>
      </c>
      <c r="C192" t="s">
        <v>29</v>
      </c>
      <c r="D192" t="s">
        <v>13</v>
      </c>
      <c r="E192" t="s">
        <v>25</v>
      </c>
      <c r="F192" t="s">
        <v>26</v>
      </c>
      <c r="G192">
        <v>7</v>
      </c>
      <c r="H192">
        <v>45905</v>
      </c>
      <c r="I192">
        <v>321335</v>
      </c>
      <c r="J192" t="s">
        <v>16</v>
      </c>
    </row>
    <row r="193" spans="1:10" x14ac:dyDescent="0.25">
      <c r="A193" t="s">
        <v>28</v>
      </c>
      <c r="B193" t="s">
        <v>33</v>
      </c>
      <c r="C193" t="s">
        <v>23</v>
      </c>
      <c r="D193" t="s">
        <v>48</v>
      </c>
      <c r="E193" t="s">
        <v>35</v>
      </c>
      <c r="F193" t="s">
        <v>26</v>
      </c>
      <c r="G193">
        <v>17</v>
      </c>
      <c r="H193">
        <v>17233</v>
      </c>
      <c r="I193">
        <v>292961</v>
      </c>
      <c r="J193" t="s">
        <v>27</v>
      </c>
    </row>
    <row r="194" spans="1:10" x14ac:dyDescent="0.25">
      <c r="A194" t="s">
        <v>195</v>
      </c>
      <c r="B194" t="s">
        <v>42</v>
      </c>
      <c r="C194" t="s">
        <v>29</v>
      </c>
      <c r="D194" t="s">
        <v>48</v>
      </c>
      <c r="E194" t="s">
        <v>14</v>
      </c>
      <c r="F194" t="s">
        <v>15</v>
      </c>
      <c r="G194">
        <v>19</v>
      </c>
      <c r="H194">
        <v>33676</v>
      </c>
      <c r="I194">
        <v>639844</v>
      </c>
      <c r="J194" t="s">
        <v>36</v>
      </c>
    </row>
    <row r="195" spans="1:10" x14ac:dyDescent="0.25">
      <c r="A195" t="s">
        <v>196</v>
      </c>
      <c r="B195" t="s">
        <v>42</v>
      </c>
      <c r="C195" t="s">
        <v>29</v>
      </c>
      <c r="D195" t="s">
        <v>44</v>
      </c>
      <c r="E195" t="s">
        <v>25</v>
      </c>
      <c r="F195" t="s">
        <v>15</v>
      </c>
      <c r="G195">
        <v>14</v>
      </c>
      <c r="H195">
        <v>46586</v>
      </c>
      <c r="I195">
        <v>652204</v>
      </c>
      <c r="J195" t="s">
        <v>36</v>
      </c>
    </row>
    <row r="196" spans="1:10" x14ac:dyDescent="0.25">
      <c r="A196" t="s">
        <v>197</v>
      </c>
      <c r="B196" t="s">
        <v>33</v>
      </c>
      <c r="C196" t="s">
        <v>34</v>
      </c>
      <c r="D196" t="s">
        <v>44</v>
      </c>
      <c r="E196" t="s">
        <v>19</v>
      </c>
      <c r="F196" t="s">
        <v>40</v>
      </c>
      <c r="G196">
        <v>17</v>
      </c>
      <c r="H196">
        <v>40192</v>
      </c>
      <c r="I196">
        <v>683264</v>
      </c>
      <c r="J196" t="s">
        <v>20</v>
      </c>
    </row>
    <row r="197" spans="1:10" x14ac:dyDescent="0.25">
      <c r="A197" t="s">
        <v>175</v>
      </c>
      <c r="B197" t="s">
        <v>11</v>
      </c>
      <c r="C197" t="s">
        <v>12</v>
      </c>
      <c r="D197" t="s">
        <v>48</v>
      </c>
      <c r="E197" t="s">
        <v>19</v>
      </c>
      <c r="F197" t="s">
        <v>26</v>
      </c>
      <c r="G197">
        <v>17</v>
      </c>
      <c r="H197">
        <v>21868</v>
      </c>
      <c r="I197">
        <v>371756</v>
      </c>
      <c r="J197" t="s">
        <v>36</v>
      </c>
    </row>
    <row r="198" spans="1:10" x14ac:dyDescent="0.25">
      <c r="A198" t="s">
        <v>106</v>
      </c>
      <c r="B198" t="s">
        <v>22</v>
      </c>
      <c r="C198" t="s">
        <v>29</v>
      </c>
      <c r="D198" t="s">
        <v>39</v>
      </c>
      <c r="E198" t="s">
        <v>19</v>
      </c>
      <c r="F198" t="s">
        <v>26</v>
      </c>
      <c r="G198">
        <v>10</v>
      </c>
      <c r="H198">
        <v>15448</v>
      </c>
      <c r="I198">
        <v>154480</v>
      </c>
      <c r="J198" t="s">
        <v>20</v>
      </c>
    </row>
    <row r="199" spans="1:10" x14ac:dyDescent="0.25">
      <c r="A199" t="s">
        <v>98</v>
      </c>
      <c r="B199" t="s">
        <v>18</v>
      </c>
      <c r="C199" t="s">
        <v>34</v>
      </c>
      <c r="D199" t="s">
        <v>13</v>
      </c>
      <c r="E199" t="s">
        <v>30</v>
      </c>
      <c r="F199" t="s">
        <v>15</v>
      </c>
      <c r="G199">
        <v>17</v>
      </c>
      <c r="H199">
        <v>17640</v>
      </c>
      <c r="I199">
        <v>299880</v>
      </c>
      <c r="J199" t="s">
        <v>16</v>
      </c>
    </row>
    <row r="200" spans="1:10" x14ac:dyDescent="0.25">
      <c r="A200" t="s">
        <v>198</v>
      </c>
      <c r="B200" t="s">
        <v>22</v>
      </c>
      <c r="C200" t="s">
        <v>23</v>
      </c>
      <c r="D200" t="s">
        <v>39</v>
      </c>
      <c r="E200" t="s">
        <v>30</v>
      </c>
      <c r="F200" t="s">
        <v>26</v>
      </c>
      <c r="G200">
        <v>6</v>
      </c>
      <c r="H200">
        <v>19483</v>
      </c>
      <c r="I200">
        <v>116898</v>
      </c>
      <c r="J200" t="s">
        <v>27</v>
      </c>
    </row>
    <row r="201" spans="1:10" x14ac:dyDescent="0.25">
      <c r="A201" t="s">
        <v>199</v>
      </c>
      <c r="B201" t="s">
        <v>18</v>
      </c>
      <c r="C201" t="s">
        <v>29</v>
      </c>
      <c r="D201" t="s">
        <v>48</v>
      </c>
      <c r="E201" t="s">
        <v>30</v>
      </c>
      <c r="F201" t="s">
        <v>40</v>
      </c>
      <c r="G201">
        <v>12</v>
      </c>
      <c r="H201">
        <v>21327</v>
      </c>
      <c r="I201">
        <v>255924</v>
      </c>
      <c r="J201" t="s">
        <v>16</v>
      </c>
    </row>
    <row r="202" spans="1:10" x14ac:dyDescent="0.25">
      <c r="A202" t="s">
        <v>200</v>
      </c>
      <c r="B202" t="s">
        <v>42</v>
      </c>
      <c r="C202" t="s">
        <v>12</v>
      </c>
      <c r="D202" t="s">
        <v>24</v>
      </c>
      <c r="E202" t="s">
        <v>30</v>
      </c>
      <c r="F202" t="s">
        <v>15</v>
      </c>
      <c r="G202">
        <v>4</v>
      </c>
      <c r="H202">
        <v>38977</v>
      </c>
      <c r="I202">
        <v>155908</v>
      </c>
      <c r="J202" t="s">
        <v>36</v>
      </c>
    </row>
    <row r="203" spans="1:10" x14ac:dyDescent="0.25">
      <c r="A203" t="s">
        <v>155</v>
      </c>
      <c r="B203" t="s">
        <v>42</v>
      </c>
      <c r="C203" t="s">
        <v>12</v>
      </c>
      <c r="D203" t="s">
        <v>13</v>
      </c>
      <c r="E203" t="s">
        <v>35</v>
      </c>
      <c r="F203" t="s">
        <v>40</v>
      </c>
      <c r="G203">
        <v>1</v>
      </c>
      <c r="H203">
        <v>56245</v>
      </c>
      <c r="I203">
        <v>56245</v>
      </c>
      <c r="J203" t="s">
        <v>16</v>
      </c>
    </row>
    <row r="204" spans="1:10" x14ac:dyDescent="0.25">
      <c r="A204" t="s">
        <v>32</v>
      </c>
      <c r="B204" t="s">
        <v>33</v>
      </c>
      <c r="C204" t="s">
        <v>12</v>
      </c>
      <c r="D204" t="s">
        <v>48</v>
      </c>
      <c r="E204" t="s">
        <v>30</v>
      </c>
      <c r="F204" t="s">
        <v>15</v>
      </c>
      <c r="G204">
        <v>4</v>
      </c>
      <c r="H204">
        <v>58544</v>
      </c>
      <c r="I204">
        <v>234176</v>
      </c>
      <c r="J204" t="s">
        <v>20</v>
      </c>
    </row>
    <row r="205" spans="1:10" x14ac:dyDescent="0.25">
      <c r="A205" t="s">
        <v>201</v>
      </c>
      <c r="B205" t="s">
        <v>33</v>
      </c>
      <c r="C205" t="s">
        <v>23</v>
      </c>
      <c r="D205" t="s">
        <v>48</v>
      </c>
      <c r="E205" t="s">
        <v>14</v>
      </c>
      <c r="F205" t="s">
        <v>26</v>
      </c>
      <c r="G205">
        <v>18</v>
      </c>
      <c r="H205">
        <v>35559</v>
      </c>
      <c r="I205">
        <v>640062</v>
      </c>
      <c r="J205" t="s">
        <v>20</v>
      </c>
    </row>
    <row r="206" spans="1:10" x14ac:dyDescent="0.25">
      <c r="A206" t="s">
        <v>202</v>
      </c>
      <c r="B206" t="s">
        <v>11</v>
      </c>
      <c r="C206" t="s">
        <v>23</v>
      </c>
      <c r="D206" t="s">
        <v>44</v>
      </c>
      <c r="E206" t="s">
        <v>30</v>
      </c>
      <c r="F206" t="s">
        <v>26</v>
      </c>
      <c r="G206">
        <v>20</v>
      </c>
      <c r="H206">
        <v>28702</v>
      </c>
      <c r="I206">
        <v>574040</v>
      </c>
      <c r="J206" t="s">
        <v>36</v>
      </c>
    </row>
    <row r="207" spans="1:10" x14ac:dyDescent="0.25">
      <c r="A207" t="s">
        <v>118</v>
      </c>
      <c r="B207" t="s">
        <v>18</v>
      </c>
      <c r="C207" t="s">
        <v>38</v>
      </c>
      <c r="D207" t="s">
        <v>44</v>
      </c>
      <c r="E207" t="s">
        <v>25</v>
      </c>
      <c r="F207" t="s">
        <v>40</v>
      </c>
      <c r="G207">
        <v>11</v>
      </c>
      <c r="H207">
        <v>18146</v>
      </c>
      <c r="I207">
        <v>199606</v>
      </c>
      <c r="J207" t="s">
        <v>20</v>
      </c>
    </row>
    <row r="208" spans="1:10" x14ac:dyDescent="0.25">
      <c r="A208" t="s">
        <v>162</v>
      </c>
      <c r="B208" t="s">
        <v>33</v>
      </c>
      <c r="C208" t="s">
        <v>23</v>
      </c>
      <c r="D208" t="s">
        <v>44</v>
      </c>
      <c r="E208" t="s">
        <v>30</v>
      </c>
      <c r="F208" t="s">
        <v>26</v>
      </c>
      <c r="G208">
        <v>4</v>
      </c>
      <c r="H208">
        <v>31127</v>
      </c>
      <c r="I208">
        <v>124508</v>
      </c>
      <c r="J208" t="s">
        <v>16</v>
      </c>
    </row>
    <row r="209" spans="1:10" x14ac:dyDescent="0.25">
      <c r="A209" t="s">
        <v>203</v>
      </c>
      <c r="B209" t="s">
        <v>33</v>
      </c>
      <c r="C209" t="s">
        <v>29</v>
      </c>
      <c r="D209" t="s">
        <v>39</v>
      </c>
      <c r="E209" t="s">
        <v>14</v>
      </c>
      <c r="F209" t="s">
        <v>26</v>
      </c>
      <c r="G209">
        <v>5</v>
      </c>
      <c r="H209">
        <v>35310</v>
      </c>
      <c r="I209">
        <v>176550</v>
      </c>
      <c r="J209" t="s">
        <v>20</v>
      </c>
    </row>
    <row r="210" spans="1:10" x14ac:dyDescent="0.25">
      <c r="A210" t="s">
        <v>181</v>
      </c>
      <c r="B210" t="s">
        <v>22</v>
      </c>
      <c r="C210" t="s">
        <v>38</v>
      </c>
      <c r="D210" t="s">
        <v>39</v>
      </c>
      <c r="E210" t="s">
        <v>19</v>
      </c>
      <c r="F210" t="s">
        <v>15</v>
      </c>
      <c r="G210">
        <v>10</v>
      </c>
      <c r="H210">
        <v>32145</v>
      </c>
      <c r="I210">
        <v>321450</v>
      </c>
      <c r="J210" t="s">
        <v>20</v>
      </c>
    </row>
    <row r="211" spans="1:10" x14ac:dyDescent="0.25">
      <c r="A211" t="s">
        <v>86</v>
      </c>
      <c r="B211" t="s">
        <v>22</v>
      </c>
      <c r="C211" t="s">
        <v>23</v>
      </c>
      <c r="D211" t="s">
        <v>13</v>
      </c>
      <c r="E211" t="s">
        <v>30</v>
      </c>
      <c r="F211" t="s">
        <v>15</v>
      </c>
      <c r="G211">
        <v>6</v>
      </c>
      <c r="H211">
        <v>53845</v>
      </c>
      <c r="I211">
        <v>323070</v>
      </c>
      <c r="J211" t="s">
        <v>20</v>
      </c>
    </row>
    <row r="212" spans="1:10" x14ac:dyDescent="0.25">
      <c r="A212" t="s">
        <v>204</v>
      </c>
      <c r="B212" t="s">
        <v>33</v>
      </c>
      <c r="C212" t="s">
        <v>34</v>
      </c>
      <c r="D212" t="s">
        <v>44</v>
      </c>
      <c r="E212" t="s">
        <v>14</v>
      </c>
      <c r="F212" t="s">
        <v>15</v>
      </c>
      <c r="G212">
        <v>4</v>
      </c>
      <c r="H212">
        <v>57686</v>
      </c>
      <c r="I212">
        <v>230744</v>
      </c>
      <c r="J212" t="s">
        <v>27</v>
      </c>
    </row>
    <row r="213" spans="1:10" x14ac:dyDescent="0.25">
      <c r="A213" t="s">
        <v>205</v>
      </c>
      <c r="B213" t="s">
        <v>22</v>
      </c>
      <c r="C213" t="s">
        <v>23</v>
      </c>
      <c r="D213" t="s">
        <v>13</v>
      </c>
      <c r="E213" t="s">
        <v>35</v>
      </c>
      <c r="F213" t="s">
        <v>40</v>
      </c>
      <c r="G213">
        <v>3</v>
      </c>
      <c r="H213">
        <v>33191</v>
      </c>
      <c r="I213">
        <v>99573</v>
      </c>
      <c r="J213" t="s">
        <v>27</v>
      </c>
    </row>
    <row r="214" spans="1:10" x14ac:dyDescent="0.25">
      <c r="A214" t="s">
        <v>206</v>
      </c>
      <c r="B214" t="s">
        <v>33</v>
      </c>
      <c r="C214" t="s">
        <v>38</v>
      </c>
      <c r="D214" t="s">
        <v>24</v>
      </c>
      <c r="E214" t="s">
        <v>19</v>
      </c>
      <c r="F214" t="s">
        <v>15</v>
      </c>
      <c r="G214">
        <v>10</v>
      </c>
      <c r="H214">
        <v>56791</v>
      </c>
      <c r="I214">
        <v>567910</v>
      </c>
      <c r="J214" t="s">
        <v>36</v>
      </c>
    </row>
    <row r="215" spans="1:10" x14ac:dyDescent="0.25">
      <c r="A215" t="s">
        <v>159</v>
      </c>
      <c r="B215" t="s">
        <v>33</v>
      </c>
      <c r="C215" t="s">
        <v>12</v>
      </c>
      <c r="D215" t="s">
        <v>24</v>
      </c>
      <c r="E215" t="s">
        <v>14</v>
      </c>
      <c r="F215" t="s">
        <v>40</v>
      </c>
      <c r="G215">
        <v>1</v>
      </c>
      <c r="H215">
        <v>24718</v>
      </c>
      <c r="I215">
        <v>24718</v>
      </c>
      <c r="J215" t="s">
        <v>16</v>
      </c>
    </row>
    <row r="216" spans="1:10" x14ac:dyDescent="0.25">
      <c r="A216" t="s">
        <v>207</v>
      </c>
      <c r="B216" t="s">
        <v>18</v>
      </c>
      <c r="C216" t="s">
        <v>23</v>
      </c>
      <c r="D216" t="s">
        <v>48</v>
      </c>
      <c r="E216" t="s">
        <v>14</v>
      </c>
      <c r="F216" t="s">
        <v>15</v>
      </c>
      <c r="G216">
        <v>13</v>
      </c>
      <c r="H216">
        <v>30760</v>
      </c>
      <c r="I216">
        <v>399880</v>
      </c>
      <c r="J216" t="s">
        <v>16</v>
      </c>
    </row>
    <row r="217" spans="1:10" x14ac:dyDescent="0.25">
      <c r="A217" t="s">
        <v>208</v>
      </c>
      <c r="B217" t="s">
        <v>42</v>
      </c>
      <c r="C217" t="s">
        <v>12</v>
      </c>
      <c r="D217" t="s">
        <v>13</v>
      </c>
      <c r="E217" t="s">
        <v>35</v>
      </c>
      <c r="F217" t="s">
        <v>15</v>
      </c>
      <c r="G217">
        <v>5</v>
      </c>
      <c r="H217">
        <v>39913</v>
      </c>
      <c r="I217">
        <v>199565</v>
      </c>
      <c r="J217" t="s">
        <v>20</v>
      </c>
    </row>
    <row r="218" spans="1:10" x14ac:dyDescent="0.25">
      <c r="A218" t="s">
        <v>120</v>
      </c>
      <c r="B218" t="s">
        <v>11</v>
      </c>
      <c r="C218" t="s">
        <v>34</v>
      </c>
      <c r="D218" t="s">
        <v>44</v>
      </c>
      <c r="E218" t="s">
        <v>14</v>
      </c>
      <c r="F218" t="s">
        <v>15</v>
      </c>
      <c r="G218">
        <v>5</v>
      </c>
      <c r="H218">
        <v>33576</v>
      </c>
      <c r="I218">
        <v>167880</v>
      </c>
      <c r="J218" t="s">
        <v>16</v>
      </c>
    </row>
    <row r="219" spans="1:10" x14ac:dyDescent="0.25">
      <c r="A219" t="s">
        <v>94</v>
      </c>
      <c r="B219" t="s">
        <v>33</v>
      </c>
      <c r="C219" t="s">
        <v>29</v>
      </c>
      <c r="D219" t="s">
        <v>44</v>
      </c>
      <c r="E219" t="s">
        <v>14</v>
      </c>
      <c r="F219" t="s">
        <v>40</v>
      </c>
      <c r="G219">
        <v>12</v>
      </c>
      <c r="H219">
        <v>53993</v>
      </c>
      <c r="I219">
        <v>647916</v>
      </c>
      <c r="J219" t="s">
        <v>16</v>
      </c>
    </row>
    <row r="220" spans="1:10" x14ac:dyDescent="0.25">
      <c r="A220" t="s">
        <v>45</v>
      </c>
      <c r="B220" t="s">
        <v>18</v>
      </c>
      <c r="C220" t="s">
        <v>38</v>
      </c>
      <c r="D220" t="s">
        <v>48</v>
      </c>
      <c r="E220" t="s">
        <v>35</v>
      </c>
      <c r="F220" t="s">
        <v>40</v>
      </c>
      <c r="G220">
        <v>2</v>
      </c>
      <c r="H220">
        <v>37469</v>
      </c>
      <c r="I220">
        <v>74938</v>
      </c>
      <c r="J220" t="s">
        <v>16</v>
      </c>
    </row>
    <row r="221" spans="1:10" x14ac:dyDescent="0.25">
      <c r="A221" t="s">
        <v>209</v>
      </c>
      <c r="B221" t="s">
        <v>11</v>
      </c>
      <c r="C221" t="s">
        <v>12</v>
      </c>
      <c r="D221" t="s">
        <v>48</v>
      </c>
      <c r="E221" t="s">
        <v>25</v>
      </c>
      <c r="F221" t="s">
        <v>40</v>
      </c>
      <c r="G221">
        <v>2</v>
      </c>
      <c r="H221">
        <v>42156</v>
      </c>
      <c r="I221">
        <v>84312</v>
      </c>
      <c r="J221" t="s">
        <v>16</v>
      </c>
    </row>
    <row r="222" spans="1:10" x14ac:dyDescent="0.25">
      <c r="A222" t="s">
        <v>210</v>
      </c>
      <c r="B222" t="s">
        <v>22</v>
      </c>
      <c r="C222" t="s">
        <v>12</v>
      </c>
      <c r="D222" t="s">
        <v>48</v>
      </c>
      <c r="E222" t="s">
        <v>30</v>
      </c>
      <c r="F222" t="s">
        <v>26</v>
      </c>
      <c r="G222">
        <v>14</v>
      </c>
      <c r="H222">
        <v>17597</v>
      </c>
      <c r="I222">
        <v>246358</v>
      </c>
      <c r="J222" t="s">
        <v>20</v>
      </c>
    </row>
    <row r="223" spans="1:10" x14ac:dyDescent="0.25">
      <c r="A223" t="s">
        <v>211</v>
      </c>
      <c r="B223" t="s">
        <v>11</v>
      </c>
      <c r="C223" t="s">
        <v>12</v>
      </c>
      <c r="D223" t="s">
        <v>24</v>
      </c>
      <c r="E223" t="s">
        <v>19</v>
      </c>
      <c r="F223" t="s">
        <v>15</v>
      </c>
      <c r="G223">
        <v>18</v>
      </c>
      <c r="H223">
        <v>20770</v>
      </c>
      <c r="I223">
        <v>373860</v>
      </c>
      <c r="J223" t="s">
        <v>20</v>
      </c>
    </row>
    <row r="224" spans="1:10" x14ac:dyDescent="0.25">
      <c r="A224" t="s">
        <v>178</v>
      </c>
      <c r="B224" t="s">
        <v>33</v>
      </c>
      <c r="C224" t="s">
        <v>12</v>
      </c>
      <c r="D224" t="s">
        <v>48</v>
      </c>
      <c r="E224" t="s">
        <v>19</v>
      </c>
      <c r="F224" t="s">
        <v>40</v>
      </c>
      <c r="G224">
        <v>10</v>
      </c>
      <c r="H224">
        <v>48538</v>
      </c>
      <c r="I224">
        <v>485380</v>
      </c>
      <c r="J224" t="s">
        <v>27</v>
      </c>
    </row>
    <row r="225" spans="1:10" x14ac:dyDescent="0.25">
      <c r="A225" t="s">
        <v>212</v>
      </c>
      <c r="B225" t="s">
        <v>22</v>
      </c>
      <c r="C225" t="s">
        <v>38</v>
      </c>
      <c r="D225" t="s">
        <v>13</v>
      </c>
      <c r="E225" t="s">
        <v>30</v>
      </c>
      <c r="F225" t="s">
        <v>26</v>
      </c>
      <c r="G225">
        <v>17</v>
      </c>
      <c r="H225">
        <v>55174</v>
      </c>
      <c r="I225">
        <v>937958</v>
      </c>
      <c r="J225" t="s">
        <v>20</v>
      </c>
    </row>
    <row r="226" spans="1:10" x14ac:dyDescent="0.25">
      <c r="A226" t="s">
        <v>63</v>
      </c>
      <c r="B226" t="s">
        <v>18</v>
      </c>
      <c r="C226" t="s">
        <v>12</v>
      </c>
      <c r="D226" t="s">
        <v>48</v>
      </c>
      <c r="E226" t="s">
        <v>30</v>
      </c>
      <c r="F226" t="s">
        <v>40</v>
      </c>
      <c r="G226">
        <v>11</v>
      </c>
      <c r="H226">
        <v>50687</v>
      </c>
      <c r="I226">
        <v>557557</v>
      </c>
      <c r="J226" t="s">
        <v>16</v>
      </c>
    </row>
    <row r="227" spans="1:10" x14ac:dyDescent="0.25">
      <c r="A227" t="s">
        <v>213</v>
      </c>
      <c r="B227" t="s">
        <v>18</v>
      </c>
      <c r="C227" t="s">
        <v>29</v>
      </c>
      <c r="D227" t="s">
        <v>24</v>
      </c>
      <c r="E227" t="s">
        <v>25</v>
      </c>
      <c r="F227" t="s">
        <v>40</v>
      </c>
      <c r="G227">
        <v>14</v>
      </c>
      <c r="H227">
        <v>33301</v>
      </c>
      <c r="I227">
        <v>466214</v>
      </c>
      <c r="J227" t="s">
        <v>36</v>
      </c>
    </row>
    <row r="228" spans="1:10" x14ac:dyDescent="0.25">
      <c r="A228" t="s">
        <v>128</v>
      </c>
      <c r="B228" t="s">
        <v>11</v>
      </c>
      <c r="C228" t="s">
        <v>23</v>
      </c>
      <c r="D228" t="s">
        <v>48</v>
      </c>
      <c r="E228" t="s">
        <v>35</v>
      </c>
      <c r="F228" t="s">
        <v>15</v>
      </c>
      <c r="G228">
        <v>14</v>
      </c>
      <c r="H228">
        <v>42029</v>
      </c>
      <c r="I228">
        <v>588406</v>
      </c>
      <c r="J228" t="s">
        <v>36</v>
      </c>
    </row>
    <row r="229" spans="1:10" x14ac:dyDescent="0.25">
      <c r="A229" t="s">
        <v>105</v>
      </c>
      <c r="B229" t="s">
        <v>11</v>
      </c>
      <c r="C229" t="s">
        <v>23</v>
      </c>
      <c r="D229" t="s">
        <v>48</v>
      </c>
      <c r="E229" t="s">
        <v>19</v>
      </c>
      <c r="F229" t="s">
        <v>15</v>
      </c>
      <c r="G229">
        <v>12</v>
      </c>
      <c r="H229">
        <v>26261</v>
      </c>
      <c r="I229">
        <v>315132</v>
      </c>
      <c r="J229" t="s">
        <v>36</v>
      </c>
    </row>
    <row r="230" spans="1:10" x14ac:dyDescent="0.25">
      <c r="A230" t="s">
        <v>135</v>
      </c>
      <c r="B230" t="s">
        <v>11</v>
      </c>
      <c r="C230" t="s">
        <v>34</v>
      </c>
      <c r="D230" t="s">
        <v>48</v>
      </c>
      <c r="E230" t="s">
        <v>25</v>
      </c>
      <c r="F230" t="s">
        <v>40</v>
      </c>
      <c r="G230">
        <v>3</v>
      </c>
      <c r="H230">
        <v>20045</v>
      </c>
      <c r="I230">
        <v>60135</v>
      </c>
      <c r="J230" t="s">
        <v>27</v>
      </c>
    </row>
    <row r="231" spans="1:10" x14ac:dyDescent="0.25">
      <c r="A231" t="s">
        <v>214</v>
      </c>
      <c r="B231" t="s">
        <v>33</v>
      </c>
      <c r="C231" t="s">
        <v>12</v>
      </c>
      <c r="D231" t="s">
        <v>44</v>
      </c>
      <c r="E231" t="s">
        <v>25</v>
      </c>
      <c r="F231" t="s">
        <v>26</v>
      </c>
      <c r="G231">
        <v>15</v>
      </c>
      <c r="H231">
        <v>41341</v>
      </c>
      <c r="I231">
        <v>620115</v>
      </c>
      <c r="J231" t="s">
        <v>20</v>
      </c>
    </row>
    <row r="232" spans="1:10" x14ac:dyDescent="0.25">
      <c r="A232" t="s">
        <v>161</v>
      </c>
      <c r="B232" t="s">
        <v>42</v>
      </c>
      <c r="C232" t="s">
        <v>34</v>
      </c>
      <c r="D232" t="s">
        <v>48</v>
      </c>
      <c r="E232" t="s">
        <v>25</v>
      </c>
      <c r="F232" t="s">
        <v>40</v>
      </c>
      <c r="G232">
        <v>12</v>
      </c>
      <c r="H232">
        <v>32169</v>
      </c>
      <c r="I232">
        <v>386028</v>
      </c>
      <c r="J232" t="s">
        <v>27</v>
      </c>
    </row>
    <row r="233" spans="1:10" x14ac:dyDescent="0.25">
      <c r="A233" t="s">
        <v>215</v>
      </c>
      <c r="B233" t="s">
        <v>42</v>
      </c>
      <c r="C233" t="s">
        <v>34</v>
      </c>
      <c r="D233" t="s">
        <v>48</v>
      </c>
      <c r="E233" t="s">
        <v>19</v>
      </c>
      <c r="F233" t="s">
        <v>40</v>
      </c>
      <c r="G233">
        <v>8</v>
      </c>
      <c r="H233">
        <v>58307</v>
      </c>
      <c r="I233">
        <v>466456</v>
      </c>
      <c r="J233" t="s">
        <v>36</v>
      </c>
    </row>
    <row r="234" spans="1:10" x14ac:dyDescent="0.25">
      <c r="A234" t="s">
        <v>10</v>
      </c>
      <c r="B234" t="s">
        <v>33</v>
      </c>
      <c r="C234" t="s">
        <v>38</v>
      </c>
      <c r="D234" t="s">
        <v>39</v>
      </c>
      <c r="E234" t="s">
        <v>35</v>
      </c>
      <c r="F234" t="s">
        <v>40</v>
      </c>
      <c r="G234">
        <v>1</v>
      </c>
      <c r="H234">
        <v>55186</v>
      </c>
      <c r="I234">
        <v>55186</v>
      </c>
      <c r="J234" t="s">
        <v>36</v>
      </c>
    </row>
    <row r="235" spans="1:10" x14ac:dyDescent="0.25">
      <c r="A235" t="s">
        <v>216</v>
      </c>
      <c r="B235" t="s">
        <v>42</v>
      </c>
      <c r="C235" t="s">
        <v>12</v>
      </c>
      <c r="D235" t="s">
        <v>44</v>
      </c>
      <c r="E235" t="s">
        <v>35</v>
      </c>
      <c r="F235" t="s">
        <v>26</v>
      </c>
      <c r="G235">
        <v>14</v>
      </c>
      <c r="H235">
        <v>30511</v>
      </c>
      <c r="I235">
        <v>427154</v>
      </c>
      <c r="J235" t="s">
        <v>20</v>
      </c>
    </row>
    <row r="236" spans="1:10" x14ac:dyDescent="0.25">
      <c r="A236" t="s">
        <v>217</v>
      </c>
      <c r="B236" t="s">
        <v>22</v>
      </c>
      <c r="C236" t="s">
        <v>23</v>
      </c>
      <c r="D236" t="s">
        <v>24</v>
      </c>
      <c r="E236" t="s">
        <v>14</v>
      </c>
      <c r="F236" t="s">
        <v>15</v>
      </c>
      <c r="G236">
        <v>9</v>
      </c>
      <c r="H236">
        <v>16836</v>
      </c>
      <c r="I236">
        <v>151524</v>
      </c>
      <c r="J236" t="s">
        <v>16</v>
      </c>
    </row>
    <row r="237" spans="1:10" x14ac:dyDescent="0.25">
      <c r="A237" t="s">
        <v>218</v>
      </c>
      <c r="B237" t="s">
        <v>42</v>
      </c>
      <c r="C237" t="s">
        <v>29</v>
      </c>
      <c r="D237" t="s">
        <v>48</v>
      </c>
      <c r="E237" t="s">
        <v>19</v>
      </c>
      <c r="F237" t="s">
        <v>40</v>
      </c>
      <c r="G237">
        <v>10</v>
      </c>
      <c r="H237">
        <v>26178</v>
      </c>
      <c r="I237">
        <v>261780</v>
      </c>
      <c r="J237" t="s">
        <v>27</v>
      </c>
    </row>
    <row r="238" spans="1:10" x14ac:dyDescent="0.25">
      <c r="A238" t="s">
        <v>87</v>
      </c>
      <c r="B238" t="s">
        <v>42</v>
      </c>
      <c r="C238" t="s">
        <v>29</v>
      </c>
      <c r="D238" t="s">
        <v>44</v>
      </c>
      <c r="E238" t="s">
        <v>35</v>
      </c>
      <c r="F238" t="s">
        <v>26</v>
      </c>
      <c r="G238">
        <v>3</v>
      </c>
      <c r="H238">
        <v>32525</v>
      </c>
      <c r="I238">
        <v>97575</v>
      </c>
      <c r="J238" t="s">
        <v>27</v>
      </c>
    </row>
    <row r="239" spans="1:10" x14ac:dyDescent="0.25">
      <c r="A239" t="s">
        <v>219</v>
      </c>
      <c r="B239" t="s">
        <v>18</v>
      </c>
      <c r="C239" t="s">
        <v>12</v>
      </c>
      <c r="D239" t="s">
        <v>24</v>
      </c>
      <c r="E239" t="s">
        <v>19</v>
      </c>
      <c r="F239" t="s">
        <v>40</v>
      </c>
      <c r="G239">
        <v>1</v>
      </c>
      <c r="H239">
        <v>40508</v>
      </c>
      <c r="I239">
        <v>40508</v>
      </c>
      <c r="J239" t="s">
        <v>27</v>
      </c>
    </row>
    <row r="240" spans="1:10" x14ac:dyDescent="0.25">
      <c r="A240" t="s">
        <v>220</v>
      </c>
      <c r="B240" t="s">
        <v>33</v>
      </c>
      <c r="C240" t="s">
        <v>34</v>
      </c>
      <c r="D240" t="s">
        <v>48</v>
      </c>
      <c r="E240" t="s">
        <v>30</v>
      </c>
      <c r="F240" t="s">
        <v>15</v>
      </c>
      <c r="G240">
        <v>18</v>
      </c>
      <c r="H240">
        <v>53017</v>
      </c>
      <c r="I240">
        <v>954306</v>
      </c>
      <c r="J240" t="s">
        <v>36</v>
      </c>
    </row>
    <row r="241" spans="1:10" x14ac:dyDescent="0.25">
      <c r="A241" t="s">
        <v>221</v>
      </c>
      <c r="B241" t="s">
        <v>42</v>
      </c>
      <c r="C241" t="s">
        <v>23</v>
      </c>
      <c r="D241" t="s">
        <v>48</v>
      </c>
      <c r="E241" t="s">
        <v>14</v>
      </c>
      <c r="F241" t="s">
        <v>15</v>
      </c>
      <c r="G241">
        <v>3</v>
      </c>
      <c r="H241">
        <v>38989</v>
      </c>
      <c r="I241">
        <v>116967</v>
      </c>
      <c r="J241" t="s">
        <v>20</v>
      </c>
    </row>
    <row r="242" spans="1:10" x14ac:dyDescent="0.25">
      <c r="A242" t="s">
        <v>111</v>
      </c>
      <c r="B242" t="s">
        <v>33</v>
      </c>
      <c r="C242" t="s">
        <v>29</v>
      </c>
      <c r="D242" t="s">
        <v>44</v>
      </c>
      <c r="E242" t="s">
        <v>25</v>
      </c>
      <c r="F242" t="s">
        <v>26</v>
      </c>
      <c r="G242">
        <v>16</v>
      </c>
      <c r="H242">
        <v>54520</v>
      </c>
      <c r="I242">
        <v>872320</v>
      </c>
      <c r="J242" t="s">
        <v>27</v>
      </c>
    </row>
    <row r="243" spans="1:10" x14ac:dyDescent="0.25">
      <c r="A243" t="s">
        <v>222</v>
      </c>
      <c r="B243" t="s">
        <v>33</v>
      </c>
      <c r="C243" t="s">
        <v>12</v>
      </c>
      <c r="D243" t="s">
        <v>39</v>
      </c>
      <c r="E243" t="s">
        <v>14</v>
      </c>
      <c r="F243" t="s">
        <v>40</v>
      </c>
      <c r="G243">
        <v>4</v>
      </c>
      <c r="H243">
        <v>43315</v>
      </c>
      <c r="I243">
        <v>173260</v>
      </c>
      <c r="J243" t="s">
        <v>36</v>
      </c>
    </row>
    <row r="244" spans="1:10" x14ac:dyDescent="0.25">
      <c r="A244" t="s">
        <v>83</v>
      </c>
      <c r="B244" t="s">
        <v>42</v>
      </c>
      <c r="C244" t="s">
        <v>34</v>
      </c>
      <c r="D244" t="s">
        <v>24</v>
      </c>
      <c r="E244" t="s">
        <v>35</v>
      </c>
      <c r="F244" t="s">
        <v>26</v>
      </c>
      <c r="G244">
        <v>20</v>
      </c>
      <c r="H244">
        <v>52096</v>
      </c>
      <c r="I244">
        <v>1041920</v>
      </c>
      <c r="J244" t="s">
        <v>27</v>
      </c>
    </row>
    <row r="245" spans="1:10" x14ac:dyDescent="0.25">
      <c r="A245" t="s">
        <v>223</v>
      </c>
      <c r="B245" t="s">
        <v>22</v>
      </c>
      <c r="C245" t="s">
        <v>38</v>
      </c>
      <c r="D245" t="s">
        <v>48</v>
      </c>
      <c r="E245" t="s">
        <v>14</v>
      </c>
      <c r="F245" t="s">
        <v>26</v>
      </c>
      <c r="G245">
        <v>8</v>
      </c>
      <c r="H245">
        <v>55956</v>
      </c>
      <c r="I245">
        <v>447648</v>
      </c>
      <c r="J245" t="s">
        <v>16</v>
      </c>
    </row>
    <row r="246" spans="1:10" x14ac:dyDescent="0.25">
      <c r="A246" t="s">
        <v>224</v>
      </c>
      <c r="B246" t="s">
        <v>22</v>
      </c>
      <c r="C246" t="s">
        <v>29</v>
      </c>
      <c r="D246" t="s">
        <v>48</v>
      </c>
      <c r="E246" t="s">
        <v>25</v>
      </c>
      <c r="F246" t="s">
        <v>40</v>
      </c>
      <c r="G246">
        <v>1</v>
      </c>
      <c r="H246">
        <v>38755</v>
      </c>
      <c r="I246">
        <v>38755</v>
      </c>
      <c r="J246" t="s">
        <v>20</v>
      </c>
    </row>
    <row r="247" spans="1:10" x14ac:dyDescent="0.25">
      <c r="A247" t="s">
        <v>225</v>
      </c>
      <c r="B247" t="s">
        <v>18</v>
      </c>
      <c r="C247" t="s">
        <v>23</v>
      </c>
      <c r="D247" t="s">
        <v>44</v>
      </c>
      <c r="E247" t="s">
        <v>14</v>
      </c>
      <c r="F247" t="s">
        <v>26</v>
      </c>
      <c r="G247">
        <v>11</v>
      </c>
      <c r="H247">
        <v>33507</v>
      </c>
      <c r="I247">
        <v>368577</v>
      </c>
      <c r="J247" t="s">
        <v>20</v>
      </c>
    </row>
    <row r="248" spans="1:10" x14ac:dyDescent="0.25">
      <c r="A248" t="s">
        <v>226</v>
      </c>
      <c r="B248" t="s">
        <v>42</v>
      </c>
      <c r="C248" t="s">
        <v>38</v>
      </c>
      <c r="D248" t="s">
        <v>24</v>
      </c>
      <c r="E248" t="s">
        <v>30</v>
      </c>
      <c r="F248" t="s">
        <v>40</v>
      </c>
      <c r="G248">
        <v>11</v>
      </c>
      <c r="H248">
        <v>39254</v>
      </c>
      <c r="I248">
        <v>431794</v>
      </c>
      <c r="J248" t="s">
        <v>27</v>
      </c>
    </row>
    <row r="249" spans="1:10" x14ac:dyDescent="0.25">
      <c r="A249" t="s">
        <v>227</v>
      </c>
      <c r="B249" t="s">
        <v>11</v>
      </c>
      <c r="C249" t="s">
        <v>29</v>
      </c>
      <c r="D249" t="s">
        <v>48</v>
      </c>
      <c r="E249" t="s">
        <v>30</v>
      </c>
      <c r="F249" t="s">
        <v>15</v>
      </c>
      <c r="G249">
        <v>17</v>
      </c>
      <c r="H249">
        <v>15919</v>
      </c>
      <c r="I249">
        <v>270623</v>
      </c>
      <c r="J249" t="s">
        <v>36</v>
      </c>
    </row>
    <row r="250" spans="1:10" x14ac:dyDescent="0.25">
      <c r="A250" t="s">
        <v>228</v>
      </c>
      <c r="B250" t="s">
        <v>33</v>
      </c>
      <c r="C250" t="s">
        <v>34</v>
      </c>
      <c r="D250" t="s">
        <v>48</v>
      </c>
      <c r="E250" t="s">
        <v>25</v>
      </c>
      <c r="F250" t="s">
        <v>40</v>
      </c>
      <c r="G250">
        <v>17</v>
      </c>
      <c r="H250">
        <v>21449</v>
      </c>
      <c r="I250">
        <v>364633</v>
      </c>
      <c r="J250" t="s">
        <v>36</v>
      </c>
    </row>
    <row r="251" spans="1:10" x14ac:dyDescent="0.25">
      <c r="A251" t="s">
        <v>229</v>
      </c>
      <c r="B251" t="s">
        <v>33</v>
      </c>
      <c r="C251" t="s">
        <v>12</v>
      </c>
      <c r="D251" t="s">
        <v>48</v>
      </c>
      <c r="E251" t="s">
        <v>14</v>
      </c>
      <c r="F251" t="s">
        <v>15</v>
      </c>
      <c r="G251">
        <v>14</v>
      </c>
      <c r="H251">
        <v>39040</v>
      </c>
      <c r="I251">
        <v>546560</v>
      </c>
      <c r="J251" t="s">
        <v>20</v>
      </c>
    </row>
    <row r="252" spans="1:10" x14ac:dyDescent="0.25">
      <c r="A252" t="s">
        <v>218</v>
      </c>
      <c r="B252" t="s">
        <v>18</v>
      </c>
      <c r="C252" t="s">
        <v>23</v>
      </c>
      <c r="D252" t="s">
        <v>13</v>
      </c>
      <c r="E252" t="s">
        <v>35</v>
      </c>
      <c r="F252" t="s">
        <v>26</v>
      </c>
      <c r="G252">
        <v>1</v>
      </c>
      <c r="H252">
        <v>19870</v>
      </c>
      <c r="I252">
        <v>19870</v>
      </c>
      <c r="J252" t="s">
        <v>16</v>
      </c>
    </row>
    <row r="253" spans="1:10" x14ac:dyDescent="0.25">
      <c r="A253" t="s">
        <v>193</v>
      </c>
      <c r="B253" t="s">
        <v>42</v>
      </c>
      <c r="C253" t="s">
        <v>34</v>
      </c>
      <c r="D253" t="s">
        <v>39</v>
      </c>
      <c r="E253" t="s">
        <v>25</v>
      </c>
      <c r="F253" t="s">
        <v>40</v>
      </c>
      <c r="G253">
        <v>5</v>
      </c>
      <c r="H253">
        <v>37662</v>
      </c>
      <c r="I253">
        <v>188310</v>
      </c>
      <c r="J253" t="s">
        <v>36</v>
      </c>
    </row>
    <row r="254" spans="1:10" x14ac:dyDescent="0.25">
      <c r="A254" t="s">
        <v>230</v>
      </c>
      <c r="B254" t="s">
        <v>22</v>
      </c>
      <c r="C254" t="s">
        <v>29</v>
      </c>
      <c r="D254" t="s">
        <v>24</v>
      </c>
      <c r="E254" t="s">
        <v>14</v>
      </c>
      <c r="F254" t="s">
        <v>26</v>
      </c>
      <c r="G254">
        <v>11</v>
      </c>
      <c r="H254">
        <v>22293</v>
      </c>
      <c r="I254">
        <v>245223</v>
      </c>
      <c r="J254" t="s">
        <v>27</v>
      </c>
    </row>
    <row r="255" spans="1:10" x14ac:dyDescent="0.25">
      <c r="A255" t="s">
        <v>231</v>
      </c>
      <c r="B255" t="s">
        <v>22</v>
      </c>
      <c r="C255" t="s">
        <v>34</v>
      </c>
      <c r="D255" t="s">
        <v>39</v>
      </c>
      <c r="E255" t="s">
        <v>25</v>
      </c>
      <c r="F255" t="s">
        <v>15</v>
      </c>
      <c r="G255">
        <v>2</v>
      </c>
      <c r="H255">
        <v>19594</v>
      </c>
      <c r="I255">
        <v>39188</v>
      </c>
      <c r="J255" t="s">
        <v>36</v>
      </c>
    </row>
    <row r="256" spans="1:10" x14ac:dyDescent="0.25">
      <c r="A256" t="s">
        <v>232</v>
      </c>
      <c r="B256" t="s">
        <v>22</v>
      </c>
      <c r="C256" t="s">
        <v>34</v>
      </c>
      <c r="D256" t="s">
        <v>24</v>
      </c>
      <c r="E256" t="s">
        <v>35</v>
      </c>
      <c r="F256" t="s">
        <v>15</v>
      </c>
      <c r="G256">
        <v>6</v>
      </c>
      <c r="H256">
        <v>33099</v>
      </c>
      <c r="I256">
        <v>198594</v>
      </c>
      <c r="J256" t="s">
        <v>16</v>
      </c>
    </row>
    <row r="257" spans="1:10" x14ac:dyDescent="0.25">
      <c r="A257" t="s">
        <v>233</v>
      </c>
      <c r="B257" t="s">
        <v>18</v>
      </c>
      <c r="C257" t="s">
        <v>12</v>
      </c>
      <c r="D257" t="s">
        <v>24</v>
      </c>
      <c r="E257" t="s">
        <v>19</v>
      </c>
      <c r="F257" t="s">
        <v>26</v>
      </c>
      <c r="G257">
        <v>9</v>
      </c>
      <c r="H257">
        <v>40869</v>
      </c>
      <c r="I257">
        <v>367821</v>
      </c>
      <c r="J257" t="s">
        <v>16</v>
      </c>
    </row>
    <row r="258" spans="1:10" x14ac:dyDescent="0.25">
      <c r="A258" t="s">
        <v>234</v>
      </c>
      <c r="B258" t="s">
        <v>33</v>
      </c>
      <c r="C258" t="s">
        <v>38</v>
      </c>
      <c r="D258" t="s">
        <v>13</v>
      </c>
      <c r="E258" t="s">
        <v>35</v>
      </c>
      <c r="F258" t="s">
        <v>15</v>
      </c>
      <c r="G258">
        <v>19</v>
      </c>
      <c r="H258">
        <v>54038</v>
      </c>
      <c r="I258">
        <v>1026722</v>
      </c>
      <c r="J258" t="s">
        <v>16</v>
      </c>
    </row>
    <row r="259" spans="1:10" x14ac:dyDescent="0.25">
      <c r="A259" t="s">
        <v>235</v>
      </c>
      <c r="B259" t="s">
        <v>11</v>
      </c>
      <c r="C259" t="s">
        <v>12</v>
      </c>
      <c r="D259" t="s">
        <v>44</v>
      </c>
      <c r="E259" t="s">
        <v>30</v>
      </c>
      <c r="F259" t="s">
        <v>40</v>
      </c>
      <c r="G259">
        <v>7</v>
      </c>
      <c r="H259">
        <v>45043</v>
      </c>
      <c r="I259">
        <v>315301</v>
      </c>
      <c r="J259" t="s">
        <v>16</v>
      </c>
    </row>
    <row r="260" spans="1:10" x14ac:dyDescent="0.25">
      <c r="A260" t="s">
        <v>236</v>
      </c>
      <c r="B260" t="s">
        <v>33</v>
      </c>
      <c r="C260" t="s">
        <v>38</v>
      </c>
      <c r="D260" t="s">
        <v>48</v>
      </c>
      <c r="E260" t="s">
        <v>35</v>
      </c>
      <c r="F260" t="s">
        <v>26</v>
      </c>
      <c r="G260">
        <v>3</v>
      </c>
      <c r="H260">
        <v>24014</v>
      </c>
      <c r="I260">
        <v>72042</v>
      </c>
      <c r="J260" t="s">
        <v>36</v>
      </c>
    </row>
    <row r="261" spans="1:10" x14ac:dyDescent="0.25">
      <c r="A261" t="s">
        <v>237</v>
      </c>
      <c r="B261" t="s">
        <v>18</v>
      </c>
      <c r="C261" t="s">
        <v>29</v>
      </c>
      <c r="D261" t="s">
        <v>39</v>
      </c>
      <c r="E261" t="s">
        <v>14</v>
      </c>
      <c r="F261" t="s">
        <v>15</v>
      </c>
      <c r="G261">
        <v>10</v>
      </c>
      <c r="H261">
        <v>20410</v>
      </c>
      <c r="I261">
        <v>204100</v>
      </c>
      <c r="J261" t="s">
        <v>36</v>
      </c>
    </row>
    <row r="262" spans="1:10" x14ac:dyDescent="0.25">
      <c r="A262" t="s">
        <v>185</v>
      </c>
      <c r="B262" t="s">
        <v>11</v>
      </c>
      <c r="C262" t="s">
        <v>12</v>
      </c>
      <c r="D262" t="s">
        <v>48</v>
      </c>
      <c r="E262" t="s">
        <v>19</v>
      </c>
      <c r="F262" t="s">
        <v>40</v>
      </c>
      <c r="G262">
        <v>9</v>
      </c>
      <c r="H262">
        <v>26658</v>
      </c>
      <c r="I262">
        <v>239922</v>
      </c>
      <c r="J262" t="s">
        <v>36</v>
      </c>
    </row>
    <row r="263" spans="1:10" x14ac:dyDescent="0.25">
      <c r="A263" t="s">
        <v>195</v>
      </c>
      <c r="B263" t="s">
        <v>22</v>
      </c>
      <c r="C263" t="s">
        <v>38</v>
      </c>
      <c r="D263" t="s">
        <v>39</v>
      </c>
      <c r="E263" t="s">
        <v>30</v>
      </c>
      <c r="F263" t="s">
        <v>26</v>
      </c>
      <c r="G263">
        <v>13</v>
      </c>
      <c r="H263">
        <v>55930</v>
      </c>
      <c r="I263">
        <v>727090</v>
      </c>
      <c r="J263" t="s">
        <v>16</v>
      </c>
    </row>
    <row r="264" spans="1:10" x14ac:dyDescent="0.25">
      <c r="A264" t="s">
        <v>127</v>
      </c>
      <c r="B264" t="s">
        <v>22</v>
      </c>
      <c r="C264" t="s">
        <v>34</v>
      </c>
      <c r="D264" t="s">
        <v>44</v>
      </c>
      <c r="E264" t="s">
        <v>25</v>
      </c>
      <c r="F264" t="s">
        <v>15</v>
      </c>
      <c r="G264">
        <v>17</v>
      </c>
      <c r="H264">
        <v>41658</v>
      </c>
      <c r="I264">
        <v>708186</v>
      </c>
      <c r="J264" t="s">
        <v>20</v>
      </c>
    </row>
    <row r="265" spans="1:10" x14ac:dyDescent="0.25">
      <c r="A265" t="s">
        <v>167</v>
      </c>
      <c r="B265" t="s">
        <v>18</v>
      </c>
      <c r="C265" t="s">
        <v>23</v>
      </c>
      <c r="D265" t="s">
        <v>48</v>
      </c>
      <c r="E265" t="s">
        <v>19</v>
      </c>
      <c r="F265" t="s">
        <v>40</v>
      </c>
      <c r="G265">
        <v>17</v>
      </c>
      <c r="H265">
        <v>23829</v>
      </c>
      <c r="I265">
        <v>405093</v>
      </c>
      <c r="J265" t="s">
        <v>16</v>
      </c>
    </row>
    <row r="266" spans="1:10" x14ac:dyDescent="0.25">
      <c r="A266" t="s">
        <v>100</v>
      </c>
      <c r="B266" t="s">
        <v>11</v>
      </c>
      <c r="C266" t="s">
        <v>38</v>
      </c>
      <c r="D266" t="s">
        <v>44</v>
      </c>
      <c r="E266" t="s">
        <v>35</v>
      </c>
      <c r="F266" t="s">
        <v>40</v>
      </c>
      <c r="G266">
        <v>16</v>
      </c>
      <c r="H266">
        <v>32424</v>
      </c>
      <c r="I266">
        <v>518784</v>
      </c>
      <c r="J266" t="s">
        <v>20</v>
      </c>
    </row>
    <row r="267" spans="1:10" x14ac:dyDescent="0.25">
      <c r="A267" t="s">
        <v>158</v>
      </c>
      <c r="B267" t="s">
        <v>33</v>
      </c>
      <c r="C267" t="s">
        <v>29</v>
      </c>
      <c r="D267" t="s">
        <v>44</v>
      </c>
      <c r="E267" t="s">
        <v>25</v>
      </c>
      <c r="F267" t="s">
        <v>15</v>
      </c>
      <c r="G267">
        <v>6</v>
      </c>
      <c r="H267">
        <v>44702</v>
      </c>
      <c r="I267">
        <v>268212</v>
      </c>
      <c r="J267" t="s">
        <v>27</v>
      </c>
    </row>
    <row r="268" spans="1:10" x14ac:dyDescent="0.25">
      <c r="A268" t="s">
        <v>238</v>
      </c>
      <c r="B268" t="s">
        <v>18</v>
      </c>
      <c r="C268" t="s">
        <v>34</v>
      </c>
      <c r="D268" t="s">
        <v>48</v>
      </c>
      <c r="E268" t="s">
        <v>30</v>
      </c>
      <c r="F268" t="s">
        <v>40</v>
      </c>
      <c r="G268">
        <v>19</v>
      </c>
      <c r="H268">
        <v>25898</v>
      </c>
      <c r="I268">
        <v>492062</v>
      </c>
      <c r="J268" t="s">
        <v>36</v>
      </c>
    </row>
    <row r="269" spans="1:10" x14ac:dyDescent="0.25">
      <c r="A269" t="s">
        <v>239</v>
      </c>
      <c r="B269" t="s">
        <v>22</v>
      </c>
      <c r="C269" t="s">
        <v>23</v>
      </c>
      <c r="D269" t="s">
        <v>24</v>
      </c>
      <c r="E269" t="s">
        <v>30</v>
      </c>
      <c r="F269" t="s">
        <v>40</v>
      </c>
      <c r="G269">
        <v>4</v>
      </c>
      <c r="H269">
        <v>27544</v>
      </c>
      <c r="I269">
        <v>110176</v>
      </c>
      <c r="J269" t="s">
        <v>20</v>
      </c>
    </row>
    <row r="270" spans="1:10" x14ac:dyDescent="0.25">
      <c r="A270" t="s">
        <v>71</v>
      </c>
      <c r="B270" t="s">
        <v>22</v>
      </c>
      <c r="C270" t="s">
        <v>34</v>
      </c>
      <c r="D270" t="s">
        <v>39</v>
      </c>
      <c r="E270" t="s">
        <v>19</v>
      </c>
      <c r="F270" t="s">
        <v>15</v>
      </c>
      <c r="G270">
        <v>10</v>
      </c>
      <c r="H270">
        <v>29279</v>
      </c>
      <c r="I270">
        <v>292790</v>
      </c>
      <c r="J270" t="s">
        <v>16</v>
      </c>
    </row>
    <row r="271" spans="1:10" x14ac:dyDescent="0.25">
      <c r="A271" t="s">
        <v>128</v>
      </c>
      <c r="B271" t="s">
        <v>22</v>
      </c>
      <c r="C271" t="s">
        <v>38</v>
      </c>
      <c r="D271" t="s">
        <v>13</v>
      </c>
      <c r="E271" t="s">
        <v>19</v>
      </c>
      <c r="F271" t="s">
        <v>26</v>
      </c>
      <c r="G271">
        <v>5</v>
      </c>
      <c r="H271">
        <v>35343</v>
      </c>
      <c r="I271">
        <v>176715</v>
      </c>
      <c r="J271" t="s">
        <v>36</v>
      </c>
    </row>
    <row r="272" spans="1:10" x14ac:dyDescent="0.25">
      <c r="A272" t="s">
        <v>208</v>
      </c>
      <c r="B272" t="s">
        <v>33</v>
      </c>
      <c r="C272" t="s">
        <v>23</v>
      </c>
      <c r="D272" t="s">
        <v>44</v>
      </c>
      <c r="E272" t="s">
        <v>19</v>
      </c>
      <c r="F272" t="s">
        <v>26</v>
      </c>
      <c r="G272">
        <v>14</v>
      </c>
      <c r="H272">
        <v>34867</v>
      </c>
      <c r="I272">
        <v>488138</v>
      </c>
      <c r="J272" t="s">
        <v>27</v>
      </c>
    </row>
    <row r="273" spans="1:10" x14ac:dyDescent="0.25">
      <c r="A273" t="s">
        <v>72</v>
      </c>
      <c r="B273" t="s">
        <v>18</v>
      </c>
      <c r="C273" t="s">
        <v>29</v>
      </c>
      <c r="D273" t="s">
        <v>39</v>
      </c>
      <c r="E273" t="s">
        <v>30</v>
      </c>
      <c r="F273" t="s">
        <v>26</v>
      </c>
      <c r="G273">
        <v>1</v>
      </c>
      <c r="H273">
        <v>52999</v>
      </c>
      <c r="I273">
        <v>52999</v>
      </c>
      <c r="J273" t="s">
        <v>27</v>
      </c>
    </row>
    <row r="274" spans="1:10" x14ac:dyDescent="0.25">
      <c r="A274" t="s">
        <v>182</v>
      </c>
      <c r="B274" t="s">
        <v>42</v>
      </c>
      <c r="C274" t="s">
        <v>23</v>
      </c>
      <c r="D274" t="s">
        <v>13</v>
      </c>
      <c r="E274" t="s">
        <v>19</v>
      </c>
      <c r="F274" t="s">
        <v>26</v>
      </c>
      <c r="G274">
        <v>10</v>
      </c>
      <c r="H274">
        <v>31550</v>
      </c>
      <c r="I274">
        <v>315500</v>
      </c>
      <c r="J274" t="s">
        <v>20</v>
      </c>
    </row>
    <row r="275" spans="1:10" x14ac:dyDescent="0.25">
      <c r="A275" t="s">
        <v>240</v>
      </c>
      <c r="B275" t="s">
        <v>33</v>
      </c>
      <c r="C275" t="s">
        <v>23</v>
      </c>
      <c r="D275" t="s">
        <v>13</v>
      </c>
      <c r="E275" t="s">
        <v>35</v>
      </c>
      <c r="F275" t="s">
        <v>15</v>
      </c>
      <c r="G275">
        <v>3</v>
      </c>
      <c r="H275">
        <v>23829</v>
      </c>
      <c r="I275">
        <v>71487</v>
      </c>
      <c r="J275" t="s">
        <v>16</v>
      </c>
    </row>
    <row r="276" spans="1:10" x14ac:dyDescent="0.25">
      <c r="A276" t="s">
        <v>184</v>
      </c>
      <c r="B276" t="s">
        <v>18</v>
      </c>
      <c r="C276" t="s">
        <v>12</v>
      </c>
      <c r="D276" t="s">
        <v>39</v>
      </c>
      <c r="E276" t="s">
        <v>25</v>
      </c>
      <c r="F276" t="s">
        <v>40</v>
      </c>
      <c r="G276">
        <v>9</v>
      </c>
      <c r="H276">
        <v>42233</v>
      </c>
      <c r="I276">
        <v>380097</v>
      </c>
      <c r="J276" t="s">
        <v>20</v>
      </c>
    </row>
    <row r="277" spans="1:10" x14ac:dyDescent="0.25">
      <c r="A277" t="s">
        <v>17</v>
      </c>
      <c r="B277" t="s">
        <v>18</v>
      </c>
      <c r="C277" t="s">
        <v>34</v>
      </c>
      <c r="D277" t="s">
        <v>13</v>
      </c>
      <c r="E277" t="s">
        <v>35</v>
      </c>
      <c r="F277" t="s">
        <v>15</v>
      </c>
      <c r="G277">
        <v>8</v>
      </c>
      <c r="H277">
        <v>40992</v>
      </c>
      <c r="I277">
        <v>327936</v>
      </c>
      <c r="J277" t="s">
        <v>16</v>
      </c>
    </row>
    <row r="278" spans="1:10" x14ac:dyDescent="0.25">
      <c r="A278" t="s">
        <v>85</v>
      </c>
      <c r="B278" t="s">
        <v>33</v>
      </c>
      <c r="C278" t="s">
        <v>23</v>
      </c>
      <c r="D278" t="s">
        <v>39</v>
      </c>
      <c r="E278" t="s">
        <v>30</v>
      </c>
      <c r="F278" t="s">
        <v>40</v>
      </c>
      <c r="G278">
        <v>9</v>
      </c>
      <c r="H278">
        <v>26501</v>
      </c>
      <c r="I278">
        <v>238509</v>
      </c>
      <c r="J278" t="s">
        <v>36</v>
      </c>
    </row>
    <row r="279" spans="1:10" x14ac:dyDescent="0.25">
      <c r="A279" t="s">
        <v>241</v>
      </c>
      <c r="B279" t="s">
        <v>22</v>
      </c>
      <c r="C279" t="s">
        <v>38</v>
      </c>
      <c r="D279" t="s">
        <v>39</v>
      </c>
      <c r="E279" t="s">
        <v>30</v>
      </c>
      <c r="F279" t="s">
        <v>15</v>
      </c>
      <c r="G279">
        <v>15</v>
      </c>
      <c r="H279">
        <v>20376</v>
      </c>
      <c r="I279">
        <v>305640</v>
      </c>
      <c r="J279" t="s">
        <v>20</v>
      </c>
    </row>
    <row r="280" spans="1:10" x14ac:dyDescent="0.25">
      <c r="A280" t="s">
        <v>242</v>
      </c>
      <c r="B280" t="s">
        <v>18</v>
      </c>
      <c r="C280" t="s">
        <v>12</v>
      </c>
      <c r="D280" t="s">
        <v>39</v>
      </c>
      <c r="E280" t="s">
        <v>19</v>
      </c>
      <c r="F280" t="s">
        <v>15</v>
      </c>
      <c r="G280">
        <v>9</v>
      </c>
      <c r="H280">
        <v>59454</v>
      </c>
      <c r="I280">
        <v>535086</v>
      </c>
      <c r="J280" t="s">
        <v>20</v>
      </c>
    </row>
    <row r="281" spans="1:10" x14ac:dyDescent="0.25">
      <c r="A281" t="s">
        <v>10</v>
      </c>
      <c r="B281" t="s">
        <v>22</v>
      </c>
      <c r="C281" t="s">
        <v>38</v>
      </c>
      <c r="D281" t="s">
        <v>39</v>
      </c>
      <c r="E281" t="s">
        <v>30</v>
      </c>
      <c r="F281" t="s">
        <v>15</v>
      </c>
      <c r="G281">
        <v>19</v>
      </c>
      <c r="H281">
        <v>16315</v>
      </c>
      <c r="I281">
        <v>309985</v>
      </c>
      <c r="J281" t="s">
        <v>20</v>
      </c>
    </row>
    <row r="282" spans="1:10" x14ac:dyDescent="0.25">
      <c r="A282" t="s">
        <v>243</v>
      </c>
      <c r="B282" t="s">
        <v>18</v>
      </c>
      <c r="C282" t="s">
        <v>23</v>
      </c>
      <c r="D282" t="s">
        <v>48</v>
      </c>
      <c r="E282" t="s">
        <v>14</v>
      </c>
      <c r="F282" t="s">
        <v>40</v>
      </c>
      <c r="G282">
        <v>13</v>
      </c>
      <c r="H282">
        <v>57705</v>
      </c>
      <c r="I282">
        <v>750165</v>
      </c>
      <c r="J282" t="s">
        <v>36</v>
      </c>
    </row>
    <row r="283" spans="1:10" x14ac:dyDescent="0.25">
      <c r="A283" t="s">
        <v>231</v>
      </c>
      <c r="B283" t="s">
        <v>22</v>
      </c>
      <c r="C283" t="s">
        <v>38</v>
      </c>
      <c r="D283" t="s">
        <v>48</v>
      </c>
      <c r="E283" t="s">
        <v>19</v>
      </c>
      <c r="F283" t="s">
        <v>26</v>
      </c>
      <c r="G283">
        <v>8</v>
      </c>
      <c r="H283">
        <v>27687</v>
      </c>
      <c r="I283">
        <v>221496</v>
      </c>
      <c r="J283" t="s">
        <v>36</v>
      </c>
    </row>
    <row r="284" spans="1:10" x14ac:dyDescent="0.25">
      <c r="A284" t="s">
        <v>191</v>
      </c>
      <c r="B284" t="s">
        <v>18</v>
      </c>
      <c r="C284" t="s">
        <v>34</v>
      </c>
      <c r="D284" t="s">
        <v>39</v>
      </c>
      <c r="E284" t="s">
        <v>25</v>
      </c>
      <c r="F284" t="s">
        <v>40</v>
      </c>
      <c r="G284">
        <v>7</v>
      </c>
      <c r="H284">
        <v>50762</v>
      </c>
      <c r="I284">
        <v>355334</v>
      </c>
      <c r="J284" t="s">
        <v>16</v>
      </c>
    </row>
    <row r="285" spans="1:10" x14ac:dyDescent="0.25">
      <c r="A285" t="s">
        <v>244</v>
      </c>
      <c r="B285" t="s">
        <v>22</v>
      </c>
      <c r="C285" t="s">
        <v>23</v>
      </c>
      <c r="D285" t="s">
        <v>44</v>
      </c>
      <c r="E285" t="s">
        <v>35</v>
      </c>
      <c r="F285" t="s">
        <v>26</v>
      </c>
      <c r="G285">
        <v>5</v>
      </c>
      <c r="H285">
        <v>15954</v>
      </c>
      <c r="I285">
        <v>79770</v>
      </c>
      <c r="J285" t="s">
        <v>36</v>
      </c>
    </row>
    <row r="286" spans="1:10" x14ac:dyDescent="0.25">
      <c r="A286" t="s">
        <v>245</v>
      </c>
      <c r="B286" t="s">
        <v>11</v>
      </c>
      <c r="C286" t="s">
        <v>38</v>
      </c>
      <c r="D286" t="s">
        <v>44</v>
      </c>
      <c r="E286" t="s">
        <v>30</v>
      </c>
      <c r="F286" t="s">
        <v>40</v>
      </c>
      <c r="G286">
        <v>2</v>
      </c>
      <c r="H286">
        <v>21857</v>
      </c>
      <c r="I286">
        <v>43714</v>
      </c>
      <c r="J286" t="s">
        <v>16</v>
      </c>
    </row>
    <row r="287" spans="1:10" x14ac:dyDescent="0.25">
      <c r="A287" t="s">
        <v>246</v>
      </c>
      <c r="B287" t="s">
        <v>22</v>
      </c>
      <c r="C287" t="s">
        <v>38</v>
      </c>
      <c r="D287" t="s">
        <v>24</v>
      </c>
      <c r="E287" t="s">
        <v>14</v>
      </c>
      <c r="F287" t="s">
        <v>26</v>
      </c>
      <c r="G287">
        <v>16</v>
      </c>
      <c r="H287">
        <v>47501</v>
      </c>
      <c r="I287">
        <v>760016</v>
      </c>
      <c r="J287" t="s">
        <v>20</v>
      </c>
    </row>
    <row r="288" spans="1:10" x14ac:dyDescent="0.25">
      <c r="A288" t="s">
        <v>153</v>
      </c>
      <c r="B288" t="s">
        <v>42</v>
      </c>
      <c r="C288" t="s">
        <v>12</v>
      </c>
      <c r="D288" t="s">
        <v>48</v>
      </c>
      <c r="E288" t="s">
        <v>25</v>
      </c>
      <c r="F288" t="s">
        <v>15</v>
      </c>
      <c r="G288">
        <v>14</v>
      </c>
      <c r="H288">
        <v>44999</v>
      </c>
      <c r="I288">
        <v>629986</v>
      </c>
      <c r="J288" t="s">
        <v>36</v>
      </c>
    </row>
    <row r="289" spans="1:10" x14ac:dyDescent="0.25">
      <c r="A289" t="s">
        <v>235</v>
      </c>
      <c r="B289" t="s">
        <v>11</v>
      </c>
      <c r="C289" t="s">
        <v>23</v>
      </c>
      <c r="D289" t="s">
        <v>24</v>
      </c>
      <c r="E289" t="s">
        <v>35</v>
      </c>
      <c r="F289" t="s">
        <v>26</v>
      </c>
      <c r="G289">
        <v>13</v>
      </c>
      <c r="H289">
        <v>31983</v>
      </c>
      <c r="I289">
        <v>415779</v>
      </c>
      <c r="J289" t="s">
        <v>36</v>
      </c>
    </row>
    <row r="290" spans="1:10" x14ac:dyDescent="0.25">
      <c r="A290" t="s">
        <v>166</v>
      </c>
      <c r="B290" t="s">
        <v>22</v>
      </c>
      <c r="C290" t="s">
        <v>23</v>
      </c>
      <c r="D290" t="s">
        <v>39</v>
      </c>
      <c r="E290" t="s">
        <v>14</v>
      </c>
      <c r="F290" t="s">
        <v>26</v>
      </c>
      <c r="G290">
        <v>10</v>
      </c>
      <c r="H290">
        <v>30473</v>
      </c>
      <c r="I290">
        <v>304730</v>
      </c>
      <c r="J290" t="s">
        <v>36</v>
      </c>
    </row>
    <row r="291" spans="1:10" x14ac:dyDescent="0.25">
      <c r="A291" t="s">
        <v>51</v>
      </c>
      <c r="B291" t="s">
        <v>22</v>
      </c>
      <c r="C291" t="s">
        <v>23</v>
      </c>
      <c r="D291" t="s">
        <v>24</v>
      </c>
      <c r="E291" t="s">
        <v>14</v>
      </c>
      <c r="F291" t="s">
        <v>26</v>
      </c>
      <c r="G291">
        <v>10</v>
      </c>
      <c r="H291">
        <v>25347</v>
      </c>
      <c r="I291">
        <v>253470</v>
      </c>
      <c r="J291" t="s">
        <v>36</v>
      </c>
    </row>
    <row r="292" spans="1:10" x14ac:dyDescent="0.25">
      <c r="A292" t="s">
        <v>239</v>
      </c>
      <c r="B292" t="s">
        <v>42</v>
      </c>
      <c r="C292" t="s">
        <v>38</v>
      </c>
      <c r="D292" t="s">
        <v>24</v>
      </c>
      <c r="E292" t="s">
        <v>25</v>
      </c>
      <c r="F292" t="s">
        <v>40</v>
      </c>
      <c r="G292">
        <v>12</v>
      </c>
      <c r="H292">
        <v>20436</v>
      </c>
      <c r="I292">
        <v>245232</v>
      </c>
      <c r="J292" t="s">
        <v>36</v>
      </c>
    </row>
    <row r="293" spans="1:10" x14ac:dyDescent="0.25">
      <c r="A293" t="s">
        <v>247</v>
      </c>
      <c r="B293" t="s">
        <v>42</v>
      </c>
      <c r="C293" t="s">
        <v>29</v>
      </c>
      <c r="D293" t="s">
        <v>24</v>
      </c>
      <c r="E293" t="s">
        <v>19</v>
      </c>
      <c r="F293" t="s">
        <v>15</v>
      </c>
      <c r="G293">
        <v>1</v>
      </c>
      <c r="H293">
        <v>49144</v>
      </c>
      <c r="I293">
        <v>49144</v>
      </c>
      <c r="J293" t="s">
        <v>16</v>
      </c>
    </row>
    <row r="294" spans="1:10" x14ac:dyDescent="0.25">
      <c r="A294" t="s">
        <v>172</v>
      </c>
      <c r="B294" t="s">
        <v>33</v>
      </c>
      <c r="C294" t="s">
        <v>38</v>
      </c>
      <c r="D294" t="s">
        <v>24</v>
      </c>
      <c r="E294" t="s">
        <v>19</v>
      </c>
      <c r="F294" t="s">
        <v>40</v>
      </c>
      <c r="G294">
        <v>16</v>
      </c>
      <c r="H294">
        <v>48194</v>
      </c>
      <c r="I294">
        <v>771104</v>
      </c>
      <c r="J294" t="s">
        <v>36</v>
      </c>
    </row>
    <row r="295" spans="1:10" x14ac:dyDescent="0.25">
      <c r="A295" t="s">
        <v>248</v>
      </c>
      <c r="B295" t="s">
        <v>11</v>
      </c>
      <c r="C295" t="s">
        <v>12</v>
      </c>
      <c r="D295" t="s">
        <v>48</v>
      </c>
      <c r="E295" t="s">
        <v>25</v>
      </c>
      <c r="F295" t="s">
        <v>40</v>
      </c>
      <c r="G295">
        <v>1</v>
      </c>
      <c r="H295">
        <v>17088</v>
      </c>
      <c r="I295">
        <v>17088</v>
      </c>
      <c r="J295" t="s">
        <v>27</v>
      </c>
    </row>
    <row r="296" spans="1:10" x14ac:dyDescent="0.25">
      <c r="A296" t="s">
        <v>150</v>
      </c>
      <c r="B296" t="s">
        <v>18</v>
      </c>
      <c r="C296" t="s">
        <v>12</v>
      </c>
      <c r="D296" t="s">
        <v>39</v>
      </c>
      <c r="E296" t="s">
        <v>35</v>
      </c>
      <c r="F296" t="s">
        <v>15</v>
      </c>
      <c r="G296">
        <v>2</v>
      </c>
      <c r="H296">
        <v>36151</v>
      </c>
      <c r="I296">
        <v>72302</v>
      </c>
      <c r="J296" t="s">
        <v>27</v>
      </c>
    </row>
    <row r="297" spans="1:10" x14ac:dyDescent="0.25">
      <c r="A297" t="s">
        <v>233</v>
      </c>
      <c r="B297" t="s">
        <v>42</v>
      </c>
      <c r="C297" t="s">
        <v>29</v>
      </c>
      <c r="D297" t="s">
        <v>13</v>
      </c>
      <c r="E297" t="s">
        <v>14</v>
      </c>
      <c r="F297" t="s">
        <v>15</v>
      </c>
      <c r="G297">
        <v>20</v>
      </c>
      <c r="H297">
        <v>48022</v>
      </c>
      <c r="I297">
        <v>960440</v>
      </c>
      <c r="J297" t="s">
        <v>20</v>
      </c>
    </row>
    <row r="298" spans="1:10" x14ac:dyDescent="0.25">
      <c r="A298" t="s">
        <v>249</v>
      </c>
      <c r="B298" t="s">
        <v>11</v>
      </c>
      <c r="C298" t="s">
        <v>12</v>
      </c>
      <c r="D298" t="s">
        <v>48</v>
      </c>
      <c r="E298" t="s">
        <v>30</v>
      </c>
      <c r="F298" t="s">
        <v>26</v>
      </c>
      <c r="G298">
        <v>1</v>
      </c>
      <c r="H298">
        <v>48577</v>
      </c>
      <c r="I298">
        <v>48577</v>
      </c>
      <c r="J298" t="s">
        <v>36</v>
      </c>
    </row>
    <row r="299" spans="1:10" x14ac:dyDescent="0.25">
      <c r="A299" t="s">
        <v>250</v>
      </c>
      <c r="B299" t="s">
        <v>42</v>
      </c>
      <c r="C299" t="s">
        <v>12</v>
      </c>
      <c r="D299" t="s">
        <v>24</v>
      </c>
      <c r="E299" t="s">
        <v>35</v>
      </c>
      <c r="F299" t="s">
        <v>26</v>
      </c>
      <c r="G299">
        <v>7</v>
      </c>
      <c r="H299">
        <v>26713</v>
      </c>
      <c r="I299">
        <v>186991</v>
      </c>
      <c r="J299" t="s">
        <v>20</v>
      </c>
    </row>
    <row r="300" spans="1:10" x14ac:dyDescent="0.25">
      <c r="A300" t="s">
        <v>251</v>
      </c>
      <c r="B300" t="s">
        <v>42</v>
      </c>
      <c r="C300" t="s">
        <v>23</v>
      </c>
      <c r="D300" t="s">
        <v>39</v>
      </c>
      <c r="E300" t="s">
        <v>25</v>
      </c>
      <c r="F300" t="s">
        <v>26</v>
      </c>
      <c r="G300">
        <v>19</v>
      </c>
      <c r="H300">
        <v>16391</v>
      </c>
      <c r="I300">
        <v>311429</v>
      </c>
      <c r="J300" t="s">
        <v>16</v>
      </c>
    </row>
    <row r="301" spans="1:10" x14ac:dyDescent="0.25">
      <c r="A301" t="s">
        <v>181</v>
      </c>
      <c r="B301" t="s">
        <v>42</v>
      </c>
      <c r="C301" t="s">
        <v>38</v>
      </c>
      <c r="D301" t="s">
        <v>44</v>
      </c>
      <c r="E301" t="s">
        <v>30</v>
      </c>
      <c r="F301" t="s">
        <v>40</v>
      </c>
      <c r="G301">
        <v>10</v>
      </c>
      <c r="H301">
        <v>52970</v>
      </c>
      <c r="I301">
        <v>529700</v>
      </c>
      <c r="J301" t="s">
        <v>20</v>
      </c>
    </row>
    <row r="302" spans="1:10" x14ac:dyDescent="0.25">
      <c r="A302" t="s">
        <v>252</v>
      </c>
      <c r="B302" t="s">
        <v>33</v>
      </c>
      <c r="C302" t="s">
        <v>29</v>
      </c>
      <c r="D302" t="s">
        <v>44</v>
      </c>
      <c r="E302" t="s">
        <v>19</v>
      </c>
      <c r="F302" t="s">
        <v>40</v>
      </c>
      <c r="G302">
        <v>11</v>
      </c>
      <c r="H302">
        <v>58268</v>
      </c>
      <c r="I302">
        <v>640948</v>
      </c>
      <c r="J302" t="s">
        <v>27</v>
      </c>
    </row>
    <row r="303" spans="1:10" x14ac:dyDescent="0.25">
      <c r="A303" t="s">
        <v>250</v>
      </c>
      <c r="B303" t="s">
        <v>22</v>
      </c>
      <c r="C303" t="s">
        <v>23</v>
      </c>
      <c r="D303" t="s">
        <v>24</v>
      </c>
      <c r="E303" t="s">
        <v>35</v>
      </c>
      <c r="F303" t="s">
        <v>15</v>
      </c>
      <c r="G303">
        <v>6</v>
      </c>
      <c r="H303">
        <v>28862</v>
      </c>
      <c r="I303">
        <v>173172</v>
      </c>
      <c r="J303" t="s">
        <v>36</v>
      </c>
    </row>
    <row r="304" spans="1:10" x14ac:dyDescent="0.25">
      <c r="A304" t="s">
        <v>124</v>
      </c>
      <c r="B304" t="s">
        <v>11</v>
      </c>
      <c r="C304" t="s">
        <v>23</v>
      </c>
      <c r="D304" t="s">
        <v>24</v>
      </c>
      <c r="E304" t="s">
        <v>35</v>
      </c>
      <c r="F304" t="s">
        <v>15</v>
      </c>
      <c r="G304">
        <v>15</v>
      </c>
      <c r="H304">
        <v>30918</v>
      </c>
      <c r="I304">
        <v>463770</v>
      </c>
      <c r="J304" t="s">
        <v>20</v>
      </c>
    </row>
    <row r="305" spans="1:10" x14ac:dyDescent="0.25">
      <c r="A305" t="s">
        <v>233</v>
      </c>
      <c r="B305" t="s">
        <v>11</v>
      </c>
      <c r="C305" t="s">
        <v>12</v>
      </c>
      <c r="D305" t="s">
        <v>48</v>
      </c>
      <c r="E305" t="s">
        <v>30</v>
      </c>
      <c r="F305" t="s">
        <v>40</v>
      </c>
      <c r="G305">
        <v>3</v>
      </c>
      <c r="H305">
        <v>28059</v>
      </c>
      <c r="I305">
        <v>84177</v>
      </c>
      <c r="J305" t="s">
        <v>16</v>
      </c>
    </row>
    <row r="306" spans="1:10" x14ac:dyDescent="0.25">
      <c r="A306" t="s">
        <v>253</v>
      </c>
      <c r="B306" t="s">
        <v>33</v>
      </c>
      <c r="C306" t="s">
        <v>38</v>
      </c>
      <c r="D306" t="s">
        <v>24</v>
      </c>
      <c r="E306" t="s">
        <v>30</v>
      </c>
      <c r="F306" t="s">
        <v>15</v>
      </c>
      <c r="G306">
        <v>18</v>
      </c>
      <c r="H306">
        <v>46527</v>
      </c>
      <c r="I306">
        <v>837486</v>
      </c>
      <c r="J306" t="s">
        <v>16</v>
      </c>
    </row>
    <row r="307" spans="1:10" x14ac:dyDescent="0.25">
      <c r="A307" t="s">
        <v>213</v>
      </c>
      <c r="B307" t="s">
        <v>11</v>
      </c>
      <c r="C307" t="s">
        <v>29</v>
      </c>
      <c r="D307" t="s">
        <v>13</v>
      </c>
      <c r="E307" t="s">
        <v>30</v>
      </c>
      <c r="F307" t="s">
        <v>15</v>
      </c>
      <c r="G307">
        <v>9</v>
      </c>
      <c r="H307">
        <v>58261</v>
      </c>
      <c r="I307">
        <v>524349</v>
      </c>
      <c r="J307" t="s">
        <v>20</v>
      </c>
    </row>
    <row r="308" spans="1:10" x14ac:dyDescent="0.25">
      <c r="A308" t="s">
        <v>246</v>
      </c>
      <c r="B308" t="s">
        <v>42</v>
      </c>
      <c r="C308" t="s">
        <v>38</v>
      </c>
      <c r="D308" t="s">
        <v>44</v>
      </c>
      <c r="E308" t="s">
        <v>14</v>
      </c>
      <c r="F308" t="s">
        <v>26</v>
      </c>
      <c r="G308">
        <v>1</v>
      </c>
      <c r="H308">
        <v>49036</v>
      </c>
      <c r="I308">
        <v>49036</v>
      </c>
      <c r="J308" t="s">
        <v>36</v>
      </c>
    </row>
    <row r="309" spans="1:10" x14ac:dyDescent="0.25">
      <c r="A309" t="s">
        <v>254</v>
      </c>
      <c r="B309" t="s">
        <v>33</v>
      </c>
      <c r="C309" t="s">
        <v>29</v>
      </c>
      <c r="D309" t="s">
        <v>48</v>
      </c>
      <c r="E309" t="s">
        <v>35</v>
      </c>
      <c r="F309" t="s">
        <v>26</v>
      </c>
      <c r="G309">
        <v>13</v>
      </c>
      <c r="H309">
        <v>17625</v>
      </c>
      <c r="I309">
        <v>229125</v>
      </c>
      <c r="J309" t="s">
        <v>16</v>
      </c>
    </row>
    <row r="310" spans="1:10" x14ac:dyDescent="0.25">
      <c r="A310" t="s">
        <v>109</v>
      </c>
      <c r="B310" t="s">
        <v>18</v>
      </c>
      <c r="C310" t="s">
        <v>12</v>
      </c>
      <c r="D310" t="s">
        <v>48</v>
      </c>
      <c r="E310" t="s">
        <v>25</v>
      </c>
      <c r="F310" t="s">
        <v>15</v>
      </c>
      <c r="G310">
        <v>13</v>
      </c>
      <c r="H310">
        <v>17796</v>
      </c>
      <c r="I310">
        <v>231348</v>
      </c>
      <c r="J310" t="s">
        <v>27</v>
      </c>
    </row>
    <row r="311" spans="1:10" x14ac:dyDescent="0.25">
      <c r="A311" t="s">
        <v>142</v>
      </c>
      <c r="B311" t="s">
        <v>11</v>
      </c>
      <c r="C311" t="s">
        <v>12</v>
      </c>
      <c r="D311" t="s">
        <v>39</v>
      </c>
      <c r="E311" t="s">
        <v>14</v>
      </c>
      <c r="F311" t="s">
        <v>15</v>
      </c>
      <c r="G311">
        <v>16</v>
      </c>
      <c r="H311">
        <v>46519</v>
      </c>
      <c r="I311">
        <v>744304</v>
      </c>
      <c r="J311" t="s">
        <v>36</v>
      </c>
    </row>
    <row r="312" spans="1:10" x14ac:dyDescent="0.25">
      <c r="A312" t="s">
        <v>226</v>
      </c>
      <c r="B312" t="s">
        <v>11</v>
      </c>
      <c r="C312" t="s">
        <v>29</v>
      </c>
      <c r="D312" t="s">
        <v>39</v>
      </c>
      <c r="E312" t="s">
        <v>30</v>
      </c>
      <c r="F312" t="s">
        <v>15</v>
      </c>
      <c r="G312">
        <v>1</v>
      </c>
      <c r="H312">
        <v>16573</v>
      </c>
      <c r="I312">
        <v>16573</v>
      </c>
      <c r="J312" t="s">
        <v>36</v>
      </c>
    </row>
    <row r="313" spans="1:10" x14ac:dyDescent="0.25">
      <c r="A313" t="s">
        <v>255</v>
      </c>
      <c r="B313" t="s">
        <v>18</v>
      </c>
      <c r="C313" t="s">
        <v>38</v>
      </c>
      <c r="D313" t="s">
        <v>13</v>
      </c>
      <c r="E313" t="s">
        <v>19</v>
      </c>
      <c r="F313" t="s">
        <v>15</v>
      </c>
      <c r="G313">
        <v>13</v>
      </c>
      <c r="H313">
        <v>36251</v>
      </c>
      <c r="I313">
        <v>471263</v>
      </c>
      <c r="J313" t="s">
        <v>20</v>
      </c>
    </row>
    <row r="314" spans="1:10" x14ac:dyDescent="0.25">
      <c r="A314" t="s">
        <v>202</v>
      </c>
      <c r="B314" t="s">
        <v>33</v>
      </c>
      <c r="C314" t="s">
        <v>23</v>
      </c>
      <c r="D314" t="s">
        <v>24</v>
      </c>
      <c r="E314" t="s">
        <v>30</v>
      </c>
      <c r="F314" t="s">
        <v>26</v>
      </c>
      <c r="G314">
        <v>2</v>
      </c>
      <c r="H314">
        <v>55068</v>
      </c>
      <c r="I314">
        <v>110136</v>
      </c>
      <c r="J314" t="s">
        <v>16</v>
      </c>
    </row>
    <row r="315" spans="1:10" x14ac:dyDescent="0.25">
      <c r="A315" t="s">
        <v>67</v>
      </c>
      <c r="B315" t="s">
        <v>42</v>
      </c>
      <c r="C315" t="s">
        <v>38</v>
      </c>
      <c r="D315" t="s">
        <v>44</v>
      </c>
      <c r="E315" t="s">
        <v>35</v>
      </c>
      <c r="F315" t="s">
        <v>26</v>
      </c>
      <c r="G315">
        <v>13</v>
      </c>
      <c r="H315">
        <v>46187</v>
      </c>
      <c r="I315">
        <v>600431</v>
      </c>
      <c r="J315" t="s">
        <v>27</v>
      </c>
    </row>
    <row r="316" spans="1:10" x14ac:dyDescent="0.25">
      <c r="A316" t="s">
        <v>205</v>
      </c>
      <c r="B316" t="s">
        <v>22</v>
      </c>
      <c r="C316" t="s">
        <v>34</v>
      </c>
      <c r="D316" t="s">
        <v>39</v>
      </c>
      <c r="E316" t="s">
        <v>35</v>
      </c>
      <c r="F316" t="s">
        <v>40</v>
      </c>
      <c r="G316">
        <v>19</v>
      </c>
      <c r="H316">
        <v>25779</v>
      </c>
      <c r="I316">
        <v>489801</v>
      </c>
      <c r="J316" t="s">
        <v>16</v>
      </c>
    </row>
    <row r="317" spans="1:10" x14ac:dyDescent="0.25">
      <c r="A317" t="s">
        <v>136</v>
      </c>
      <c r="B317" t="s">
        <v>33</v>
      </c>
      <c r="C317" t="s">
        <v>29</v>
      </c>
      <c r="D317" t="s">
        <v>44</v>
      </c>
      <c r="E317" t="s">
        <v>30</v>
      </c>
      <c r="F317" t="s">
        <v>15</v>
      </c>
      <c r="G317">
        <v>14</v>
      </c>
      <c r="H317">
        <v>37387</v>
      </c>
      <c r="I317">
        <v>523418</v>
      </c>
      <c r="J317" t="s">
        <v>20</v>
      </c>
    </row>
    <row r="318" spans="1:10" x14ac:dyDescent="0.25">
      <c r="A318" t="s">
        <v>256</v>
      </c>
      <c r="B318" t="s">
        <v>22</v>
      </c>
      <c r="C318" t="s">
        <v>34</v>
      </c>
      <c r="D318" t="s">
        <v>44</v>
      </c>
      <c r="E318" t="s">
        <v>14</v>
      </c>
      <c r="F318" t="s">
        <v>15</v>
      </c>
      <c r="G318">
        <v>4</v>
      </c>
      <c r="H318">
        <v>41493</v>
      </c>
      <c r="I318">
        <v>165972</v>
      </c>
      <c r="J318" t="s">
        <v>20</v>
      </c>
    </row>
    <row r="319" spans="1:10" x14ac:dyDescent="0.25">
      <c r="A319" t="s">
        <v>110</v>
      </c>
      <c r="B319" t="s">
        <v>42</v>
      </c>
      <c r="C319" t="s">
        <v>12</v>
      </c>
      <c r="D319" t="s">
        <v>39</v>
      </c>
      <c r="E319" t="s">
        <v>25</v>
      </c>
      <c r="F319" t="s">
        <v>15</v>
      </c>
      <c r="G319">
        <v>14</v>
      </c>
      <c r="H319">
        <v>49376</v>
      </c>
      <c r="I319">
        <v>691264</v>
      </c>
      <c r="J319" t="s">
        <v>16</v>
      </c>
    </row>
    <row r="320" spans="1:10" x14ac:dyDescent="0.25">
      <c r="A320" t="s">
        <v>199</v>
      </c>
      <c r="B320" t="s">
        <v>42</v>
      </c>
      <c r="C320" t="s">
        <v>34</v>
      </c>
      <c r="D320" t="s">
        <v>44</v>
      </c>
      <c r="E320" t="s">
        <v>14</v>
      </c>
      <c r="F320" t="s">
        <v>40</v>
      </c>
      <c r="G320">
        <v>7</v>
      </c>
      <c r="H320">
        <v>25231</v>
      </c>
      <c r="I320">
        <v>176617</v>
      </c>
      <c r="J320" t="s">
        <v>20</v>
      </c>
    </row>
    <row r="321" spans="1:10" x14ac:dyDescent="0.25">
      <c r="A321" t="s">
        <v>86</v>
      </c>
      <c r="B321" t="s">
        <v>33</v>
      </c>
      <c r="C321" t="s">
        <v>34</v>
      </c>
      <c r="D321" t="s">
        <v>13</v>
      </c>
      <c r="E321" t="s">
        <v>35</v>
      </c>
      <c r="F321" t="s">
        <v>26</v>
      </c>
      <c r="G321">
        <v>16</v>
      </c>
      <c r="H321">
        <v>28484</v>
      </c>
      <c r="I321">
        <v>455744</v>
      </c>
      <c r="J321" t="s">
        <v>36</v>
      </c>
    </row>
    <row r="322" spans="1:10" x14ac:dyDescent="0.25">
      <c r="A322" t="s">
        <v>113</v>
      </c>
      <c r="B322" t="s">
        <v>11</v>
      </c>
      <c r="C322" t="s">
        <v>34</v>
      </c>
      <c r="D322" t="s">
        <v>48</v>
      </c>
      <c r="E322" t="s">
        <v>25</v>
      </c>
      <c r="F322" t="s">
        <v>15</v>
      </c>
      <c r="G322">
        <v>2</v>
      </c>
      <c r="H322">
        <v>32319</v>
      </c>
      <c r="I322">
        <v>64638</v>
      </c>
      <c r="J322" t="s">
        <v>20</v>
      </c>
    </row>
    <row r="323" spans="1:10" x14ac:dyDescent="0.25">
      <c r="A323" t="s">
        <v>223</v>
      </c>
      <c r="B323" t="s">
        <v>42</v>
      </c>
      <c r="C323" t="s">
        <v>12</v>
      </c>
      <c r="D323" t="s">
        <v>39</v>
      </c>
      <c r="E323" t="s">
        <v>14</v>
      </c>
      <c r="F323" t="s">
        <v>26</v>
      </c>
      <c r="G323">
        <v>9</v>
      </c>
      <c r="H323">
        <v>38262</v>
      </c>
      <c r="I323">
        <v>344358</v>
      </c>
      <c r="J323" t="s">
        <v>36</v>
      </c>
    </row>
    <row r="324" spans="1:10" x14ac:dyDescent="0.25">
      <c r="A324" t="s">
        <v>116</v>
      </c>
      <c r="B324" t="s">
        <v>11</v>
      </c>
      <c r="C324" t="s">
        <v>34</v>
      </c>
      <c r="D324" t="s">
        <v>48</v>
      </c>
      <c r="E324" t="s">
        <v>19</v>
      </c>
      <c r="F324" t="s">
        <v>26</v>
      </c>
      <c r="G324">
        <v>5</v>
      </c>
      <c r="H324">
        <v>17181</v>
      </c>
      <c r="I324">
        <v>85905</v>
      </c>
      <c r="J324" t="s">
        <v>20</v>
      </c>
    </row>
    <row r="325" spans="1:10" x14ac:dyDescent="0.25">
      <c r="A325" t="s">
        <v>257</v>
      </c>
      <c r="B325" t="s">
        <v>22</v>
      </c>
      <c r="C325" t="s">
        <v>29</v>
      </c>
      <c r="D325" t="s">
        <v>44</v>
      </c>
      <c r="E325" t="s">
        <v>25</v>
      </c>
      <c r="F325" t="s">
        <v>15</v>
      </c>
      <c r="G325">
        <v>10</v>
      </c>
      <c r="H325">
        <v>20371</v>
      </c>
      <c r="I325">
        <v>203710</v>
      </c>
      <c r="J325" t="s">
        <v>16</v>
      </c>
    </row>
    <row r="326" spans="1:10" x14ac:dyDescent="0.25">
      <c r="A326" t="s">
        <v>258</v>
      </c>
      <c r="B326" t="s">
        <v>18</v>
      </c>
      <c r="C326" t="s">
        <v>29</v>
      </c>
      <c r="D326" t="s">
        <v>48</v>
      </c>
      <c r="E326" t="s">
        <v>14</v>
      </c>
      <c r="F326" t="s">
        <v>40</v>
      </c>
      <c r="G326">
        <v>11</v>
      </c>
      <c r="H326">
        <v>49835</v>
      </c>
      <c r="I326">
        <v>548185</v>
      </c>
      <c r="J326" t="s">
        <v>36</v>
      </c>
    </row>
    <row r="327" spans="1:10" x14ac:dyDescent="0.25">
      <c r="A327" t="s">
        <v>148</v>
      </c>
      <c r="B327" t="s">
        <v>42</v>
      </c>
      <c r="C327" t="s">
        <v>23</v>
      </c>
      <c r="D327" t="s">
        <v>48</v>
      </c>
      <c r="E327" t="s">
        <v>19</v>
      </c>
      <c r="F327" t="s">
        <v>40</v>
      </c>
      <c r="G327">
        <v>17</v>
      </c>
      <c r="H327">
        <v>32653</v>
      </c>
      <c r="I327">
        <v>555101</v>
      </c>
      <c r="J327" t="s">
        <v>36</v>
      </c>
    </row>
    <row r="328" spans="1:10" x14ac:dyDescent="0.25">
      <c r="A328" t="s">
        <v>216</v>
      </c>
      <c r="B328" t="s">
        <v>22</v>
      </c>
      <c r="C328" t="s">
        <v>23</v>
      </c>
      <c r="D328" t="s">
        <v>13</v>
      </c>
      <c r="E328" t="s">
        <v>25</v>
      </c>
      <c r="F328" t="s">
        <v>40</v>
      </c>
      <c r="G328">
        <v>19</v>
      </c>
      <c r="H328">
        <v>55668</v>
      </c>
      <c r="I328">
        <v>1057692</v>
      </c>
      <c r="J328" t="s">
        <v>20</v>
      </c>
    </row>
    <row r="329" spans="1:10" x14ac:dyDescent="0.25">
      <c r="A329" t="s">
        <v>259</v>
      </c>
      <c r="B329" t="s">
        <v>33</v>
      </c>
      <c r="C329" t="s">
        <v>38</v>
      </c>
      <c r="D329" t="s">
        <v>48</v>
      </c>
      <c r="E329" t="s">
        <v>30</v>
      </c>
      <c r="F329" t="s">
        <v>15</v>
      </c>
      <c r="G329">
        <v>10</v>
      </c>
      <c r="H329">
        <v>15543</v>
      </c>
      <c r="I329">
        <v>155430</v>
      </c>
      <c r="J329" t="s">
        <v>36</v>
      </c>
    </row>
    <row r="330" spans="1:10" x14ac:dyDescent="0.25">
      <c r="A330" t="s">
        <v>260</v>
      </c>
      <c r="B330" t="s">
        <v>18</v>
      </c>
      <c r="C330" t="s">
        <v>34</v>
      </c>
      <c r="D330" t="s">
        <v>24</v>
      </c>
      <c r="E330" t="s">
        <v>30</v>
      </c>
      <c r="F330" t="s">
        <v>26</v>
      </c>
      <c r="G330">
        <v>18</v>
      </c>
      <c r="H330">
        <v>38970</v>
      </c>
      <c r="I330">
        <v>701460</v>
      </c>
      <c r="J330" t="s">
        <v>20</v>
      </c>
    </row>
    <row r="331" spans="1:10" x14ac:dyDescent="0.25">
      <c r="A331" t="s">
        <v>261</v>
      </c>
      <c r="B331" t="s">
        <v>33</v>
      </c>
      <c r="C331" t="s">
        <v>34</v>
      </c>
      <c r="D331" t="s">
        <v>48</v>
      </c>
      <c r="E331" t="s">
        <v>14</v>
      </c>
      <c r="F331" t="s">
        <v>26</v>
      </c>
      <c r="G331">
        <v>17</v>
      </c>
      <c r="H331">
        <v>51831</v>
      </c>
      <c r="I331">
        <v>881127</v>
      </c>
      <c r="J331" t="s">
        <v>20</v>
      </c>
    </row>
    <row r="332" spans="1:10" x14ac:dyDescent="0.25">
      <c r="A332" t="s">
        <v>262</v>
      </c>
      <c r="B332" t="s">
        <v>42</v>
      </c>
      <c r="C332" t="s">
        <v>12</v>
      </c>
      <c r="D332" t="s">
        <v>24</v>
      </c>
      <c r="E332" t="s">
        <v>14</v>
      </c>
      <c r="F332" t="s">
        <v>26</v>
      </c>
      <c r="G332">
        <v>20</v>
      </c>
      <c r="H332">
        <v>31783</v>
      </c>
      <c r="I332">
        <v>635660</v>
      </c>
      <c r="J332" t="s">
        <v>36</v>
      </c>
    </row>
    <row r="333" spans="1:10" x14ac:dyDescent="0.25">
      <c r="A333" t="s">
        <v>263</v>
      </c>
      <c r="B333" t="s">
        <v>42</v>
      </c>
      <c r="C333" t="s">
        <v>38</v>
      </c>
      <c r="D333" t="s">
        <v>39</v>
      </c>
      <c r="E333" t="s">
        <v>25</v>
      </c>
      <c r="F333" t="s">
        <v>26</v>
      </c>
      <c r="G333">
        <v>1</v>
      </c>
      <c r="H333">
        <v>53480</v>
      </c>
      <c r="I333">
        <v>53480</v>
      </c>
      <c r="J333" t="s">
        <v>27</v>
      </c>
    </row>
    <row r="334" spans="1:10" x14ac:dyDescent="0.25">
      <c r="A334" t="s">
        <v>129</v>
      </c>
      <c r="B334" t="s">
        <v>18</v>
      </c>
      <c r="C334" t="s">
        <v>38</v>
      </c>
      <c r="D334" t="s">
        <v>44</v>
      </c>
      <c r="E334" t="s">
        <v>30</v>
      </c>
      <c r="F334" t="s">
        <v>40</v>
      </c>
      <c r="G334">
        <v>2</v>
      </c>
      <c r="H334">
        <v>33850</v>
      </c>
      <c r="I334">
        <v>67700</v>
      </c>
      <c r="J334" t="s">
        <v>36</v>
      </c>
    </row>
    <row r="335" spans="1:10" x14ac:dyDescent="0.25">
      <c r="A335" t="s">
        <v>69</v>
      </c>
      <c r="B335" t="s">
        <v>18</v>
      </c>
      <c r="C335" t="s">
        <v>29</v>
      </c>
      <c r="D335" t="s">
        <v>13</v>
      </c>
      <c r="E335" t="s">
        <v>30</v>
      </c>
      <c r="F335" t="s">
        <v>26</v>
      </c>
      <c r="G335">
        <v>13</v>
      </c>
      <c r="H335">
        <v>22202</v>
      </c>
      <c r="I335">
        <v>288626</v>
      </c>
      <c r="J335" t="s">
        <v>16</v>
      </c>
    </row>
    <row r="336" spans="1:10" x14ac:dyDescent="0.25">
      <c r="A336" t="s">
        <v>264</v>
      </c>
      <c r="B336" t="s">
        <v>42</v>
      </c>
      <c r="C336" t="s">
        <v>23</v>
      </c>
      <c r="D336" t="s">
        <v>48</v>
      </c>
      <c r="E336" t="s">
        <v>25</v>
      </c>
      <c r="F336" t="s">
        <v>26</v>
      </c>
      <c r="G336">
        <v>18</v>
      </c>
      <c r="H336">
        <v>27649</v>
      </c>
      <c r="I336">
        <v>497682</v>
      </c>
      <c r="J336" t="s">
        <v>36</v>
      </c>
    </row>
    <row r="337" spans="1:10" x14ac:dyDescent="0.25">
      <c r="A337" t="s">
        <v>111</v>
      </c>
      <c r="B337" t="s">
        <v>42</v>
      </c>
      <c r="C337" t="s">
        <v>29</v>
      </c>
      <c r="D337" t="s">
        <v>13</v>
      </c>
      <c r="E337" t="s">
        <v>14</v>
      </c>
      <c r="F337" t="s">
        <v>15</v>
      </c>
      <c r="G337">
        <v>6</v>
      </c>
      <c r="H337">
        <v>44995</v>
      </c>
      <c r="I337">
        <v>269970</v>
      </c>
      <c r="J337" t="s">
        <v>36</v>
      </c>
    </row>
    <row r="338" spans="1:10" x14ac:dyDescent="0.25">
      <c r="A338" t="s">
        <v>82</v>
      </c>
      <c r="B338" t="s">
        <v>33</v>
      </c>
      <c r="C338" t="s">
        <v>38</v>
      </c>
      <c r="D338" t="s">
        <v>44</v>
      </c>
      <c r="E338" t="s">
        <v>30</v>
      </c>
      <c r="F338" t="s">
        <v>26</v>
      </c>
      <c r="G338">
        <v>6</v>
      </c>
      <c r="H338">
        <v>18377</v>
      </c>
      <c r="I338">
        <v>110262</v>
      </c>
      <c r="J338" t="s">
        <v>27</v>
      </c>
    </row>
    <row r="339" spans="1:10" x14ac:dyDescent="0.25">
      <c r="A339" t="s">
        <v>165</v>
      </c>
      <c r="B339" t="s">
        <v>33</v>
      </c>
      <c r="C339" t="s">
        <v>34</v>
      </c>
      <c r="D339" t="s">
        <v>48</v>
      </c>
      <c r="E339" t="s">
        <v>14</v>
      </c>
      <c r="F339" t="s">
        <v>15</v>
      </c>
      <c r="G339">
        <v>15</v>
      </c>
      <c r="H339">
        <v>42440</v>
      </c>
      <c r="I339">
        <v>636600</v>
      </c>
      <c r="J339" t="s">
        <v>20</v>
      </c>
    </row>
    <row r="340" spans="1:10" x14ac:dyDescent="0.25">
      <c r="A340" t="s">
        <v>83</v>
      </c>
      <c r="B340" t="s">
        <v>18</v>
      </c>
      <c r="C340" t="s">
        <v>12</v>
      </c>
      <c r="D340" t="s">
        <v>39</v>
      </c>
      <c r="E340" t="s">
        <v>25</v>
      </c>
      <c r="F340" t="s">
        <v>40</v>
      </c>
      <c r="G340">
        <v>17</v>
      </c>
      <c r="H340">
        <v>31099</v>
      </c>
      <c r="I340">
        <v>528683</v>
      </c>
      <c r="J340" t="s">
        <v>16</v>
      </c>
    </row>
    <row r="341" spans="1:10" x14ac:dyDescent="0.25">
      <c r="A341" t="s">
        <v>179</v>
      </c>
      <c r="B341" t="s">
        <v>33</v>
      </c>
      <c r="C341" t="s">
        <v>34</v>
      </c>
      <c r="D341" t="s">
        <v>24</v>
      </c>
      <c r="E341" t="s">
        <v>14</v>
      </c>
      <c r="F341" t="s">
        <v>26</v>
      </c>
      <c r="G341">
        <v>15</v>
      </c>
      <c r="H341">
        <v>51858</v>
      </c>
      <c r="I341">
        <v>777870</v>
      </c>
      <c r="J341" t="s">
        <v>16</v>
      </c>
    </row>
    <row r="342" spans="1:10" x14ac:dyDescent="0.25">
      <c r="A342" t="s">
        <v>162</v>
      </c>
      <c r="B342" t="s">
        <v>11</v>
      </c>
      <c r="C342" t="s">
        <v>29</v>
      </c>
      <c r="D342" t="s">
        <v>39</v>
      </c>
      <c r="E342" t="s">
        <v>14</v>
      </c>
      <c r="F342" t="s">
        <v>15</v>
      </c>
      <c r="G342">
        <v>15</v>
      </c>
      <c r="H342">
        <v>56005</v>
      </c>
      <c r="I342">
        <v>840075</v>
      </c>
      <c r="J342" t="s">
        <v>16</v>
      </c>
    </row>
    <row r="343" spans="1:10" x14ac:dyDescent="0.25">
      <c r="A343" t="s">
        <v>265</v>
      </c>
      <c r="B343" t="s">
        <v>18</v>
      </c>
      <c r="C343" t="s">
        <v>29</v>
      </c>
      <c r="D343" t="s">
        <v>48</v>
      </c>
      <c r="E343" t="s">
        <v>35</v>
      </c>
      <c r="F343" t="s">
        <v>40</v>
      </c>
      <c r="G343">
        <v>7</v>
      </c>
      <c r="H343">
        <v>42409</v>
      </c>
      <c r="I343">
        <v>296863</v>
      </c>
      <c r="J343" t="s">
        <v>36</v>
      </c>
    </row>
    <row r="344" spans="1:10" x14ac:dyDescent="0.25">
      <c r="A344" t="s">
        <v>56</v>
      </c>
      <c r="B344" t="s">
        <v>42</v>
      </c>
      <c r="C344" t="s">
        <v>38</v>
      </c>
      <c r="D344" t="s">
        <v>48</v>
      </c>
      <c r="E344" t="s">
        <v>14</v>
      </c>
      <c r="F344" t="s">
        <v>40</v>
      </c>
      <c r="G344">
        <v>2</v>
      </c>
      <c r="H344">
        <v>33363</v>
      </c>
      <c r="I344">
        <v>66726</v>
      </c>
      <c r="J344" t="s">
        <v>16</v>
      </c>
    </row>
    <row r="345" spans="1:10" x14ac:dyDescent="0.25">
      <c r="A345" t="s">
        <v>266</v>
      </c>
      <c r="B345" t="s">
        <v>42</v>
      </c>
      <c r="C345" t="s">
        <v>29</v>
      </c>
      <c r="D345" t="s">
        <v>39</v>
      </c>
      <c r="E345" t="s">
        <v>19</v>
      </c>
      <c r="F345" t="s">
        <v>26</v>
      </c>
      <c r="G345">
        <v>15</v>
      </c>
      <c r="H345">
        <v>57161</v>
      </c>
      <c r="I345">
        <v>857415</v>
      </c>
      <c r="J345" t="s">
        <v>16</v>
      </c>
    </row>
    <row r="346" spans="1:10" x14ac:dyDescent="0.25">
      <c r="A346" t="s">
        <v>61</v>
      </c>
      <c r="B346" t="s">
        <v>22</v>
      </c>
      <c r="C346" t="s">
        <v>38</v>
      </c>
      <c r="D346" t="s">
        <v>44</v>
      </c>
      <c r="E346" t="s">
        <v>19</v>
      </c>
      <c r="F346" t="s">
        <v>26</v>
      </c>
      <c r="G346">
        <v>7</v>
      </c>
      <c r="H346">
        <v>22533</v>
      </c>
      <c r="I346">
        <v>157731</v>
      </c>
      <c r="J346" t="s">
        <v>27</v>
      </c>
    </row>
    <row r="347" spans="1:10" x14ac:dyDescent="0.25">
      <c r="A347" t="s">
        <v>267</v>
      </c>
      <c r="B347" t="s">
        <v>42</v>
      </c>
      <c r="C347" t="s">
        <v>38</v>
      </c>
      <c r="D347" t="s">
        <v>24</v>
      </c>
      <c r="E347" t="s">
        <v>25</v>
      </c>
      <c r="F347" t="s">
        <v>40</v>
      </c>
      <c r="G347">
        <v>3</v>
      </c>
      <c r="H347">
        <v>30099</v>
      </c>
      <c r="I347">
        <v>90297</v>
      </c>
      <c r="J347" t="s">
        <v>27</v>
      </c>
    </row>
    <row r="348" spans="1:10" x14ac:dyDescent="0.25">
      <c r="A348" t="s">
        <v>216</v>
      </c>
      <c r="B348" t="s">
        <v>18</v>
      </c>
      <c r="C348" t="s">
        <v>34</v>
      </c>
      <c r="D348" t="s">
        <v>39</v>
      </c>
      <c r="E348" t="s">
        <v>14</v>
      </c>
      <c r="F348" t="s">
        <v>26</v>
      </c>
      <c r="G348">
        <v>12</v>
      </c>
      <c r="H348">
        <v>22795</v>
      </c>
      <c r="I348">
        <v>273540</v>
      </c>
      <c r="J348" t="s">
        <v>20</v>
      </c>
    </row>
    <row r="349" spans="1:10" x14ac:dyDescent="0.25">
      <c r="A349" t="s">
        <v>224</v>
      </c>
      <c r="B349" t="s">
        <v>22</v>
      </c>
      <c r="C349" t="s">
        <v>38</v>
      </c>
      <c r="D349" t="s">
        <v>44</v>
      </c>
      <c r="E349" t="s">
        <v>25</v>
      </c>
      <c r="F349" t="s">
        <v>26</v>
      </c>
      <c r="G349">
        <v>6</v>
      </c>
      <c r="H349">
        <v>33422</v>
      </c>
      <c r="I349">
        <v>200532</v>
      </c>
      <c r="J349" t="s">
        <v>27</v>
      </c>
    </row>
    <row r="350" spans="1:10" x14ac:dyDescent="0.25">
      <c r="A350" t="s">
        <v>268</v>
      </c>
      <c r="B350" t="s">
        <v>22</v>
      </c>
      <c r="C350" t="s">
        <v>38</v>
      </c>
      <c r="D350" t="s">
        <v>48</v>
      </c>
      <c r="E350" t="s">
        <v>30</v>
      </c>
      <c r="F350" t="s">
        <v>15</v>
      </c>
      <c r="G350">
        <v>4</v>
      </c>
      <c r="H350">
        <v>29516</v>
      </c>
      <c r="I350">
        <v>118064</v>
      </c>
      <c r="J350" t="s">
        <v>36</v>
      </c>
    </row>
    <row r="351" spans="1:10" x14ac:dyDescent="0.25">
      <c r="A351" t="s">
        <v>59</v>
      </c>
      <c r="B351" t="s">
        <v>42</v>
      </c>
      <c r="C351" t="s">
        <v>23</v>
      </c>
      <c r="D351" t="s">
        <v>48</v>
      </c>
      <c r="E351" t="s">
        <v>14</v>
      </c>
      <c r="F351" t="s">
        <v>40</v>
      </c>
      <c r="G351">
        <v>3</v>
      </c>
      <c r="H351">
        <v>44344</v>
      </c>
      <c r="I351">
        <v>133032</v>
      </c>
      <c r="J351" t="s">
        <v>20</v>
      </c>
    </row>
    <row r="352" spans="1:10" x14ac:dyDescent="0.25">
      <c r="A352" t="s">
        <v>250</v>
      </c>
      <c r="B352" t="s">
        <v>22</v>
      </c>
      <c r="C352" t="s">
        <v>12</v>
      </c>
      <c r="D352" t="s">
        <v>24</v>
      </c>
      <c r="E352" t="s">
        <v>35</v>
      </c>
      <c r="F352" t="s">
        <v>15</v>
      </c>
      <c r="G352">
        <v>3</v>
      </c>
      <c r="H352">
        <v>41325</v>
      </c>
      <c r="I352">
        <v>123975</v>
      </c>
      <c r="J352" t="s">
        <v>20</v>
      </c>
    </row>
    <row r="353" spans="1:10" x14ac:dyDescent="0.25">
      <c r="A353" t="s">
        <v>269</v>
      </c>
      <c r="B353" t="s">
        <v>33</v>
      </c>
      <c r="C353" t="s">
        <v>12</v>
      </c>
      <c r="D353" t="s">
        <v>44</v>
      </c>
      <c r="E353" t="s">
        <v>35</v>
      </c>
      <c r="F353" t="s">
        <v>15</v>
      </c>
      <c r="G353">
        <v>4</v>
      </c>
      <c r="H353">
        <v>50334</v>
      </c>
      <c r="I353">
        <v>201336</v>
      </c>
      <c r="J353" t="s">
        <v>16</v>
      </c>
    </row>
    <row r="354" spans="1:10" x14ac:dyDescent="0.25">
      <c r="A354" t="s">
        <v>106</v>
      </c>
      <c r="B354" t="s">
        <v>18</v>
      </c>
      <c r="C354" t="s">
        <v>34</v>
      </c>
      <c r="D354" t="s">
        <v>48</v>
      </c>
      <c r="E354" t="s">
        <v>35</v>
      </c>
      <c r="F354" t="s">
        <v>26</v>
      </c>
      <c r="G354">
        <v>13</v>
      </c>
      <c r="H354">
        <v>22261</v>
      </c>
      <c r="I354">
        <v>289393</v>
      </c>
      <c r="J354" t="s">
        <v>27</v>
      </c>
    </row>
    <row r="355" spans="1:10" x14ac:dyDescent="0.25">
      <c r="A355" t="s">
        <v>270</v>
      </c>
      <c r="B355" t="s">
        <v>22</v>
      </c>
      <c r="C355" t="s">
        <v>29</v>
      </c>
      <c r="D355" t="s">
        <v>13</v>
      </c>
      <c r="E355" t="s">
        <v>25</v>
      </c>
      <c r="F355" t="s">
        <v>40</v>
      </c>
      <c r="G355">
        <v>18</v>
      </c>
      <c r="H355">
        <v>33039</v>
      </c>
      <c r="I355">
        <v>594702</v>
      </c>
      <c r="J355" t="s">
        <v>27</v>
      </c>
    </row>
    <row r="356" spans="1:10" x14ac:dyDescent="0.25">
      <c r="A356" t="s">
        <v>271</v>
      </c>
      <c r="B356" t="s">
        <v>22</v>
      </c>
      <c r="C356" t="s">
        <v>38</v>
      </c>
      <c r="D356" t="s">
        <v>24</v>
      </c>
      <c r="E356" t="s">
        <v>19</v>
      </c>
      <c r="F356" t="s">
        <v>26</v>
      </c>
      <c r="G356">
        <v>3</v>
      </c>
      <c r="H356">
        <v>16185</v>
      </c>
      <c r="I356">
        <v>48555</v>
      </c>
      <c r="J356" t="s">
        <v>36</v>
      </c>
    </row>
    <row r="357" spans="1:10" x14ac:dyDescent="0.25">
      <c r="A357" t="s">
        <v>260</v>
      </c>
      <c r="B357" t="s">
        <v>33</v>
      </c>
      <c r="C357" t="s">
        <v>12</v>
      </c>
      <c r="D357" t="s">
        <v>44</v>
      </c>
      <c r="E357" t="s">
        <v>14</v>
      </c>
      <c r="F357" t="s">
        <v>26</v>
      </c>
      <c r="G357">
        <v>14</v>
      </c>
      <c r="H357">
        <v>18977</v>
      </c>
      <c r="I357">
        <v>265678</v>
      </c>
      <c r="J357" t="s">
        <v>20</v>
      </c>
    </row>
    <row r="358" spans="1:10" x14ac:dyDescent="0.25">
      <c r="A358" t="s">
        <v>272</v>
      </c>
      <c r="B358" t="s">
        <v>42</v>
      </c>
      <c r="C358" t="s">
        <v>38</v>
      </c>
      <c r="D358" t="s">
        <v>13</v>
      </c>
      <c r="E358" t="s">
        <v>25</v>
      </c>
      <c r="F358" t="s">
        <v>26</v>
      </c>
      <c r="G358">
        <v>1</v>
      </c>
      <c r="H358">
        <v>21628</v>
      </c>
      <c r="I358">
        <v>21628</v>
      </c>
      <c r="J358" t="s">
        <v>36</v>
      </c>
    </row>
    <row r="359" spans="1:10" x14ac:dyDescent="0.25">
      <c r="A359" t="s">
        <v>273</v>
      </c>
      <c r="B359" t="s">
        <v>18</v>
      </c>
      <c r="C359" t="s">
        <v>12</v>
      </c>
      <c r="D359" t="s">
        <v>44</v>
      </c>
      <c r="E359" t="s">
        <v>30</v>
      </c>
      <c r="F359" t="s">
        <v>15</v>
      </c>
      <c r="G359">
        <v>13</v>
      </c>
      <c r="H359">
        <v>23184</v>
      </c>
      <c r="I359">
        <v>301392</v>
      </c>
      <c r="J359" t="s">
        <v>36</v>
      </c>
    </row>
    <row r="360" spans="1:10" x14ac:dyDescent="0.25">
      <c r="A360" t="s">
        <v>157</v>
      </c>
      <c r="B360" t="s">
        <v>18</v>
      </c>
      <c r="C360" t="s">
        <v>34</v>
      </c>
      <c r="D360" t="s">
        <v>39</v>
      </c>
      <c r="E360" t="s">
        <v>25</v>
      </c>
      <c r="F360" t="s">
        <v>15</v>
      </c>
      <c r="G360">
        <v>7</v>
      </c>
      <c r="H360">
        <v>46473</v>
      </c>
      <c r="I360">
        <v>325311</v>
      </c>
      <c r="J360" t="s">
        <v>20</v>
      </c>
    </row>
    <row r="361" spans="1:10" x14ac:dyDescent="0.25">
      <c r="A361" t="s">
        <v>274</v>
      </c>
      <c r="B361" t="s">
        <v>22</v>
      </c>
      <c r="C361" t="s">
        <v>34</v>
      </c>
      <c r="D361" t="s">
        <v>44</v>
      </c>
      <c r="E361" t="s">
        <v>35</v>
      </c>
      <c r="F361" t="s">
        <v>40</v>
      </c>
      <c r="G361">
        <v>4</v>
      </c>
      <c r="H361">
        <v>40537</v>
      </c>
      <c r="I361">
        <v>162148</v>
      </c>
      <c r="J361" t="s">
        <v>27</v>
      </c>
    </row>
    <row r="362" spans="1:10" x14ac:dyDescent="0.25">
      <c r="A362" t="s">
        <v>275</v>
      </c>
      <c r="B362" t="s">
        <v>22</v>
      </c>
      <c r="C362" t="s">
        <v>34</v>
      </c>
      <c r="D362" t="s">
        <v>13</v>
      </c>
      <c r="E362" t="s">
        <v>35</v>
      </c>
      <c r="F362" t="s">
        <v>26</v>
      </c>
      <c r="G362">
        <v>11</v>
      </c>
      <c r="H362">
        <v>24481</v>
      </c>
      <c r="I362">
        <v>269291</v>
      </c>
      <c r="J362" t="s">
        <v>20</v>
      </c>
    </row>
    <row r="363" spans="1:10" x14ac:dyDescent="0.25">
      <c r="A363" t="s">
        <v>275</v>
      </c>
      <c r="B363" t="s">
        <v>33</v>
      </c>
      <c r="C363" t="s">
        <v>23</v>
      </c>
      <c r="D363" t="s">
        <v>44</v>
      </c>
      <c r="E363" t="s">
        <v>30</v>
      </c>
      <c r="F363" t="s">
        <v>15</v>
      </c>
      <c r="G363">
        <v>1</v>
      </c>
      <c r="H363">
        <v>34753</v>
      </c>
      <c r="I363">
        <v>34753</v>
      </c>
      <c r="J363" t="s">
        <v>27</v>
      </c>
    </row>
    <row r="364" spans="1:10" x14ac:dyDescent="0.25">
      <c r="A364" t="s">
        <v>276</v>
      </c>
      <c r="B364" t="s">
        <v>18</v>
      </c>
      <c r="C364" t="s">
        <v>29</v>
      </c>
      <c r="D364" t="s">
        <v>44</v>
      </c>
      <c r="E364" t="s">
        <v>30</v>
      </c>
      <c r="F364" t="s">
        <v>26</v>
      </c>
      <c r="G364">
        <v>16</v>
      </c>
      <c r="H364">
        <v>42547</v>
      </c>
      <c r="I364">
        <v>680752</v>
      </c>
      <c r="J364" t="s">
        <v>27</v>
      </c>
    </row>
    <row r="365" spans="1:10" x14ac:dyDescent="0.25">
      <c r="A365" t="s">
        <v>163</v>
      </c>
      <c r="B365" t="s">
        <v>11</v>
      </c>
      <c r="C365" t="s">
        <v>29</v>
      </c>
      <c r="D365" t="s">
        <v>24</v>
      </c>
      <c r="E365" t="s">
        <v>30</v>
      </c>
      <c r="F365" t="s">
        <v>26</v>
      </c>
      <c r="G365">
        <v>12</v>
      </c>
      <c r="H365">
        <v>29750</v>
      </c>
      <c r="I365">
        <v>357000</v>
      </c>
      <c r="J365" t="s">
        <v>27</v>
      </c>
    </row>
    <row r="366" spans="1:10" x14ac:dyDescent="0.25">
      <c r="A366" t="s">
        <v>103</v>
      </c>
      <c r="B366" t="s">
        <v>42</v>
      </c>
      <c r="C366" t="s">
        <v>34</v>
      </c>
      <c r="D366" t="s">
        <v>24</v>
      </c>
      <c r="E366" t="s">
        <v>30</v>
      </c>
      <c r="F366" t="s">
        <v>26</v>
      </c>
      <c r="G366">
        <v>15</v>
      </c>
      <c r="H366">
        <v>50401</v>
      </c>
      <c r="I366">
        <v>756015</v>
      </c>
      <c r="J366" t="s">
        <v>16</v>
      </c>
    </row>
    <row r="367" spans="1:10" x14ac:dyDescent="0.25">
      <c r="A367" t="s">
        <v>277</v>
      </c>
      <c r="B367" t="s">
        <v>22</v>
      </c>
      <c r="C367" t="s">
        <v>12</v>
      </c>
      <c r="D367" t="s">
        <v>13</v>
      </c>
      <c r="E367" t="s">
        <v>19</v>
      </c>
      <c r="F367" t="s">
        <v>26</v>
      </c>
      <c r="G367">
        <v>18</v>
      </c>
      <c r="H367">
        <v>51147</v>
      </c>
      <c r="I367">
        <v>920646</v>
      </c>
      <c r="J367" t="s">
        <v>36</v>
      </c>
    </row>
    <row r="368" spans="1:10" x14ac:dyDescent="0.25">
      <c r="A368" t="s">
        <v>64</v>
      </c>
      <c r="B368" t="s">
        <v>33</v>
      </c>
      <c r="C368" t="s">
        <v>34</v>
      </c>
      <c r="D368" t="s">
        <v>48</v>
      </c>
      <c r="E368" t="s">
        <v>19</v>
      </c>
      <c r="F368" t="s">
        <v>40</v>
      </c>
      <c r="G368">
        <v>14</v>
      </c>
      <c r="H368">
        <v>54276</v>
      </c>
      <c r="I368">
        <v>759864</v>
      </c>
      <c r="J368" t="s">
        <v>16</v>
      </c>
    </row>
    <row r="369" spans="1:10" x14ac:dyDescent="0.25">
      <c r="A369" t="s">
        <v>230</v>
      </c>
      <c r="B369" t="s">
        <v>22</v>
      </c>
      <c r="C369" t="s">
        <v>38</v>
      </c>
      <c r="D369" t="s">
        <v>48</v>
      </c>
      <c r="E369" t="s">
        <v>30</v>
      </c>
      <c r="F369" t="s">
        <v>15</v>
      </c>
      <c r="G369">
        <v>6</v>
      </c>
      <c r="H369">
        <v>36188</v>
      </c>
      <c r="I369">
        <v>217128</v>
      </c>
      <c r="J369" t="s">
        <v>27</v>
      </c>
    </row>
    <row r="370" spans="1:10" x14ac:dyDescent="0.25">
      <c r="A370" t="s">
        <v>75</v>
      </c>
      <c r="B370" t="s">
        <v>42</v>
      </c>
      <c r="C370" t="s">
        <v>38</v>
      </c>
      <c r="D370" t="s">
        <v>48</v>
      </c>
      <c r="E370" t="s">
        <v>35</v>
      </c>
      <c r="F370" t="s">
        <v>40</v>
      </c>
      <c r="G370">
        <v>16</v>
      </c>
      <c r="H370">
        <v>49238</v>
      </c>
      <c r="I370">
        <v>787808</v>
      </c>
      <c r="J370" t="s">
        <v>20</v>
      </c>
    </row>
    <row r="371" spans="1:10" x14ac:dyDescent="0.25">
      <c r="A371" t="s">
        <v>228</v>
      </c>
      <c r="B371" t="s">
        <v>33</v>
      </c>
      <c r="C371" t="s">
        <v>23</v>
      </c>
      <c r="D371" t="s">
        <v>13</v>
      </c>
      <c r="E371" t="s">
        <v>25</v>
      </c>
      <c r="F371" t="s">
        <v>26</v>
      </c>
      <c r="G371">
        <v>9</v>
      </c>
      <c r="H371">
        <v>43765</v>
      </c>
      <c r="I371">
        <v>393885</v>
      </c>
      <c r="J371" t="s">
        <v>16</v>
      </c>
    </row>
    <row r="372" spans="1:10" x14ac:dyDescent="0.25">
      <c r="A372" t="s">
        <v>169</v>
      </c>
      <c r="B372" t="s">
        <v>11</v>
      </c>
      <c r="C372" t="s">
        <v>38</v>
      </c>
      <c r="D372" t="s">
        <v>24</v>
      </c>
      <c r="E372" t="s">
        <v>14</v>
      </c>
      <c r="F372" t="s">
        <v>26</v>
      </c>
      <c r="G372">
        <v>18</v>
      </c>
      <c r="H372">
        <v>25029</v>
      </c>
      <c r="I372">
        <v>450522</v>
      </c>
      <c r="J372" t="s">
        <v>20</v>
      </c>
    </row>
    <row r="373" spans="1:10" x14ac:dyDescent="0.25">
      <c r="A373" t="s">
        <v>278</v>
      </c>
      <c r="B373" t="s">
        <v>42</v>
      </c>
      <c r="C373" t="s">
        <v>23</v>
      </c>
      <c r="D373" t="s">
        <v>48</v>
      </c>
      <c r="E373" t="s">
        <v>30</v>
      </c>
      <c r="F373" t="s">
        <v>40</v>
      </c>
      <c r="G373">
        <v>13</v>
      </c>
      <c r="H373">
        <v>32288</v>
      </c>
      <c r="I373">
        <v>419744</v>
      </c>
      <c r="J373" t="s">
        <v>36</v>
      </c>
    </row>
    <row r="374" spans="1:10" x14ac:dyDescent="0.25">
      <c r="A374" t="s">
        <v>279</v>
      </c>
      <c r="B374" t="s">
        <v>33</v>
      </c>
      <c r="C374" t="s">
        <v>12</v>
      </c>
      <c r="D374" t="s">
        <v>44</v>
      </c>
      <c r="E374" t="s">
        <v>25</v>
      </c>
      <c r="F374" t="s">
        <v>40</v>
      </c>
      <c r="G374">
        <v>3</v>
      </c>
      <c r="H374">
        <v>57307</v>
      </c>
      <c r="I374">
        <v>171921</v>
      </c>
      <c r="J374" t="s">
        <v>16</v>
      </c>
    </row>
    <row r="375" spans="1:10" x14ac:dyDescent="0.25">
      <c r="A375" t="s">
        <v>280</v>
      </c>
      <c r="B375" t="s">
        <v>42</v>
      </c>
      <c r="C375" t="s">
        <v>34</v>
      </c>
      <c r="D375" t="s">
        <v>48</v>
      </c>
      <c r="E375" t="s">
        <v>14</v>
      </c>
      <c r="F375" t="s">
        <v>40</v>
      </c>
      <c r="G375">
        <v>15</v>
      </c>
      <c r="H375">
        <v>55662</v>
      </c>
      <c r="I375">
        <v>834930</v>
      </c>
      <c r="J375" t="s">
        <v>27</v>
      </c>
    </row>
    <row r="376" spans="1:10" x14ac:dyDescent="0.25">
      <c r="A376" t="s">
        <v>225</v>
      </c>
      <c r="B376" t="s">
        <v>11</v>
      </c>
      <c r="C376" t="s">
        <v>34</v>
      </c>
      <c r="D376" t="s">
        <v>13</v>
      </c>
      <c r="E376" t="s">
        <v>14</v>
      </c>
      <c r="F376" t="s">
        <v>40</v>
      </c>
      <c r="G376">
        <v>10</v>
      </c>
      <c r="H376">
        <v>29366</v>
      </c>
      <c r="I376">
        <v>293660</v>
      </c>
      <c r="J376" t="s">
        <v>20</v>
      </c>
    </row>
    <row r="377" spans="1:10" x14ac:dyDescent="0.25">
      <c r="A377" t="s">
        <v>211</v>
      </c>
      <c r="B377" t="s">
        <v>33</v>
      </c>
      <c r="C377" t="s">
        <v>29</v>
      </c>
      <c r="D377" t="s">
        <v>13</v>
      </c>
      <c r="E377" t="s">
        <v>35</v>
      </c>
      <c r="F377" t="s">
        <v>15</v>
      </c>
      <c r="G377">
        <v>2</v>
      </c>
      <c r="H377">
        <v>41638</v>
      </c>
      <c r="I377">
        <v>83276</v>
      </c>
      <c r="J377" t="s">
        <v>36</v>
      </c>
    </row>
    <row r="378" spans="1:10" x14ac:dyDescent="0.25">
      <c r="A378" t="s">
        <v>281</v>
      </c>
      <c r="B378" t="s">
        <v>18</v>
      </c>
      <c r="C378" t="s">
        <v>29</v>
      </c>
      <c r="D378" t="s">
        <v>13</v>
      </c>
      <c r="E378" t="s">
        <v>35</v>
      </c>
      <c r="F378" t="s">
        <v>26</v>
      </c>
      <c r="G378">
        <v>18</v>
      </c>
      <c r="H378">
        <v>28688</v>
      </c>
      <c r="I378">
        <v>516384</v>
      </c>
      <c r="J378" t="s">
        <v>20</v>
      </c>
    </row>
    <row r="379" spans="1:10" x14ac:dyDescent="0.25">
      <c r="A379" t="s">
        <v>261</v>
      </c>
      <c r="B379" t="s">
        <v>33</v>
      </c>
      <c r="C379" t="s">
        <v>23</v>
      </c>
      <c r="D379" t="s">
        <v>44</v>
      </c>
      <c r="E379" t="s">
        <v>30</v>
      </c>
      <c r="F379" t="s">
        <v>15</v>
      </c>
      <c r="G379">
        <v>19</v>
      </c>
      <c r="H379">
        <v>32385</v>
      </c>
      <c r="I379">
        <v>615315</v>
      </c>
      <c r="J379" t="s">
        <v>36</v>
      </c>
    </row>
    <row r="380" spans="1:10" x14ac:dyDescent="0.25">
      <c r="A380" t="s">
        <v>244</v>
      </c>
      <c r="B380" t="s">
        <v>33</v>
      </c>
      <c r="C380" t="s">
        <v>12</v>
      </c>
      <c r="D380" t="s">
        <v>13</v>
      </c>
      <c r="E380" t="s">
        <v>25</v>
      </c>
      <c r="F380" t="s">
        <v>26</v>
      </c>
      <c r="G380">
        <v>8</v>
      </c>
      <c r="H380">
        <v>33998</v>
      </c>
      <c r="I380">
        <v>271984</v>
      </c>
      <c r="J380" t="s">
        <v>27</v>
      </c>
    </row>
    <row r="381" spans="1:10" x14ac:dyDescent="0.25">
      <c r="A381" t="s">
        <v>282</v>
      </c>
      <c r="B381" t="s">
        <v>22</v>
      </c>
      <c r="C381" t="s">
        <v>12</v>
      </c>
      <c r="D381" t="s">
        <v>48</v>
      </c>
      <c r="E381" t="s">
        <v>30</v>
      </c>
      <c r="F381" t="s">
        <v>26</v>
      </c>
      <c r="G381">
        <v>7</v>
      </c>
      <c r="H381">
        <v>51615</v>
      </c>
      <c r="I381">
        <v>361305</v>
      </c>
      <c r="J381" t="s">
        <v>20</v>
      </c>
    </row>
    <row r="382" spans="1:10" x14ac:dyDescent="0.25">
      <c r="A382" t="s">
        <v>283</v>
      </c>
      <c r="B382" t="s">
        <v>33</v>
      </c>
      <c r="C382" t="s">
        <v>38</v>
      </c>
      <c r="D382" t="s">
        <v>48</v>
      </c>
      <c r="E382" t="s">
        <v>30</v>
      </c>
      <c r="F382" t="s">
        <v>40</v>
      </c>
      <c r="G382">
        <v>8</v>
      </c>
      <c r="H382">
        <v>30784</v>
      </c>
      <c r="I382">
        <v>246272</v>
      </c>
      <c r="J382" t="s">
        <v>27</v>
      </c>
    </row>
    <row r="383" spans="1:10" x14ac:dyDescent="0.25">
      <c r="A383" t="s">
        <v>126</v>
      </c>
      <c r="B383" t="s">
        <v>18</v>
      </c>
      <c r="C383" t="s">
        <v>23</v>
      </c>
      <c r="D383" t="s">
        <v>24</v>
      </c>
      <c r="E383" t="s">
        <v>14</v>
      </c>
      <c r="F383" t="s">
        <v>26</v>
      </c>
      <c r="G383">
        <v>8</v>
      </c>
      <c r="H383">
        <v>22989</v>
      </c>
      <c r="I383">
        <v>183912</v>
      </c>
      <c r="J383" t="s">
        <v>16</v>
      </c>
    </row>
    <row r="384" spans="1:10" x14ac:dyDescent="0.25">
      <c r="A384" t="s">
        <v>81</v>
      </c>
      <c r="B384" t="s">
        <v>33</v>
      </c>
      <c r="C384" t="s">
        <v>23</v>
      </c>
      <c r="D384" t="s">
        <v>48</v>
      </c>
      <c r="E384" t="s">
        <v>14</v>
      </c>
      <c r="F384" t="s">
        <v>40</v>
      </c>
      <c r="G384">
        <v>17</v>
      </c>
      <c r="H384">
        <v>53553</v>
      </c>
      <c r="I384">
        <v>910401</v>
      </c>
      <c r="J384" t="s">
        <v>20</v>
      </c>
    </row>
    <row r="385" spans="1:10" x14ac:dyDescent="0.25">
      <c r="A385" t="s">
        <v>105</v>
      </c>
      <c r="B385" t="s">
        <v>42</v>
      </c>
      <c r="C385" t="s">
        <v>29</v>
      </c>
      <c r="D385" t="s">
        <v>39</v>
      </c>
      <c r="E385" t="s">
        <v>14</v>
      </c>
      <c r="F385" t="s">
        <v>40</v>
      </c>
      <c r="G385">
        <v>8</v>
      </c>
      <c r="H385">
        <v>50432</v>
      </c>
      <c r="I385">
        <v>403456</v>
      </c>
      <c r="J385" t="s">
        <v>27</v>
      </c>
    </row>
    <row r="386" spans="1:10" x14ac:dyDescent="0.25">
      <c r="A386" t="s">
        <v>284</v>
      </c>
      <c r="B386" t="s">
        <v>42</v>
      </c>
      <c r="C386" t="s">
        <v>34</v>
      </c>
      <c r="D386" t="s">
        <v>13</v>
      </c>
      <c r="E386" t="s">
        <v>30</v>
      </c>
      <c r="F386" t="s">
        <v>40</v>
      </c>
      <c r="G386">
        <v>6</v>
      </c>
      <c r="H386">
        <v>32256</v>
      </c>
      <c r="I386">
        <v>193536</v>
      </c>
      <c r="J386" t="s">
        <v>27</v>
      </c>
    </row>
    <row r="387" spans="1:10" x14ac:dyDescent="0.25">
      <c r="A387" t="s">
        <v>91</v>
      </c>
      <c r="B387" t="s">
        <v>22</v>
      </c>
      <c r="C387" t="s">
        <v>23</v>
      </c>
      <c r="D387" t="s">
        <v>13</v>
      </c>
      <c r="E387" t="s">
        <v>35</v>
      </c>
      <c r="F387" t="s">
        <v>15</v>
      </c>
      <c r="G387">
        <v>5</v>
      </c>
      <c r="H387">
        <v>26412</v>
      </c>
      <c r="I387">
        <v>132060</v>
      </c>
      <c r="J387" t="s">
        <v>27</v>
      </c>
    </row>
    <row r="388" spans="1:10" x14ac:dyDescent="0.25">
      <c r="A388" t="s">
        <v>53</v>
      </c>
      <c r="B388" t="s">
        <v>18</v>
      </c>
      <c r="C388" t="s">
        <v>29</v>
      </c>
      <c r="D388" t="s">
        <v>24</v>
      </c>
      <c r="E388" t="s">
        <v>19</v>
      </c>
      <c r="F388" t="s">
        <v>26</v>
      </c>
      <c r="G388">
        <v>13</v>
      </c>
      <c r="H388">
        <v>26787</v>
      </c>
      <c r="I388">
        <v>348231</v>
      </c>
      <c r="J388" t="s">
        <v>16</v>
      </c>
    </row>
    <row r="389" spans="1:10" x14ac:dyDescent="0.25">
      <c r="A389" t="s">
        <v>131</v>
      </c>
      <c r="B389" t="s">
        <v>42</v>
      </c>
      <c r="C389" t="s">
        <v>38</v>
      </c>
      <c r="D389" t="s">
        <v>39</v>
      </c>
      <c r="E389" t="s">
        <v>19</v>
      </c>
      <c r="F389" t="s">
        <v>26</v>
      </c>
      <c r="G389">
        <v>17</v>
      </c>
      <c r="H389">
        <v>38338</v>
      </c>
      <c r="I389">
        <v>651746</v>
      </c>
      <c r="J389" t="s">
        <v>16</v>
      </c>
    </row>
    <row r="390" spans="1:10" x14ac:dyDescent="0.25">
      <c r="A390" t="s">
        <v>53</v>
      </c>
      <c r="B390" t="s">
        <v>33</v>
      </c>
      <c r="C390" t="s">
        <v>23</v>
      </c>
      <c r="D390" t="s">
        <v>44</v>
      </c>
      <c r="E390" t="s">
        <v>14</v>
      </c>
      <c r="F390" t="s">
        <v>15</v>
      </c>
      <c r="G390">
        <v>11</v>
      </c>
      <c r="H390">
        <v>36294</v>
      </c>
      <c r="I390">
        <v>399234</v>
      </c>
      <c r="J390" t="s">
        <v>20</v>
      </c>
    </row>
    <row r="391" spans="1:10" x14ac:dyDescent="0.25">
      <c r="A391" t="s">
        <v>285</v>
      </c>
      <c r="B391" t="s">
        <v>42</v>
      </c>
      <c r="C391" t="s">
        <v>12</v>
      </c>
      <c r="D391" t="s">
        <v>48</v>
      </c>
      <c r="E391" t="s">
        <v>35</v>
      </c>
      <c r="F391" t="s">
        <v>40</v>
      </c>
      <c r="G391">
        <v>16</v>
      </c>
      <c r="H391">
        <v>39929</v>
      </c>
      <c r="I391">
        <v>638864</v>
      </c>
      <c r="J391" t="s">
        <v>36</v>
      </c>
    </row>
    <row r="392" spans="1:10" x14ac:dyDescent="0.25">
      <c r="A392" t="s">
        <v>255</v>
      </c>
      <c r="B392" t="s">
        <v>42</v>
      </c>
      <c r="C392" t="s">
        <v>38</v>
      </c>
      <c r="D392" t="s">
        <v>13</v>
      </c>
      <c r="E392" t="s">
        <v>35</v>
      </c>
      <c r="F392" t="s">
        <v>26</v>
      </c>
      <c r="G392">
        <v>16</v>
      </c>
      <c r="H392">
        <v>53652</v>
      </c>
      <c r="I392">
        <v>858432</v>
      </c>
      <c r="J392" t="s">
        <v>36</v>
      </c>
    </row>
    <row r="393" spans="1:10" x14ac:dyDescent="0.25">
      <c r="A393" t="s">
        <v>286</v>
      </c>
      <c r="B393" t="s">
        <v>22</v>
      </c>
      <c r="C393" t="s">
        <v>29</v>
      </c>
      <c r="D393" t="s">
        <v>24</v>
      </c>
      <c r="E393" t="s">
        <v>35</v>
      </c>
      <c r="F393" t="s">
        <v>40</v>
      </c>
      <c r="G393">
        <v>12</v>
      </c>
      <c r="H393">
        <v>53268</v>
      </c>
      <c r="I393">
        <v>639216</v>
      </c>
      <c r="J393" t="s">
        <v>16</v>
      </c>
    </row>
    <row r="394" spans="1:10" x14ac:dyDescent="0.25">
      <c r="A394" t="s">
        <v>287</v>
      </c>
      <c r="B394" t="s">
        <v>42</v>
      </c>
      <c r="C394" t="s">
        <v>12</v>
      </c>
      <c r="D394" t="s">
        <v>44</v>
      </c>
      <c r="E394" t="s">
        <v>14</v>
      </c>
      <c r="F394" t="s">
        <v>15</v>
      </c>
      <c r="G394">
        <v>2</v>
      </c>
      <c r="H394">
        <v>21162</v>
      </c>
      <c r="I394">
        <v>42324</v>
      </c>
      <c r="J394" t="s">
        <v>27</v>
      </c>
    </row>
    <row r="395" spans="1:10" x14ac:dyDescent="0.25">
      <c r="A395" t="s">
        <v>288</v>
      </c>
      <c r="B395" t="s">
        <v>18</v>
      </c>
      <c r="C395" t="s">
        <v>34</v>
      </c>
      <c r="D395" t="s">
        <v>24</v>
      </c>
      <c r="E395" t="s">
        <v>30</v>
      </c>
      <c r="F395" t="s">
        <v>40</v>
      </c>
      <c r="G395">
        <v>17</v>
      </c>
      <c r="H395">
        <v>54987</v>
      </c>
      <c r="I395">
        <v>934779</v>
      </c>
      <c r="J395" t="s">
        <v>27</v>
      </c>
    </row>
    <row r="396" spans="1:10" x14ac:dyDescent="0.25">
      <c r="A396" t="s">
        <v>289</v>
      </c>
      <c r="B396" t="s">
        <v>11</v>
      </c>
      <c r="C396" t="s">
        <v>34</v>
      </c>
      <c r="D396" t="s">
        <v>44</v>
      </c>
      <c r="E396" t="s">
        <v>19</v>
      </c>
      <c r="F396" t="s">
        <v>26</v>
      </c>
      <c r="G396">
        <v>7</v>
      </c>
      <c r="H396">
        <v>16691</v>
      </c>
      <c r="I396">
        <v>116837</v>
      </c>
      <c r="J396" t="s">
        <v>36</v>
      </c>
    </row>
    <row r="397" spans="1:10" x14ac:dyDescent="0.25">
      <c r="A397" t="s">
        <v>290</v>
      </c>
      <c r="B397" t="s">
        <v>42</v>
      </c>
      <c r="C397" t="s">
        <v>34</v>
      </c>
      <c r="D397" t="s">
        <v>48</v>
      </c>
      <c r="E397" t="s">
        <v>30</v>
      </c>
      <c r="F397" t="s">
        <v>40</v>
      </c>
      <c r="G397">
        <v>3</v>
      </c>
      <c r="H397">
        <v>16888</v>
      </c>
      <c r="I397">
        <v>50664</v>
      </c>
      <c r="J397" t="s">
        <v>20</v>
      </c>
    </row>
    <row r="398" spans="1:10" x14ac:dyDescent="0.25">
      <c r="A398" t="s">
        <v>215</v>
      </c>
      <c r="B398" t="s">
        <v>11</v>
      </c>
      <c r="C398" t="s">
        <v>38</v>
      </c>
      <c r="D398" t="s">
        <v>48</v>
      </c>
      <c r="E398" t="s">
        <v>30</v>
      </c>
      <c r="F398" t="s">
        <v>40</v>
      </c>
      <c r="G398">
        <v>15</v>
      </c>
      <c r="H398">
        <v>27357</v>
      </c>
      <c r="I398">
        <v>410355</v>
      </c>
      <c r="J398" t="s">
        <v>16</v>
      </c>
    </row>
    <row r="399" spans="1:10" x14ac:dyDescent="0.25">
      <c r="A399" t="s">
        <v>291</v>
      </c>
      <c r="B399" t="s">
        <v>33</v>
      </c>
      <c r="C399" t="s">
        <v>23</v>
      </c>
      <c r="D399" t="s">
        <v>39</v>
      </c>
      <c r="E399" t="s">
        <v>25</v>
      </c>
      <c r="F399" t="s">
        <v>40</v>
      </c>
      <c r="G399">
        <v>8</v>
      </c>
      <c r="H399">
        <v>32428</v>
      </c>
      <c r="I399">
        <v>259424</v>
      </c>
      <c r="J399" t="s">
        <v>27</v>
      </c>
    </row>
    <row r="400" spans="1:10" x14ac:dyDescent="0.25">
      <c r="A400" t="s">
        <v>60</v>
      </c>
      <c r="B400" t="s">
        <v>18</v>
      </c>
      <c r="C400" t="s">
        <v>34</v>
      </c>
      <c r="D400" t="s">
        <v>24</v>
      </c>
      <c r="E400" t="s">
        <v>25</v>
      </c>
      <c r="F400" t="s">
        <v>15</v>
      </c>
      <c r="G400">
        <v>18</v>
      </c>
      <c r="H400">
        <v>54106</v>
      </c>
      <c r="I400">
        <v>973908</v>
      </c>
      <c r="J400" t="s">
        <v>27</v>
      </c>
    </row>
    <row r="401" spans="1:10" x14ac:dyDescent="0.25">
      <c r="A401" t="s">
        <v>71</v>
      </c>
      <c r="B401" t="s">
        <v>18</v>
      </c>
      <c r="C401" t="s">
        <v>29</v>
      </c>
      <c r="D401" t="s">
        <v>24</v>
      </c>
      <c r="E401" t="s">
        <v>35</v>
      </c>
      <c r="F401" t="s">
        <v>40</v>
      </c>
      <c r="G401">
        <v>5</v>
      </c>
      <c r="H401">
        <v>51488</v>
      </c>
      <c r="I401">
        <v>257440</v>
      </c>
      <c r="J401" t="s">
        <v>27</v>
      </c>
    </row>
    <row r="402" spans="1:10" x14ac:dyDescent="0.25">
      <c r="A402" t="s">
        <v>90</v>
      </c>
      <c r="B402" t="s">
        <v>33</v>
      </c>
      <c r="C402" t="s">
        <v>29</v>
      </c>
      <c r="D402" t="s">
        <v>44</v>
      </c>
      <c r="E402" t="s">
        <v>14</v>
      </c>
      <c r="F402" t="s">
        <v>40</v>
      </c>
      <c r="G402">
        <v>11</v>
      </c>
      <c r="H402">
        <v>50594</v>
      </c>
      <c r="I402">
        <v>556534</v>
      </c>
      <c r="J402" t="s">
        <v>36</v>
      </c>
    </row>
    <row r="403" spans="1:10" x14ac:dyDescent="0.25">
      <c r="A403" t="s">
        <v>292</v>
      </c>
      <c r="B403" t="s">
        <v>18</v>
      </c>
      <c r="C403" t="s">
        <v>29</v>
      </c>
      <c r="D403" t="s">
        <v>48</v>
      </c>
      <c r="E403" t="s">
        <v>35</v>
      </c>
      <c r="F403" t="s">
        <v>26</v>
      </c>
      <c r="G403">
        <v>19</v>
      </c>
      <c r="H403">
        <v>36743</v>
      </c>
      <c r="I403">
        <v>698117</v>
      </c>
      <c r="J403" t="s">
        <v>16</v>
      </c>
    </row>
    <row r="404" spans="1:10" x14ac:dyDescent="0.25">
      <c r="A404" t="s">
        <v>65</v>
      </c>
      <c r="B404" t="s">
        <v>42</v>
      </c>
      <c r="C404" t="s">
        <v>23</v>
      </c>
      <c r="D404" t="s">
        <v>13</v>
      </c>
      <c r="E404" t="s">
        <v>30</v>
      </c>
      <c r="F404" t="s">
        <v>40</v>
      </c>
      <c r="G404">
        <v>6</v>
      </c>
      <c r="H404">
        <v>43612</v>
      </c>
      <c r="I404">
        <v>261672</v>
      </c>
      <c r="J404" t="s">
        <v>16</v>
      </c>
    </row>
    <row r="405" spans="1:10" x14ac:dyDescent="0.25">
      <c r="A405" t="s">
        <v>176</v>
      </c>
      <c r="B405" t="s">
        <v>22</v>
      </c>
      <c r="C405" t="s">
        <v>34</v>
      </c>
      <c r="D405" t="s">
        <v>44</v>
      </c>
      <c r="E405" t="s">
        <v>35</v>
      </c>
      <c r="F405" t="s">
        <v>40</v>
      </c>
      <c r="G405">
        <v>7</v>
      </c>
      <c r="H405">
        <v>23413</v>
      </c>
      <c r="I405">
        <v>163891</v>
      </c>
      <c r="J405" t="s">
        <v>36</v>
      </c>
    </row>
    <row r="406" spans="1:10" x14ac:dyDescent="0.25">
      <c r="A406" t="s">
        <v>198</v>
      </c>
      <c r="B406" t="s">
        <v>42</v>
      </c>
      <c r="C406" t="s">
        <v>34</v>
      </c>
      <c r="D406" t="s">
        <v>13</v>
      </c>
      <c r="E406" t="s">
        <v>14</v>
      </c>
      <c r="F406" t="s">
        <v>15</v>
      </c>
      <c r="G406">
        <v>6</v>
      </c>
      <c r="H406">
        <v>31301</v>
      </c>
      <c r="I406">
        <v>187806</v>
      </c>
      <c r="J406" t="s">
        <v>16</v>
      </c>
    </row>
    <row r="407" spans="1:10" x14ac:dyDescent="0.25">
      <c r="A407" t="s">
        <v>267</v>
      </c>
      <c r="B407" t="s">
        <v>22</v>
      </c>
      <c r="C407" t="s">
        <v>23</v>
      </c>
      <c r="D407" t="s">
        <v>39</v>
      </c>
      <c r="E407" t="s">
        <v>30</v>
      </c>
      <c r="F407" t="s">
        <v>40</v>
      </c>
      <c r="G407">
        <v>20</v>
      </c>
      <c r="H407">
        <v>31587</v>
      </c>
      <c r="I407">
        <v>631740</v>
      </c>
      <c r="J407" t="s">
        <v>27</v>
      </c>
    </row>
    <row r="408" spans="1:10" x14ac:dyDescent="0.25">
      <c r="A408" t="s">
        <v>142</v>
      </c>
      <c r="B408" t="s">
        <v>22</v>
      </c>
      <c r="C408" t="s">
        <v>34</v>
      </c>
      <c r="D408" t="s">
        <v>24</v>
      </c>
      <c r="E408" t="s">
        <v>14</v>
      </c>
      <c r="F408" t="s">
        <v>15</v>
      </c>
      <c r="G408">
        <v>7</v>
      </c>
      <c r="H408">
        <v>42733</v>
      </c>
      <c r="I408">
        <v>299131</v>
      </c>
      <c r="J408" t="s">
        <v>20</v>
      </c>
    </row>
    <row r="409" spans="1:10" x14ac:dyDescent="0.25">
      <c r="A409" t="s">
        <v>99</v>
      </c>
      <c r="B409" t="s">
        <v>33</v>
      </c>
      <c r="C409" t="s">
        <v>38</v>
      </c>
      <c r="D409" t="s">
        <v>44</v>
      </c>
      <c r="E409" t="s">
        <v>25</v>
      </c>
      <c r="F409" t="s">
        <v>40</v>
      </c>
      <c r="G409">
        <v>9</v>
      </c>
      <c r="H409">
        <v>29502</v>
      </c>
      <c r="I409">
        <v>265518</v>
      </c>
      <c r="J409" t="s">
        <v>20</v>
      </c>
    </row>
    <row r="410" spans="1:10" x14ac:dyDescent="0.25">
      <c r="A410" t="s">
        <v>293</v>
      </c>
      <c r="B410" t="s">
        <v>22</v>
      </c>
      <c r="C410" t="s">
        <v>12</v>
      </c>
      <c r="D410" t="s">
        <v>39</v>
      </c>
      <c r="E410" t="s">
        <v>35</v>
      </c>
      <c r="F410" t="s">
        <v>15</v>
      </c>
      <c r="G410">
        <v>9</v>
      </c>
      <c r="H410">
        <v>40629</v>
      </c>
      <c r="I410">
        <v>365661</v>
      </c>
      <c r="J410" t="s">
        <v>36</v>
      </c>
    </row>
    <row r="411" spans="1:10" x14ac:dyDescent="0.25">
      <c r="A411" t="s">
        <v>198</v>
      </c>
      <c r="B411" t="s">
        <v>11</v>
      </c>
      <c r="C411" t="s">
        <v>38</v>
      </c>
      <c r="D411" t="s">
        <v>44</v>
      </c>
      <c r="E411" t="s">
        <v>19</v>
      </c>
      <c r="F411" t="s">
        <v>15</v>
      </c>
      <c r="G411">
        <v>1</v>
      </c>
      <c r="H411">
        <v>33510</v>
      </c>
      <c r="I411">
        <v>33510</v>
      </c>
      <c r="J411" t="s">
        <v>20</v>
      </c>
    </row>
    <row r="412" spans="1:10" x14ac:dyDescent="0.25">
      <c r="A412" t="s">
        <v>294</v>
      </c>
      <c r="B412" t="s">
        <v>18</v>
      </c>
      <c r="C412" t="s">
        <v>29</v>
      </c>
      <c r="D412" t="s">
        <v>24</v>
      </c>
      <c r="E412" t="s">
        <v>14</v>
      </c>
      <c r="F412" t="s">
        <v>26</v>
      </c>
      <c r="G412">
        <v>16</v>
      </c>
      <c r="H412">
        <v>32262</v>
      </c>
      <c r="I412">
        <v>516192</v>
      </c>
      <c r="J412" t="s">
        <v>20</v>
      </c>
    </row>
    <row r="413" spans="1:10" x14ac:dyDescent="0.25">
      <c r="A413" t="s">
        <v>245</v>
      </c>
      <c r="B413" t="s">
        <v>18</v>
      </c>
      <c r="C413" t="s">
        <v>38</v>
      </c>
      <c r="D413" t="s">
        <v>13</v>
      </c>
      <c r="E413" t="s">
        <v>35</v>
      </c>
      <c r="F413" t="s">
        <v>40</v>
      </c>
      <c r="G413">
        <v>9</v>
      </c>
      <c r="H413">
        <v>50685</v>
      </c>
      <c r="I413">
        <v>456165</v>
      </c>
      <c r="J413" t="s">
        <v>16</v>
      </c>
    </row>
    <row r="414" spans="1:10" x14ac:dyDescent="0.25">
      <c r="A414" t="s">
        <v>69</v>
      </c>
      <c r="B414" t="s">
        <v>22</v>
      </c>
      <c r="C414" t="s">
        <v>12</v>
      </c>
      <c r="D414" t="s">
        <v>44</v>
      </c>
      <c r="E414" t="s">
        <v>19</v>
      </c>
      <c r="F414" t="s">
        <v>15</v>
      </c>
      <c r="G414">
        <v>1</v>
      </c>
      <c r="H414">
        <v>27813</v>
      </c>
      <c r="I414">
        <v>27813</v>
      </c>
      <c r="J414" t="s">
        <v>27</v>
      </c>
    </row>
    <row r="415" spans="1:10" x14ac:dyDescent="0.25">
      <c r="A415" t="s">
        <v>272</v>
      </c>
      <c r="B415" t="s">
        <v>18</v>
      </c>
      <c r="C415" t="s">
        <v>38</v>
      </c>
      <c r="D415" t="s">
        <v>39</v>
      </c>
      <c r="E415" t="s">
        <v>25</v>
      </c>
      <c r="F415" t="s">
        <v>26</v>
      </c>
      <c r="G415">
        <v>20</v>
      </c>
      <c r="H415">
        <v>45540</v>
      </c>
      <c r="I415">
        <v>910800</v>
      </c>
      <c r="J415" t="s">
        <v>16</v>
      </c>
    </row>
    <row r="416" spans="1:10" x14ac:dyDescent="0.25">
      <c r="A416" t="s">
        <v>257</v>
      </c>
      <c r="B416" t="s">
        <v>18</v>
      </c>
      <c r="C416" t="s">
        <v>23</v>
      </c>
      <c r="D416" t="s">
        <v>48</v>
      </c>
      <c r="E416" t="s">
        <v>25</v>
      </c>
      <c r="F416" t="s">
        <v>26</v>
      </c>
      <c r="G416">
        <v>18</v>
      </c>
      <c r="H416">
        <v>29335</v>
      </c>
      <c r="I416">
        <v>528030</v>
      </c>
      <c r="J416" t="s">
        <v>36</v>
      </c>
    </row>
    <row r="417" spans="1:10" x14ac:dyDescent="0.25">
      <c r="A417" t="s">
        <v>163</v>
      </c>
      <c r="B417" t="s">
        <v>11</v>
      </c>
      <c r="C417" t="s">
        <v>23</v>
      </c>
      <c r="D417" t="s">
        <v>48</v>
      </c>
      <c r="E417" t="s">
        <v>35</v>
      </c>
      <c r="F417" t="s">
        <v>40</v>
      </c>
      <c r="G417">
        <v>12</v>
      </c>
      <c r="H417">
        <v>55928</v>
      </c>
      <c r="I417">
        <v>671136</v>
      </c>
      <c r="J417" t="s">
        <v>27</v>
      </c>
    </row>
    <row r="418" spans="1:10" x14ac:dyDescent="0.25">
      <c r="A418" t="s">
        <v>61</v>
      </c>
      <c r="B418" t="s">
        <v>33</v>
      </c>
      <c r="C418" t="s">
        <v>12</v>
      </c>
      <c r="D418" t="s">
        <v>24</v>
      </c>
      <c r="E418" t="s">
        <v>19</v>
      </c>
      <c r="F418" t="s">
        <v>15</v>
      </c>
      <c r="G418">
        <v>8</v>
      </c>
      <c r="H418">
        <v>31309</v>
      </c>
      <c r="I418">
        <v>250472</v>
      </c>
      <c r="J418" t="s">
        <v>36</v>
      </c>
    </row>
    <row r="419" spans="1:10" x14ac:dyDescent="0.25">
      <c r="A419" t="s">
        <v>176</v>
      </c>
      <c r="B419" t="s">
        <v>11</v>
      </c>
      <c r="C419" t="s">
        <v>23</v>
      </c>
      <c r="D419" t="s">
        <v>24</v>
      </c>
      <c r="E419" t="s">
        <v>19</v>
      </c>
      <c r="F419" t="s">
        <v>40</v>
      </c>
      <c r="G419">
        <v>2</v>
      </c>
      <c r="H419">
        <v>15437</v>
      </c>
      <c r="I419">
        <v>30874</v>
      </c>
      <c r="J419" t="s">
        <v>27</v>
      </c>
    </row>
    <row r="420" spans="1:10" x14ac:dyDescent="0.25">
      <c r="A420" t="s">
        <v>295</v>
      </c>
      <c r="B420" t="s">
        <v>42</v>
      </c>
      <c r="C420" t="s">
        <v>23</v>
      </c>
      <c r="D420" t="s">
        <v>24</v>
      </c>
      <c r="E420" t="s">
        <v>35</v>
      </c>
      <c r="F420" t="s">
        <v>15</v>
      </c>
      <c r="G420">
        <v>8</v>
      </c>
      <c r="H420">
        <v>46932</v>
      </c>
      <c r="I420">
        <v>375456</v>
      </c>
      <c r="J420" t="s">
        <v>27</v>
      </c>
    </row>
    <row r="421" spans="1:10" x14ac:dyDescent="0.25">
      <c r="A421" t="s">
        <v>132</v>
      </c>
      <c r="B421" t="s">
        <v>33</v>
      </c>
      <c r="C421" t="s">
        <v>34</v>
      </c>
      <c r="D421" t="s">
        <v>24</v>
      </c>
      <c r="E421" t="s">
        <v>35</v>
      </c>
      <c r="F421" t="s">
        <v>15</v>
      </c>
      <c r="G421">
        <v>18</v>
      </c>
      <c r="H421">
        <v>23033</v>
      </c>
      <c r="I421">
        <v>414594</v>
      </c>
      <c r="J421" t="s">
        <v>27</v>
      </c>
    </row>
    <row r="422" spans="1:10" x14ac:dyDescent="0.25">
      <c r="A422" t="s">
        <v>296</v>
      </c>
      <c r="B422" t="s">
        <v>18</v>
      </c>
      <c r="C422" t="s">
        <v>38</v>
      </c>
      <c r="D422" t="s">
        <v>24</v>
      </c>
      <c r="E422" t="s">
        <v>14</v>
      </c>
      <c r="F422" t="s">
        <v>40</v>
      </c>
      <c r="G422">
        <v>4</v>
      </c>
      <c r="H422">
        <v>37230</v>
      </c>
      <c r="I422">
        <v>148920</v>
      </c>
      <c r="J422" t="s">
        <v>16</v>
      </c>
    </row>
    <row r="423" spans="1:10" x14ac:dyDescent="0.25">
      <c r="A423" t="s">
        <v>285</v>
      </c>
      <c r="B423" t="s">
        <v>18</v>
      </c>
      <c r="C423" t="s">
        <v>12</v>
      </c>
      <c r="D423" t="s">
        <v>13</v>
      </c>
      <c r="E423" t="s">
        <v>35</v>
      </c>
      <c r="F423" t="s">
        <v>15</v>
      </c>
      <c r="G423">
        <v>3</v>
      </c>
      <c r="H423">
        <v>16902</v>
      </c>
      <c r="I423">
        <v>50706</v>
      </c>
      <c r="J423" t="s">
        <v>27</v>
      </c>
    </row>
    <row r="424" spans="1:10" x14ac:dyDescent="0.25">
      <c r="A424" t="s">
        <v>297</v>
      </c>
      <c r="B424" t="s">
        <v>33</v>
      </c>
      <c r="C424" t="s">
        <v>29</v>
      </c>
      <c r="D424" t="s">
        <v>48</v>
      </c>
      <c r="E424" t="s">
        <v>35</v>
      </c>
      <c r="F424" t="s">
        <v>15</v>
      </c>
      <c r="G424">
        <v>4</v>
      </c>
      <c r="H424">
        <v>38101</v>
      </c>
      <c r="I424">
        <v>152404</v>
      </c>
      <c r="J424" t="s">
        <v>20</v>
      </c>
    </row>
    <row r="425" spans="1:10" x14ac:dyDescent="0.25">
      <c r="A425" t="s">
        <v>17</v>
      </c>
      <c r="B425" t="s">
        <v>33</v>
      </c>
      <c r="C425" t="s">
        <v>29</v>
      </c>
      <c r="D425" t="s">
        <v>13</v>
      </c>
      <c r="E425" t="s">
        <v>30</v>
      </c>
      <c r="F425" t="s">
        <v>15</v>
      </c>
      <c r="G425">
        <v>7</v>
      </c>
      <c r="H425">
        <v>44605</v>
      </c>
      <c r="I425">
        <v>312235</v>
      </c>
      <c r="J425" t="s">
        <v>27</v>
      </c>
    </row>
    <row r="426" spans="1:10" x14ac:dyDescent="0.25">
      <c r="A426" t="s">
        <v>236</v>
      </c>
      <c r="B426" t="s">
        <v>11</v>
      </c>
      <c r="C426" t="s">
        <v>12</v>
      </c>
      <c r="D426" t="s">
        <v>24</v>
      </c>
      <c r="E426" t="s">
        <v>25</v>
      </c>
      <c r="F426" t="s">
        <v>15</v>
      </c>
      <c r="G426">
        <v>15</v>
      </c>
      <c r="H426">
        <v>33232</v>
      </c>
      <c r="I426">
        <v>498480</v>
      </c>
      <c r="J426" t="s">
        <v>36</v>
      </c>
    </row>
    <row r="427" spans="1:10" x14ac:dyDescent="0.25">
      <c r="A427" t="s">
        <v>298</v>
      </c>
      <c r="B427" t="s">
        <v>33</v>
      </c>
      <c r="C427" t="s">
        <v>38</v>
      </c>
      <c r="D427" t="s">
        <v>48</v>
      </c>
      <c r="E427" t="s">
        <v>19</v>
      </c>
      <c r="F427" t="s">
        <v>26</v>
      </c>
      <c r="G427">
        <v>18</v>
      </c>
      <c r="H427">
        <v>41634</v>
      </c>
      <c r="I427">
        <v>749412</v>
      </c>
      <c r="J427" t="s">
        <v>36</v>
      </c>
    </row>
    <row r="428" spans="1:10" x14ac:dyDescent="0.25">
      <c r="A428" t="s">
        <v>221</v>
      </c>
      <c r="B428" t="s">
        <v>18</v>
      </c>
      <c r="C428" t="s">
        <v>34</v>
      </c>
      <c r="D428" t="s">
        <v>39</v>
      </c>
      <c r="E428" t="s">
        <v>25</v>
      </c>
      <c r="F428" t="s">
        <v>26</v>
      </c>
      <c r="G428">
        <v>16</v>
      </c>
      <c r="H428">
        <v>17422</v>
      </c>
      <c r="I428">
        <v>278752</v>
      </c>
      <c r="J428" t="s">
        <v>20</v>
      </c>
    </row>
    <row r="429" spans="1:10" x14ac:dyDescent="0.25">
      <c r="A429" t="s">
        <v>139</v>
      </c>
      <c r="B429" t="s">
        <v>42</v>
      </c>
      <c r="C429" t="s">
        <v>23</v>
      </c>
      <c r="D429" t="s">
        <v>13</v>
      </c>
      <c r="E429" t="s">
        <v>14</v>
      </c>
      <c r="F429" t="s">
        <v>26</v>
      </c>
      <c r="G429">
        <v>12</v>
      </c>
      <c r="H429">
        <v>29536</v>
      </c>
      <c r="I429">
        <v>354432</v>
      </c>
      <c r="J429" t="s">
        <v>20</v>
      </c>
    </row>
    <row r="430" spans="1:10" x14ac:dyDescent="0.25">
      <c r="A430" t="s">
        <v>173</v>
      </c>
      <c r="B430" t="s">
        <v>18</v>
      </c>
      <c r="C430" t="s">
        <v>23</v>
      </c>
      <c r="D430" t="s">
        <v>24</v>
      </c>
      <c r="E430" t="s">
        <v>14</v>
      </c>
      <c r="F430" t="s">
        <v>15</v>
      </c>
      <c r="G430">
        <v>7</v>
      </c>
      <c r="H430">
        <v>26168</v>
      </c>
      <c r="I430">
        <v>183176</v>
      </c>
      <c r="J430" t="s">
        <v>20</v>
      </c>
    </row>
    <row r="431" spans="1:10" x14ac:dyDescent="0.25">
      <c r="A431" t="s">
        <v>299</v>
      </c>
      <c r="B431" t="s">
        <v>22</v>
      </c>
      <c r="C431" t="s">
        <v>12</v>
      </c>
      <c r="D431" t="s">
        <v>24</v>
      </c>
      <c r="E431" t="s">
        <v>30</v>
      </c>
      <c r="F431" t="s">
        <v>40</v>
      </c>
      <c r="G431">
        <v>11</v>
      </c>
      <c r="H431">
        <v>51037</v>
      </c>
      <c r="I431">
        <v>561407</v>
      </c>
      <c r="J431" t="s">
        <v>27</v>
      </c>
    </row>
    <row r="432" spans="1:10" x14ac:dyDescent="0.25">
      <c r="A432" t="s">
        <v>234</v>
      </c>
      <c r="B432" t="s">
        <v>11</v>
      </c>
      <c r="C432" t="s">
        <v>34</v>
      </c>
      <c r="D432" t="s">
        <v>39</v>
      </c>
      <c r="E432" t="s">
        <v>25</v>
      </c>
      <c r="F432" t="s">
        <v>26</v>
      </c>
      <c r="G432">
        <v>1</v>
      </c>
      <c r="H432">
        <v>36429</v>
      </c>
      <c r="I432">
        <v>36429</v>
      </c>
      <c r="J432" t="s">
        <v>16</v>
      </c>
    </row>
    <row r="433" spans="1:10" x14ac:dyDescent="0.25">
      <c r="A433" t="s">
        <v>163</v>
      </c>
      <c r="B433" t="s">
        <v>33</v>
      </c>
      <c r="C433" t="s">
        <v>12</v>
      </c>
      <c r="D433" t="s">
        <v>24</v>
      </c>
      <c r="E433" t="s">
        <v>30</v>
      </c>
      <c r="F433" t="s">
        <v>26</v>
      </c>
      <c r="G433">
        <v>20</v>
      </c>
      <c r="H433">
        <v>17918</v>
      </c>
      <c r="I433">
        <v>358360</v>
      </c>
      <c r="J433" t="s">
        <v>27</v>
      </c>
    </row>
    <row r="434" spans="1:10" x14ac:dyDescent="0.25">
      <c r="A434" t="s">
        <v>41</v>
      </c>
      <c r="B434" t="s">
        <v>22</v>
      </c>
      <c r="C434" t="s">
        <v>38</v>
      </c>
      <c r="D434" t="s">
        <v>48</v>
      </c>
      <c r="E434" t="s">
        <v>35</v>
      </c>
      <c r="F434" t="s">
        <v>40</v>
      </c>
      <c r="G434">
        <v>5</v>
      </c>
      <c r="H434">
        <v>59222</v>
      </c>
      <c r="I434">
        <v>296110</v>
      </c>
      <c r="J434" t="s">
        <v>20</v>
      </c>
    </row>
    <row r="435" spans="1:10" x14ac:dyDescent="0.25">
      <c r="A435" t="s">
        <v>300</v>
      </c>
      <c r="B435" t="s">
        <v>33</v>
      </c>
      <c r="C435" t="s">
        <v>38</v>
      </c>
      <c r="D435" t="s">
        <v>44</v>
      </c>
      <c r="E435" t="s">
        <v>14</v>
      </c>
      <c r="F435" t="s">
        <v>40</v>
      </c>
      <c r="G435">
        <v>3</v>
      </c>
      <c r="H435">
        <v>35198</v>
      </c>
      <c r="I435">
        <v>105594</v>
      </c>
      <c r="J435" t="s">
        <v>16</v>
      </c>
    </row>
    <row r="436" spans="1:10" x14ac:dyDescent="0.25">
      <c r="A436" t="s">
        <v>301</v>
      </c>
      <c r="B436" t="s">
        <v>22</v>
      </c>
      <c r="C436" t="s">
        <v>38</v>
      </c>
      <c r="D436" t="s">
        <v>13</v>
      </c>
      <c r="E436" t="s">
        <v>30</v>
      </c>
      <c r="F436" t="s">
        <v>26</v>
      </c>
      <c r="G436">
        <v>17</v>
      </c>
      <c r="H436">
        <v>48433</v>
      </c>
      <c r="I436">
        <v>823361</v>
      </c>
      <c r="J436" t="s">
        <v>36</v>
      </c>
    </row>
    <row r="437" spans="1:10" x14ac:dyDescent="0.25">
      <c r="A437" t="s">
        <v>116</v>
      </c>
      <c r="B437" t="s">
        <v>42</v>
      </c>
      <c r="C437" t="s">
        <v>38</v>
      </c>
      <c r="D437" t="s">
        <v>48</v>
      </c>
      <c r="E437" t="s">
        <v>25</v>
      </c>
      <c r="F437" t="s">
        <v>15</v>
      </c>
      <c r="G437">
        <v>19</v>
      </c>
      <c r="H437">
        <v>35131</v>
      </c>
      <c r="I437">
        <v>667489</v>
      </c>
      <c r="J437" t="s">
        <v>16</v>
      </c>
    </row>
    <row r="438" spans="1:10" x14ac:dyDescent="0.25">
      <c r="A438" t="s">
        <v>119</v>
      </c>
      <c r="B438" t="s">
        <v>42</v>
      </c>
      <c r="C438" t="s">
        <v>12</v>
      </c>
      <c r="D438" t="s">
        <v>39</v>
      </c>
      <c r="E438" t="s">
        <v>30</v>
      </c>
      <c r="F438" t="s">
        <v>26</v>
      </c>
      <c r="G438">
        <v>16</v>
      </c>
      <c r="H438">
        <v>24792</v>
      </c>
      <c r="I438">
        <v>396672</v>
      </c>
      <c r="J438" t="s">
        <v>20</v>
      </c>
    </row>
    <row r="439" spans="1:10" x14ac:dyDescent="0.25">
      <c r="A439" t="s">
        <v>302</v>
      </c>
      <c r="B439" t="s">
        <v>22</v>
      </c>
      <c r="C439" t="s">
        <v>38</v>
      </c>
      <c r="D439" t="s">
        <v>44</v>
      </c>
      <c r="E439" t="s">
        <v>25</v>
      </c>
      <c r="F439" t="s">
        <v>40</v>
      </c>
      <c r="G439">
        <v>16</v>
      </c>
      <c r="H439">
        <v>29258</v>
      </c>
      <c r="I439">
        <v>468128</v>
      </c>
      <c r="J439" t="s">
        <v>27</v>
      </c>
    </row>
    <row r="440" spans="1:10" x14ac:dyDescent="0.25">
      <c r="A440" t="s">
        <v>303</v>
      </c>
      <c r="B440" t="s">
        <v>11</v>
      </c>
      <c r="C440" t="s">
        <v>38</v>
      </c>
      <c r="D440" t="s">
        <v>24</v>
      </c>
      <c r="E440" t="s">
        <v>30</v>
      </c>
      <c r="F440" t="s">
        <v>40</v>
      </c>
      <c r="G440">
        <v>16</v>
      </c>
      <c r="H440">
        <v>53142</v>
      </c>
      <c r="I440">
        <v>850272</v>
      </c>
      <c r="J440" t="s">
        <v>36</v>
      </c>
    </row>
    <row r="441" spans="1:10" x14ac:dyDescent="0.25">
      <c r="A441" t="s">
        <v>58</v>
      </c>
      <c r="B441" t="s">
        <v>42</v>
      </c>
      <c r="C441" t="s">
        <v>12</v>
      </c>
      <c r="D441" t="s">
        <v>39</v>
      </c>
      <c r="E441" t="s">
        <v>14</v>
      </c>
      <c r="F441" t="s">
        <v>26</v>
      </c>
      <c r="G441">
        <v>8</v>
      </c>
      <c r="H441">
        <v>47112</v>
      </c>
      <c r="I441">
        <v>376896</v>
      </c>
      <c r="J441" t="s">
        <v>27</v>
      </c>
    </row>
    <row r="442" spans="1:10" x14ac:dyDescent="0.25">
      <c r="A442" t="s">
        <v>171</v>
      </c>
      <c r="B442" t="s">
        <v>22</v>
      </c>
      <c r="C442" t="s">
        <v>29</v>
      </c>
      <c r="D442" t="s">
        <v>39</v>
      </c>
      <c r="E442" t="s">
        <v>35</v>
      </c>
      <c r="F442" t="s">
        <v>15</v>
      </c>
      <c r="G442">
        <v>1</v>
      </c>
      <c r="H442">
        <v>27734</v>
      </c>
      <c r="I442">
        <v>27734</v>
      </c>
      <c r="J442" t="s">
        <v>20</v>
      </c>
    </row>
    <row r="443" spans="1:10" x14ac:dyDescent="0.25">
      <c r="A443" t="s">
        <v>237</v>
      </c>
      <c r="B443" t="s">
        <v>18</v>
      </c>
      <c r="C443" t="s">
        <v>23</v>
      </c>
      <c r="D443" t="s">
        <v>13</v>
      </c>
      <c r="E443" t="s">
        <v>35</v>
      </c>
      <c r="F443" t="s">
        <v>40</v>
      </c>
      <c r="G443">
        <v>8</v>
      </c>
      <c r="H443">
        <v>38486</v>
      </c>
      <c r="I443">
        <v>307888</v>
      </c>
      <c r="J443" t="s">
        <v>27</v>
      </c>
    </row>
    <row r="444" spans="1:10" x14ac:dyDescent="0.25">
      <c r="A444" t="s">
        <v>216</v>
      </c>
      <c r="B444" t="s">
        <v>33</v>
      </c>
      <c r="C444" t="s">
        <v>12</v>
      </c>
      <c r="D444" t="s">
        <v>44</v>
      </c>
      <c r="E444" t="s">
        <v>30</v>
      </c>
      <c r="F444" t="s">
        <v>26</v>
      </c>
      <c r="G444">
        <v>16</v>
      </c>
      <c r="H444">
        <v>40071</v>
      </c>
      <c r="I444">
        <v>641136</v>
      </c>
      <c r="J444" t="s">
        <v>20</v>
      </c>
    </row>
    <row r="445" spans="1:10" x14ac:dyDescent="0.25">
      <c r="A445" t="s">
        <v>304</v>
      </c>
      <c r="B445" t="s">
        <v>22</v>
      </c>
      <c r="C445" t="s">
        <v>34</v>
      </c>
      <c r="D445" t="s">
        <v>39</v>
      </c>
      <c r="E445" t="s">
        <v>19</v>
      </c>
      <c r="F445" t="s">
        <v>26</v>
      </c>
      <c r="G445">
        <v>11</v>
      </c>
      <c r="H445">
        <v>44374</v>
      </c>
      <c r="I445">
        <v>488114</v>
      </c>
      <c r="J445" t="s">
        <v>16</v>
      </c>
    </row>
    <row r="446" spans="1:10" x14ac:dyDescent="0.25">
      <c r="A446" t="s">
        <v>271</v>
      </c>
      <c r="B446" t="s">
        <v>22</v>
      </c>
      <c r="C446" t="s">
        <v>12</v>
      </c>
      <c r="D446" t="s">
        <v>48</v>
      </c>
      <c r="E446" t="s">
        <v>14</v>
      </c>
      <c r="F446" t="s">
        <v>40</v>
      </c>
      <c r="G446">
        <v>6</v>
      </c>
      <c r="H446">
        <v>44139</v>
      </c>
      <c r="I446">
        <v>264834</v>
      </c>
      <c r="J446" t="s">
        <v>20</v>
      </c>
    </row>
    <row r="447" spans="1:10" x14ac:dyDescent="0.25">
      <c r="A447" t="s">
        <v>193</v>
      </c>
      <c r="B447" t="s">
        <v>42</v>
      </c>
      <c r="C447" t="s">
        <v>38</v>
      </c>
      <c r="D447" t="s">
        <v>39</v>
      </c>
      <c r="E447" t="s">
        <v>25</v>
      </c>
      <c r="F447" t="s">
        <v>26</v>
      </c>
      <c r="G447">
        <v>17</v>
      </c>
      <c r="H447">
        <v>29974</v>
      </c>
      <c r="I447">
        <v>509558</v>
      </c>
      <c r="J447" t="s">
        <v>16</v>
      </c>
    </row>
    <row r="448" spans="1:10" x14ac:dyDescent="0.25">
      <c r="A448" t="s">
        <v>305</v>
      </c>
      <c r="B448" t="s">
        <v>18</v>
      </c>
      <c r="C448" t="s">
        <v>38</v>
      </c>
      <c r="D448" t="s">
        <v>24</v>
      </c>
      <c r="E448" t="s">
        <v>30</v>
      </c>
      <c r="F448" t="s">
        <v>40</v>
      </c>
      <c r="G448">
        <v>11</v>
      </c>
      <c r="H448">
        <v>21320</v>
      </c>
      <c r="I448">
        <v>234520</v>
      </c>
      <c r="J448" t="s">
        <v>16</v>
      </c>
    </row>
    <row r="449" spans="1:10" x14ac:dyDescent="0.25">
      <c r="A449" t="s">
        <v>306</v>
      </c>
      <c r="B449" t="s">
        <v>33</v>
      </c>
      <c r="C449" t="s">
        <v>12</v>
      </c>
      <c r="D449" t="s">
        <v>39</v>
      </c>
      <c r="E449" t="s">
        <v>30</v>
      </c>
      <c r="F449" t="s">
        <v>40</v>
      </c>
      <c r="G449">
        <v>18</v>
      </c>
      <c r="H449">
        <v>37355</v>
      </c>
      <c r="I449">
        <v>672390</v>
      </c>
      <c r="J449" t="s">
        <v>36</v>
      </c>
    </row>
    <row r="450" spans="1:10" x14ac:dyDescent="0.25">
      <c r="A450" t="s">
        <v>178</v>
      </c>
      <c r="B450" t="s">
        <v>22</v>
      </c>
      <c r="C450" t="s">
        <v>34</v>
      </c>
      <c r="D450" t="s">
        <v>39</v>
      </c>
      <c r="E450" t="s">
        <v>30</v>
      </c>
      <c r="F450" t="s">
        <v>26</v>
      </c>
      <c r="G450">
        <v>3</v>
      </c>
      <c r="H450">
        <v>59887</v>
      </c>
      <c r="I450">
        <v>179661</v>
      </c>
      <c r="J450" t="s">
        <v>20</v>
      </c>
    </row>
    <row r="451" spans="1:10" x14ac:dyDescent="0.25">
      <c r="A451" t="s">
        <v>154</v>
      </c>
      <c r="B451" t="s">
        <v>11</v>
      </c>
      <c r="C451" t="s">
        <v>23</v>
      </c>
      <c r="D451" t="s">
        <v>13</v>
      </c>
      <c r="E451" t="s">
        <v>35</v>
      </c>
      <c r="F451" t="s">
        <v>15</v>
      </c>
      <c r="G451">
        <v>17</v>
      </c>
      <c r="H451">
        <v>48507</v>
      </c>
      <c r="I451">
        <v>824619</v>
      </c>
      <c r="J451" t="s">
        <v>27</v>
      </c>
    </row>
    <row r="452" spans="1:10" x14ac:dyDescent="0.25">
      <c r="A452" t="s">
        <v>108</v>
      </c>
      <c r="B452" t="s">
        <v>18</v>
      </c>
      <c r="C452" t="s">
        <v>34</v>
      </c>
      <c r="D452" t="s">
        <v>39</v>
      </c>
      <c r="E452" t="s">
        <v>19</v>
      </c>
      <c r="F452" t="s">
        <v>26</v>
      </c>
      <c r="G452">
        <v>8</v>
      </c>
      <c r="H452">
        <v>24403</v>
      </c>
      <c r="I452">
        <v>195224</v>
      </c>
      <c r="J452" t="s">
        <v>36</v>
      </c>
    </row>
    <row r="453" spans="1:10" x14ac:dyDescent="0.25">
      <c r="A453" t="s">
        <v>307</v>
      </c>
      <c r="B453" t="s">
        <v>11</v>
      </c>
      <c r="C453" t="s">
        <v>34</v>
      </c>
      <c r="D453" t="s">
        <v>44</v>
      </c>
      <c r="E453" t="s">
        <v>19</v>
      </c>
      <c r="F453" t="s">
        <v>40</v>
      </c>
      <c r="G453">
        <v>3</v>
      </c>
      <c r="H453">
        <v>42340</v>
      </c>
      <c r="I453">
        <v>127020</v>
      </c>
      <c r="J453" t="s">
        <v>20</v>
      </c>
    </row>
    <row r="454" spans="1:10" x14ac:dyDescent="0.25">
      <c r="A454" t="s">
        <v>308</v>
      </c>
      <c r="B454" t="s">
        <v>22</v>
      </c>
      <c r="C454" t="s">
        <v>29</v>
      </c>
      <c r="D454" t="s">
        <v>48</v>
      </c>
      <c r="E454" t="s">
        <v>35</v>
      </c>
      <c r="F454" t="s">
        <v>15</v>
      </c>
      <c r="G454">
        <v>2</v>
      </c>
      <c r="H454">
        <v>42044</v>
      </c>
      <c r="I454">
        <v>84088</v>
      </c>
      <c r="J454" t="s">
        <v>27</v>
      </c>
    </row>
    <row r="455" spans="1:10" x14ac:dyDescent="0.25">
      <c r="A455" t="s">
        <v>176</v>
      </c>
      <c r="B455" t="s">
        <v>22</v>
      </c>
      <c r="C455" t="s">
        <v>38</v>
      </c>
      <c r="D455" t="s">
        <v>44</v>
      </c>
      <c r="E455" t="s">
        <v>30</v>
      </c>
      <c r="F455" t="s">
        <v>40</v>
      </c>
      <c r="G455">
        <v>18</v>
      </c>
      <c r="H455">
        <v>23035</v>
      </c>
      <c r="I455">
        <v>414630</v>
      </c>
      <c r="J455" t="s">
        <v>20</v>
      </c>
    </row>
    <row r="456" spans="1:10" x14ac:dyDescent="0.25">
      <c r="A456" t="s">
        <v>99</v>
      </c>
      <c r="B456" t="s">
        <v>22</v>
      </c>
      <c r="C456" t="s">
        <v>34</v>
      </c>
      <c r="D456" t="s">
        <v>44</v>
      </c>
      <c r="E456" t="s">
        <v>19</v>
      </c>
      <c r="F456" t="s">
        <v>40</v>
      </c>
      <c r="G456">
        <v>7</v>
      </c>
      <c r="H456">
        <v>28363</v>
      </c>
      <c r="I456">
        <v>198541</v>
      </c>
      <c r="J456" t="s">
        <v>20</v>
      </c>
    </row>
    <row r="457" spans="1:10" x14ac:dyDescent="0.25">
      <c r="A457" t="s">
        <v>246</v>
      </c>
      <c r="B457" t="s">
        <v>33</v>
      </c>
      <c r="C457" t="s">
        <v>34</v>
      </c>
      <c r="D457" t="s">
        <v>24</v>
      </c>
      <c r="E457" t="s">
        <v>35</v>
      </c>
      <c r="F457" t="s">
        <v>40</v>
      </c>
      <c r="G457">
        <v>20</v>
      </c>
      <c r="H457">
        <v>29363</v>
      </c>
      <c r="I457">
        <v>587260</v>
      </c>
      <c r="J457" t="s">
        <v>20</v>
      </c>
    </row>
    <row r="458" spans="1:10" x14ac:dyDescent="0.25">
      <c r="A458" t="s">
        <v>222</v>
      </c>
      <c r="B458" t="s">
        <v>11</v>
      </c>
      <c r="C458" t="s">
        <v>12</v>
      </c>
      <c r="D458" t="s">
        <v>48</v>
      </c>
      <c r="E458" t="s">
        <v>35</v>
      </c>
      <c r="F458" t="s">
        <v>15</v>
      </c>
      <c r="G458">
        <v>16</v>
      </c>
      <c r="H458">
        <v>18619</v>
      </c>
      <c r="I458">
        <v>297904</v>
      </c>
      <c r="J458" t="s">
        <v>20</v>
      </c>
    </row>
    <row r="459" spans="1:10" x14ac:dyDescent="0.25">
      <c r="A459" t="s">
        <v>156</v>
      </c>
      <c r="B459" t="s">
        <v>42</v>
      </c>
      <c r="C459" t="s">
        <v>38</v>
      </c>
      <c r="D459" t="s">
        <v>48</v>
      </c>
      <c r="E459" t="s">
        <v>14</v>
      </c>
      <c r="F459" t="s">
        <v>15</v>
      </c>
      <c r="G459">
        <v>8</v>
      </c>
      <c r="H459">
        <v>42567</v>
      </c>
      <c r="I459">
        <v>340536</v>
      </c>
      <c r="J459" t="s">
        <v>16</v>
      </c>
    </row>
    <row r="460" spans="1:10" x14ac:dyDescent="0.25">
      <c r="A460" t="s">
        <v>309</v>
      </c>
      <c r="B460" t="s">
        <v>33</v>
      </c>
      <c r="C460" t="s">
        <v>23</v>
      </c>
      <c r="D460" t="s">
        <v>24</v>
      </c>
      <c r="E460" t="s">
        <v>14</v>
      </c>
      <c r="F460" t="s">
        <v>26</v>
      </c>
      <c r="G460">
        <v>17</v>
      </c>
      <c r="H460">
        <v>48855</v>
      </c>
      <c r="I460">
        <v>830535</v>
      </c>
      <c r="J460" t="s">
        <v>20</v>
      </c>
    </row>
    <row r="461" spans="1:10" x14ac:dyDescent="0.25">
      <c r="A461" t="s">
        <v>90</v>
      </c>
      <c r="B461" t="s">
        <v>11</v>
      </c>
      <c r="C461" t="s">
        <v>29</v>
      </c>
      <c r="D461" t="s">
        <v>44</v>
      </c>
      <c r="E461" t="s">
        <v>19</v>
      </c>
      <c r="F461" t="s">
        <v>15</v>
      </c>
      <c r="G461">
        <v>12</v>
      </c>
      <c r="H461">
        <v>38319</v>
      </c>
      <c r="I461">
        <v>459828</v>
      </c>
      <c r="J461" t="s">
        <v>27</v>
      </c>
    </row>
    <row r="462" spans="1:10" x14ac:dyDescent="0.25">
      <c r="A462" t="s">
        <v>310</v>
      </c>
      <c r="B462" t="s">
        <v>22</v>
      </c>
      <c r="C462" t="s">
        <v>12</v>
      </c>
      <c r="D462" t="s">
        <v>44</v>
      </c>
      <c r="E462" t="s">
        <v>19</v>
      </c>
      <c r="F462" t="s">
        <v>40</v>
      </c>
      <c r="G462">
        <v>1</v>
      </c>
      <c r="H462">
        <v>27894</v>
      </c>
      <c r="I462">
        <v>27894</v>
      </c>
      <c r="J462" t="s">
        <v>16</v>
      </c>
    </row>
    <row r="463" spans="1:10" x14ac:dyDescent="0.25">
      <c r="A463" t="s">
        <v>183</v>
      </c>
      <c r="B463" t="s">
        <v>22</v>
      </c>
      <c r="C463" t="s">
        <v>34</v>
      </c>
      <c r="D463" t="s">
        <v>13</v>
      </c>
      <c r="E463" t="s">
        <v>35</v>
      </c>
      <c r="F463" t="s">
        <v>26</v>
      </c>
      <c r="G463">
        <v>9</v>
      </c>
      <c r="H463">
        <v>46863</v>
      </c>
      <c r="I463">
        <v>421767</v>
      </c>
      <c r="J463" t="s">
        <v>27</v>
      </c>
    </row>
    <row r="464" spans="1:10" x14ac:dyDescent="0.25">
      <c r="A464" t="s">
        <v>290</v>
      </c>
      <c r="B464" t="s">
        <v>11</v>
      </c>
      <c r="C464" t="s">
        <v>38</v>
      </c>
      <c r="D464" t="s">
        <v>24</v>
      </c>
      <c r="E464" t="s">
        <v>19</v>
      </c>
      <c r="F464" t="s">
        <v>15</v>
      </c>
      <c r="G464">
        <v>14</v>
      </c>
      <c r="H464">
        <v>34415</v>
      </c>
      <c r="I464">
        <v>481810</v>
      </c>
      <c r="J464" t="s">
        <v>36</v>
      </c>
    </row>
    <row r="465" spans="1:10" x14ac:dyDescent="0.25">
      <c r="A465" t="s">
        <v>239</v>
      </c>
      <c r="B465" t="s">
        <v>11</v>
      </c>
      <c r="C465" t="s">
        <v>12</v>
      </c>
      <c r="D465" t="s">
        <v>44</v>
      </c>
      <c r="E465" t="s">
        <v>14</v>
      </c>
      <c r="F465" t="s">
        <v>26</v>
      </c>
      <c r="G465">
        <v>14</v>
      </c>
      <c r="H465">
        <v>28546</v>
      </c>
      <c r="I465">
        <v>399644</v>
      </c>
      <c r="J465" t="s">
        <v>36</v>
      </c>
    </row>
    <row r="466" spans="1:10" x14ac:dyDescent="0.25">
      <c r="A466" t="s">
        <v>145</v>
      </c>
      <c r="B466" t="s">
        <v>42</v>
      </c>
      <c r="C466" t="s">
        <v>12</v>
      </c>
      <c r="D466" t="s">
        <v>48</v>
      </c>
      <c r="E466" t="s">
        <v>25</v>
      </c>
      <c r="F466" t="s">
        <v>26</v>
      </c>
      <c r="G466">
        <v>3</v>
      </c>
      <c r="H466">
        <v>50742</v>
      </c>
      <c r="I466">
        <v>152226</v>
      </c>
      <c r="J466" t="s">
        <v>27</v>
      </c>
    </row>
    <row r="467" spans="1:10" x14ac:dyDescent="0.25">
      <c r="A467" t="s">
        <v>107</v>
      </c>
      <c r="B467" t="s">
        <v>42</v>
      </c>
      <c r="C467" t="s">
        <v>34</v>
      </c>
      <c r="D467" t="s">
        <v>24</v>
      </c>
      <c r="E467" t="s">
        <v>14</v>
      </c>
      <c r="F467" t="s">
        <v>26</v>
      </c>
      <c r="G467">
        <v>20</v>
      </c>
      <c r="H467">
        <v>34096</v>
      </c>
      <c r="I467">
        <v>681920</v>
      </c>
      <c r="J467" t="s">
        <v>36</v>
      </c>
    </row>
    <row r="468" spans="1:10" x14ac:dyDescent="0.25">
      <c r="A468" t="s">
        <v>65</v>
      </c>
      <c r="B468" t="s">
        <v>22</v>
      </c>
      <c r="C468" t="s">
        <v>34</v>
      </c>
      <c r="D468" t="s">
        <v>13</v>
      </c>
      <c r="E468" t="s">
        <v>35</v>
      </c>
      <c r="F468" t="s">
        <v>15</v>
      </c>
      <c r="G468">
        <v>16</v>
      </c>
      <c r="H468">
        <v>18379</v>
      </c>
      <c r="I468">
        <v>294064</v>
      </c>
      <c r="J468" t="s">
        <v>27</v>
      </c>
    </row>
    <row r="469" spans="1:10" x14ac:dyDescent="0.25">
      <c r="A469" t="s">
        <v>215</v>
      </c>
      <c r="B469" t="s">
        <v>11</v>
      </c>
      <c r="C469" t="s">
        <v>29</v>
      </c>
      <c r="D469" t="s">
        <v>48</v>
      </c>
      <c r="E469" t="s">
        <v>14</v>
      </c>
      <c r="F469" t="s">
        <v>26</v>
      </c>
      <c r="G469">
        <v>14</v>
      </c>
      <c r="H469">
        <v>44572</v>
      </c>
      <c r="I469">
        <v>624008</v>
      </c>
      <c r="J469" t="s">
        <v>16</v>
      </c>
    </row>
    <row r="470" spans="1:10" x14ac:dyDescent="0.25">
      <c r="A470" t="s">
        <v>311</v>
      </c>
      <c r="B470" t="s">
        <v>33</v>
      </c>
      <c r="C470" t="s">
        <v>34</v>
      </c>
      <c r="D470" t="s">
        <v>39</v>
      </c>
      <c r="E470" t="s">
        <v>14</v>
      </c>
      <c r="F470" t="s">
        <v>40</v>
      </c>
      <c r="G470">
        <v>13</v>
      </c>
      <c r="H470">
        <v>20708</v>
      </c>
      <c r="I470">
        <v>269204</v>
      </c>
      <c r="J470" t="s">
        <v>20</v>
      </c>
    </row>
    <row r="471" spans="1:10" x14ac:dyDescent="0.25">
      <c r="A471" t="s">
        <v>277</v>
      </c>
      <c r="B471" t="s">
        <v>11</v>
      </c>
      <c r="C471" t="s">
        <v>12</v>
      </c>
      <c r="D471" t="s">
        <v>13</v>
      </c>
      <c r="E471" t="s">
        <v>30</v>
      </c>
      <c r="F471" t="s">
        <v>26</v>
      </c>
      <c r="G471">
        <v>13</v>
      </c>
      <c r="H471">
        <v>51373</v>
      </c>
      <c r="I471">
        <v>667849</v>
      </c>
      <c r="J471" t="s">
        <v>16</v>
      </c>
    </row>
    <row r="472" spans="1:10" x14ac:dyDescent="0.25">
      <c r="A472" t="s">
        <v>312</v>
      </c>
      <c r="B472" t="s">
        <v>18</v>
      </c>
      <c r="C472" t="s">
        <v>38</v>
      </c>
      <c r="D472" t="s">
        <v>13</v>
      </c>
      <c r="E472" t="s">
        <v>35</v>
      </c>
      <c r="F472" t="s">
        <v>40</v>
      </c>
      <c r="G472">
        <v>14</v>
      </c>
      <c r="H472">
        <v>57450</v>
      </c>
      <c r="I472">
        <v>804300</v>
      </c>
      <c r="J472" t="s">
        <v>36</v>
      </c>
    </row>
    <row r="473" spans="1:10" x14ac:dyDescent="0.25">
      <c r="A473" t="s">
        <v>201</v>
      </c>
      <c r="B473" t="s">
        <v>33</v>
      </c>
      <c r="C473" t="s">
        <v>38</v>
      </c>
      <c r="D473" t="s">
        <v>48</v>
      </c>
      <c r="E473" t="s">
        <v>19</v>
      </c>
      <c r="F473" t="s">
        <v>26</v>
      </c>
      <c r="G473">
        <v>16</v>
      </c>
      <c r="H473">
        <v>33263</v>
      </c>
      <c r="I473">
        <v>532208</v>
      </c>
      <c r="J473" t="s">
        <v>27</v>
      </c>
    </row>
    <row r="474" spans="1:10" x14ac:dyDescent="0.25">
      <c r="A474" t="s">
        <v>59</v>
      </c>
      <c r="B474" t="s">
        <v>11</v>
      </c>
      <c r="C474" t="s">
        <v>38</v>
      </c>
      <c r="D474" t="s">
        <v>24</v>
      </c>
      <c r="E474" t="s">
        <v>35</v>
      </c>
      <c r="F474" t="s">
        <v>26</v>
      </c>
      <c r="G474">
        <v>6</v>
      </c>
      <c r="H474">
        <v>56806</v>
      </c>
      <c r="I474">
        <v>340836</v>
      </c>
      <c r="J474" t="s">
        <v>36</v>
      </c>
    </row>
    <row r="475" spans="1:10" x14ac:dyDescent="0.25">
      <c r="A475" t="s">
        <v>58</v>
      </c>
      <c r="B475" t="s">
        <v>33</v>
      </c>
      <c r="C475" t="s">
        <v>12</v>
      </c>
      <c r="D475" t="s">
        <v>44</v>
      </c>
      <c r="E475" t="s">
        <v>25</v>
      </c>
      <c r="F475" t="s">
        <v>26</v>
      </c>
      <c r="G475">
        <v>11</v>
      </c>
      <c r="H475">
        <v>42462</v>
      </c>
      <c r="I475">
        <v>467082</v>
      </c>
      <c r="J475" t="s">
        <v>36</v>
      </c>
    </row>
    <row r="476" spans="1:10" x14ac:dyDescent="0.25">
      <c r="A476" t="s">
        <v>52</v>
      </c>
      <c r="B476" t="s">
        <v>18</v>
      </c>
      <c r="C476" t="s">
        <v>34</v>
      </c>
      <c r="D476" t="s">
        <v>48</v>
      </c>
      <c r="E476" t="s">
        <v>35</v>
      </c>
      <c r="F476" t="s">
        <v>26</v>
      </c>
      <c r="G476">
        <v>18</v>
      </c>
      <c r="H476">
        <v>24226</v>
      </c>
      <c r="I476">
        <v>436068</v>
      </c>
      <c r="J476" t="s">
        <v>27</v>
      </c>
    </row>
    <row r="477" spans="1:10" x14ac:dyDescent="0.25">
      <c r="A477" t="s">
        <v>249</v>
      </c>
      <c r="B477" t="s">
        <v>22</v>
      </c>
      <c r="C477" t="s">
        <v>29</v>
      </c>
      <c r="D477" t="s">
        <v>13</v>
      </c>
      <c r="E477" t="s">
        <v>30</v>
      </c>
      <c r="F477" t="s">
        <v>40</v>
      </c>
      <c r="G477">
        <v>16</v>
      </c>
      <c r="H477">
        <v>36044</v>
      </c>
      <c r="I477">
        <v>576704</v>
      </c>
      <c r="J477" t="s">
        <v>20</v>
      </c>
    </row>
    <row r="478" spans="1:10" x14ac:dyDescent="0.25">
      <c r="A478" t="s">
        <v>220</v>
      </c>
      <c r="B478" t="s">
        <v>33</v>
      </c>
      <c r="C478" t="s">
        <v>23</v>
      </c>
      <c r="D478" t="s">
        <v>24</v>
      </c>
      <c r="E478" t="s">
        <v>19</v>
      </c>
      <c r="F478" t="s">
        <v>26</v>
      </c>
      <c r="G478">
        <v>8</v>
      </c>
      <c r="H478">
        <v>44790</v>
      </c>
      <c r="I478">
        <v>358320</v>
      </c>
      <c r="J478" t="s">
        <v>27</v>
      </c>
    </row>
    <row r="479" spans="1:10" x14ac:dyDescent="0.25">
      <c r="A479" t="s">
        <v>306</v>
      </c>
      <c r="B479" t="s">
        <v>22</v>
      </c>
      <c r="C479" t="s">
        <v>34</v>
      </c>
      <c r="D479" t="s">
        <v>24</v>
      </c>
      <c r="E479" t="s">
        <v>25</v>
      </c>
      <c r="F479" t="s">
        <v>40</v>
      </c>
      <c r="G479">
        <v>9</v>
      </c>
      <c r="H479">
        <v>58463</v>
      </c>
      <c r="I479">
        <v>526167</v>
      </c>
      <c r="J479" t="s">
        <v>16</v>
      </c>
    </row>
    <row r="480" spans="1:10" x14ac:dyDescent="0.25">
      <c r="A480" t="s">
        <v>310</v>
      </c>
      <c r="B480" t="s">
        <v>18</v>
      </c>
      <c r="C480" t="s">
        <v>34</v>
      </c>
      <c r="D480" t="s">
        <v>39</v>
      </c>
      <c r="E480" t="s">
        <v>25</v>
      </c>
      <c r="F480" t="s">
        <v>26</v>
      </c>
      <c r="G480">
        <v>16</v>
      </c>
      <c r="H480">
        <v>40127</v>
      </c>
      <c r="I480">
        <v>642032</v>
      </c>
      <c r="J480" t="s">
        <v>27</v>
      </c>
    </row>
    <row r="481" spans="1:10" x14ac:dyDescent="0.25">
      <c r="A481" t="s">
        <v>47</v>
      </c>
      <c r="B481" t="s">
        <v>33</v>
      </c>
      <c r="C481" t="s">
        <v>29</v>
      </c>
      <c r="D481" t="s">
        <v>48</v>
      </c>
      <c r="E481" t="s">
        <v>30</v>
      </c>
      <c r="F481" t="s">
        <v>26</v>
      </c>
      <c r="G481">
        <v>5</v>
      </c>
      <c r="H481">
        <v>48006</v>
      </c>
      <c r="I481">
        <v>240030</v>
      </c>
      <c r="J481" t="s">
        <v>27</v>
      </c>
    </row>
    <row r="482" spans="1:10" x14ac:dyDescent="0.25">
      <c r="A482" t="s">
        <v>71</v>
      </c>
      <c r="B482" t="s">
        <v>42</v>
      </c>
      <c r="C482" t="s">
        <v>29</v>
      </c>
      <c r="D482" t="s">
        <v>24</v>
      </c>
      <c r="E482" t="s">
        <v>19</v>
      </c>
      <c r="F482" t="s">
        <v>26</v>
      </c>
      <c r="G482">
        <v>6</v>
      </c>
      <c r="H482">
        <v>58816</v>
      </c>
      <c r="I482">
        <v>352896</v>
      </c>
      <c r="J482" t="s">
        <v>36</v>
      </c>
    </row>
    <row r="483" spans="1:10" x14ac:dyDescent="0.25">
      <c r="A483" t="s">
        <v>97</v>
      </c>
      <c r="B483" t="s">
        <v>42</v>
      </c>
      <c r="C483" t="s">
        <v>38</v>
      </c>
      <c r="D483" t="s">
        <v>24</v>
      </c>
      <c r="E483" t="s">
        <v>30</v>
      </c>
      <c r="F483" t="s">
        <v>40</v>
      </c>
      <c r="G483">
        <v>19</v>
      </c>
      <c r="H483">
        <v>25707</v>
      </c>
      <c r="I483">
        <v>488433</v>
      </c>
      <c r="J483" t="s">
        <v>27</v>
      </c>
    </row>
    <row r="484" spans="1:10" x14ac:dyDescent="0.25">
      <c r="A484" t="s">
        <v>301</v>
      </c>
      <c r="B484" t="s">
        <v>11</v>
      </c>
      <c r="C484" t="s">
        <v>29</v>
      </c>
      <c r="D484" t="s">
        <v>39</v>
      </c>
      <c r="E484" t="s">
        <v>25</v>
      </c>
      <c r="F484" t="s">
        <v>26</v>
      </c>
      <c r="G484">
        <v>13</v>
      </c>
      <c r="H484">
        <v>46495</v>
      </c>
      <c r="I484">
        <v>604435</v>
      </c>
      <c r="J484" t="s">
        <v>36</v>
      </c>
    </row>
    <row r="485" spans="1:10" x14ac:dyDescent="0.25">
      <c r="A485" t="s">
        <v>286</v>
      </c>
      <c r="B485" t="s">
        <v>18</v>
      </c>
      <c r="C485" t="s">
        <v>29</v>
      </c>
      <c r="D485" t="s">
        <v>13</v>
      </c>
      <c r="E485" t="s">
        <v>25</v>
      </c>
      <c r="F485" t="s">
        <v>15</v>
      </c>
      <c r="G485">
        <v>16</v>
      </c>
      <c r="H485">
        <v>38002</v>
      </c>
      <c r="I485">
        <v>608032</v>
      </c>
      <c r="J485" t="s">
        <v>27</v>
      </c>
    </row>
    <row r="486" spans="1:10" x14ac:dyDescent="0.25">
      <c r="A486" t="s">
        <v>277</v>
      </c>
      <c r="B486" t="s">
        <v>22</v>
      </c>
      <c r="C486" t="s">
        <v>12</v>
      </c>
      <c r="D486" t="s">
        <v>24</v>
      </c>
      <c r="E486" t="s">
        <v>25</v>
      </c>
      <c r="F486" t="s">
        <v>26</v>
      </c>
      <c r="G486">
        <v>5</v>
      </c>
      <c r="H486">
        <v>46230</v>
      </c>
      <c r="I486">
        <v>231150</v>
      </c>
      <c r="J486" t="s">
        <v>20</v>
      </c>
    </row>
    <row r="487" spans="1:10" x14ac:dyDescent="0.25">
      <c r="A487" t="s">
        <v>149</v>
      </c>
      <c r="B487" t="s">
        <v>22</v>
      </c>
      <c r="C487" t="s">
        <v>12</v>
      </c>
      <c r="D487" t="s">
        <v>44</v>
      </c>
      <c r="E487" t="s">
        <v>25</v>
      </c>
      <c r="F487" t="s">
        <v>26</v>
      </c>
      <c r="G487">
        <v>19</v>
      </c>
      <c r="H487">
        <v>33229</v>
      </c>
      <c r="I487">
        <v>631351</v>
      </c>
      <c r="J487" t="s">
        <v>36</v>
      </c>
    </row>
    <row r="488" spans="1:10" x14ac:dyDescent="0.25">
      <c r="A488" t="s">
        <v>180</v>
      </c>
      <c r="B488" t="s">
        <v>22</v>
      </c>
      <c r="C488" t="s">
        <v>23</v>
      </c>
      <c r="D488" t="s">
        <v>24</v>
      </c>
      <c r="E488" t="s">
        <v>35</v>
      </c>
      <c r="F488" t="s">
        <v>15</v>
      </c>
      <c r="G488">
        <v>3</v>
      </c>
      <c r="H488">
        <v>22046</v>
      </c>
      <c r="I488">
        <v>66138</v>
      </c>
      <c r="J488" t="s">
        <v>27</v>
      </c>
    </row>
    <row r="489" spans="1:10" x14ac:dyDescent="0.25">
      <c r="A489" t="s">
        <v>109</v>
      </c>
      <c r="B489" t="s">
        <v>18</v>
      </c>
      <c r="C489" t="s">
        <v>23</v>
      </c>
      <c r="D489" t="s">
        <v>44</v>
      </c>
      <c r="E489" t="s">
        <v>25</v>
      </c>
      <c r="F489" t="s">
        <v>40</v>
      </c>
      <c r="G489">
        <v>16</v>
      </c>
      <c r="H489">
        <v>47044</v>
      </c>
      <c r="I489">
        <v>752704</v>
      </c>
      <c r="J489" t="s">
        <v>20</v>
      </c>
    </row>
    <row r="490" spans="1:10" x14ac:dyDescent="0.25">
      <c r="A490" t="s">
        <v>209</v>
      </c>
      <c r="B490" t="s">
        <v>33</v>
      </c>
      <c r="C490" t="s">
        <v>34</v>
      </c>
      <c r="D490" t="s">
        <v>44</v>
      </c>
      <c r="E490" t="s">
        <v>14</v>
      </c>
      <c r="F490" t="s">
        <v>40</v>
      </c>
      <c r="G490">
        <v>13</v>
      </c>
      <c r="H490">
        <v>53919</v>
      </c>
      <c r="I490">
        <v>700947</v>
      </c>
      <c r="J490" t="s">
        <v>16</v>
      </c>
    </row>
    <row r="491" spans="1:10" x14ac:dyDescent="0.25">
      <c r="A491" t="s">
        <v>313</v>
      </c>
      <c r="B491" t="s">
        <v>11</v>
      </c>
      <c r="C491" t="s">
        <v>34</v>
      </c>
      <c r="D491" t="s">
        <v>44</v>
      </c>
      <c r="E491" t="s">
        <v>25</v>
      </c>
      <c r="F491" t="s">
        <v>15</v>
      </c>
      <c r="G491">
        <v>20</v>
      </c>
      <c r="H491">
        <v>52298</v>
      </c>
      <c r="I491">
        <v>1045960</v>
      </c>
      <c r="J491" t="s">
        <v>20</v>
      </c>
    </row>
    <row r="492" spans="1:10" x14ac:dyDescent="0.25">
      <c r="A492" t="s">
        <v>168</v>
      </c>
      <c r="B492" t="s">
        <v>18</v>
      </c>
      <c r="C492" t="s">
        <v>12</v>
      </c>
      <c r="D492" t="s">
        <v>48</v>
      </c>
      <c r="E492" t="s">
        <v>19</v>
      </c>
      <c r="F492" t="s">
        <v>15</v>
      </c>
      <c r="G492">
        <v>5</v>
      </c>
      <c r="H492">
        <v>17300</v>
      </c>
      <c r="I492">
        <v>86500</v>
      </c>
      <c r="J492" t="s">
        <v>20</v>
      </c>
    </row>
    <row r="493" spans="1:10" x14ac:dyDescent="0.25">
      <c r="A493" t="s">
        <v>64</v>
      </c>
      <c r="B493" t="s">
        <v>11</v>
      </c>
      <c r="C493" t="s">
        <v>12</v>
      </c>
      <c r="D493" t="s">
        <v>48</v>
      </c>
      <c r="E493" t="s">
        <v>14</v>
      </c>
      <c r="F493" t="s">
        <v>26</v>
      </c>
      <c r="G493">
        <v>20</v>
      </c>
      <c r="H493">
        <v>44833</v>
      </c>
      <c r="I493">
        <v>896660</v>
      </c>
      <c r="J493" t="s">
        <v>16</v>
      </c>
    </row>
    <row r="494" spans="1:10" x14ac:dyDescent="0.25">
      <c r="A494" t="s">
        <v>41</v>
      </c>
      <c r="B494" t="s">
        <v>18</v>
      </c>
      <c r="C494" t="s">
        <v>34</v>
      </c>
      <c r="D494" t="s">
        <v>13</v>
      </c>
      <c r="E494" t="s">
        <v>35</v>
      </c>
      <c r="F494" t="s">
        <v>40</v>
      </c>
      <c r="G494">
        <v>20</v>
      </c>
      <c r="H494">
        <v>22560</v>
      </c>
      <c r="I494">
        <v>451200</v>
      </c>
      <c r="J494" t="s">
        <v>16</v>
      </c>
    </row>
    <row r="495" spans="1:10" x14ac:dyDescent="0.25">
      <c r="A495" t="s">
        <v>276</v>
      </c>
      <c r="B495" t="s">
        <v>22</v>
      </c>
      <c r="C495" t="s">
        <v>12</v>
      </c>
      <c r="D495" t="s">
        <v>48</v>
      </c>
      <c r="E495" t="s">
        <v>25</v>
      </c>
      <c r="F495" t="s">
        <v>15</v>
      </c>
      <c r="G495">
        <v>3</v>
      </c>
      <c r="H495">
        <v>27104</v>
      </c>
      <c r="I495">
        <v>81312</v>
      </c>
      <c r="J495" t="s">
        <v>36</v>
      </c>
    </row>
    <row r="496" spans="1:10" x14ac:dyDescent="0.25">
      <c r="A496" t="s">
        <v>74</v>
      </c>
      <c r="B496" t="s">
        <v>22</v>
      </c>
      <c r="C496" t="s">
        <v>29</v>
      </c>
      <c r="D496" t="s">
        <v>39</v>
      </c>
      <c r="E496" t="s">
        <v>30</v>
      </c>
      <c r="F496" t="s">
        <v>26</v>
      </c>
      <c r="G496">
        <v>3</v>
      </c>
      <c r="H496">
        <v>54840</v>
      </c>
      <c r="I496">
        <v>164520</v>
      </c>
      <c r="J496" t="s">
        <v>36</v>
      </c>
    </row>
    <row r="497" spans="1:10" x14ac:dyDescent="0.25">
      <c r="A497" t="s">
        <v>61</v>
      </c>
      <c r="B497" t="s">
        <v>33</v>
      </c>
      <c r="C497" t="s">
        <v>34</v>
      </c>
      <c r="D497" t="s">
        <v>39</v>
      </c>
      <c r="E497" t="s">
        <v>19</v>
      </c>
      <c r="F497" t="s">
        <v>15</v>
      </c>
      <c r="G497">
        <v>1</v>
      </c>
      <c r="H497">
        <v>40372</v>
      </c>
      <c r="I497">
        <v>40372</v>
      </c>
      <c r="J497" t="s">
        <v>20</v>
      </c>
    </row>
    <row r="498" spans="1:10" x14ac:dyDescent="0.25">
      <c r="A498" t="s">
        <v>73</v>
      </c>
      <c r="B498" t="s">
        <v>33</v>
      </c>
      <c r="C498" t="s">
        <v>12</v>
      </c>
      <c r="D498" t="s">
        <v>39</v>
      </c>
      <c r="E498" t="s">
        <v>35</v>
      </c>
      <c r="F498" t="s">
        <v>40</v>
      </c>
      <c r="G498">
        <v>11</v>
      </c>
      <c r="H498">
        <v>28339</v>
      </c>
      <c r="I498">
        <v>311729</v>
      </c>
      <c r="J498" t="s">
        <v>27</v>
      </c>
    </row>
    <row r="499" spans="1:10" x14ac:dyDescent="0.25">
      <c r="A499" t="s">
        <v>314</v>
      </c>
      <c r="B499" t="s">
        <v>11</v>
      </c>
      <c r="C499" t="s">
        <v>34</v>
      </c>
      <c r="D499" t="s">
        <v>48</v>
      </c>
      <c r="E499" t="s">
        <v>35</v>
      </c>
      <c r="F499" t="s">
        <v>15</v>
      </c>
      <c r="G499">
        <v>13</v>
      </c>
      <c r="H499">
        <v>50717</v>
      </c>
      <c r="I499">
        <v>659321</v>
      </c>
      <c r="J499" t="s">
        <v>27</v>
      </c>
    </row>
    <row r="500" spans="1:10" x14ac:dyDescent="0.25">
      <c r="A500" t="s">
        <v>315</v>
      </c>
      <c r="B500" t="s">
        <v>42</v>
      </c>
      <c r="C500" t="s">
        <v>38</v>
      </c>
      <c r="D500" t="s">
        <v>48</v>
      </c>
      <c r="E500" t="s">
        <v>30</v>
      </c>
      <c r="F500" t="s">
        <v>15</v>
      </c>
      <c r="G500">
        <v>13</v>
      </c>
      <c r="H500">
        <v>19254</v>
      </c>
      <c r="I500">
        <v>250302</v>
      </c>
      <c r="J500" t="s">
        <v>36</v>
      </c>
    </row>
    <row r="501" spans="1:10" x14ac:dyDescent="0.25">
      <c r="A501" t="s">
        <v>181</v>
      </c>
      <c r="B501" t="s">
        <v>33</v>
      </c>
      <c r="C501" t="s">
        <v>23</v>
      </c>
      <c r="D501" t="s">
        <v>39</v>
      </c>
      <c r="E501" t="s">
        <v>35</v>
      </c>
      <c r="F501" t="s">
        <v>40</v>
      </c>
      <c r="G501">
        <v>3</v>
      </c>
      <c r="H501">
        <v>46285</v>
      </c>
      <c r="I501">
        <v>138855</v>
      </c>
      <c r="J501" t="s">
        <v>36</v>
      </c>
    </row>
    <row r="502" spans="1:10" x14ac:dyDescent="0.25">
      <c r="A502" t="s">
        <v>279</v>
      </c>
      <c r="B502" t="s">
        <v>11</v>
      </c>
      <c r="C502" t="s">
        <v>38</v>
      </c>
      <c r="D502" t="s">
        <v>13</v>
      </c>
      <c r="E502" t="s">
        <v>19</v>
      </c>
      <c r="F502" t="s">
        <v>26</v>
      </c>
      <c r="G502">
        <v>16</v>
      </c>
      <c r="H502">
        <v>23169</v>
      </c>
      <c r="I502">
        <v>370704</v>
      </c>
      <c r="J502" t="s">
        <v>20</v>
      </c>
    </row>
    <row r="503" spans="1:10" x14ac:dyDescent="0.25">
      <c r="A503" t="s">
        <v>171</v>
      </c>
      <c r="B503" t="s">
        <v>18</v>
      </c>
      <c r="C503" t="s">
        <v>34</v>
      </c>
      <c r="D503" t="s">
        <v>13</v>
      </c>
      <c r="E503" t="s">
        <v>19</v>
      </c>
      <c r="F503" t="s">
        <v>15</v>
      </c>
      <c r="G503">
        <v>12</v>
      </c>
      <c r="H503">
        <v>28788</v>
      </c>
      <c r="I503">
        <v>345456</v>
      </c>
      <c r="J503" t="s">
        <v>36</v>
      </c>
    </row>
    <row r="504" spans="1:10" x14ac:dyDescent="0.25">
      <c r="A504" t="s">
        <v>279</v>
      </c>
      <c r="B504" t="s">
        <v>33</v>
      </c>
      <c r="C504" t="s">
        <v>12</v>
      </c>
      <c r="D504" t="s">
        <v>48</v>
      </c>
      <c r="E504" t="s">
        <v>14</v>
      </c>
      <c r="F504" t="s">
        <v>40</v>
      </c>
      <c r="G504">
        <v>8</v>
      </c>
      <c r="H504">
        <v>27423</v>
      </c>
      <c r="I504">
        <v>219384</v>
      </c>
      <c r="J504" t="s">
        <v>27</v>
      </c>
    </row>
    <row r="505" spans="1:10" x14ac:dyDescent="0.25">
      <c r="A505" t="s">
        <v>99</v>
      </c>
      <c r="B505" t="s">
        <v>11</v>
      </c>
      <c r="C505" t="s">
        <v>38</v>
      </c>
      <c r="D505" t="s">
        <v>39</v>
      </c>
      <c r="E505" t="s">
        <v>14</v>
      </c>
      <c r="F505" t="s">
        <v>26</v>
      </c>
      <c r="G505">
        <v>4</v>
      </c>
      <c r="H505">
        <v>47200</v>
      </c>
      <c r="I505">
        <v>188800</v>
      </c>
      <c r="J505" t="s">
        <v>27</v>
      </c>
    </row>
    <row r="506" spans="1:10" x14ac:dyDescent="0.25">
      <c r="A506" t="s">
        <v>158</v>
      </c>
      <c r="B506" t="s">
        <v>42</v>
      </c>
      <c r="C506" t="s">
        <v>34</v>
      </c>
      <c r="D506" t="s">
        <v>44</v>
      </c>
      <c r="E506" t="s">
        <v>14</v>
      </c>
      <c r="F506" t="s">
        <v>40</v>
      </c>
      <c r="G506">
        <v>18</v>
      </c>
      <c r="H506">
        <v>21197</v>
      </c>
      <c r="I506">
        <v>381546</v>
      </c>
      <c r="J506" t="s">
        <v>27</v>
      </c>
    </row>
    <row r="507" spans="1:10" x14ac:dyDescent="0.25">
      <c r="A507" t="s">
        <v>50</v>
      </c>
      <c r="B507" t="s">
        <v>42</v>
      </c>
      <c r="C507" t="s">
        <v>29</v>
      </c>
      <c r="D507" t="s">
        <v>13</v>
      </c>
      <c r="E507" t="s">
        <v>19</v>
      </c>
      <c r="F507" t="s">
        <v>40</v>
      </c>
      <c r="G507">
        <v>8</v>
      </c>
      <c r="H507">
        <v>19579</v>
      </c>
      <c r="I507">
        <v>156632</v>
      </c>
      <c r="J507" t="s">
        <v>16</v>
      </c>
    </row>
    <row r="508" spans="1:10" x14ac:dyDescent="0.25">
      <c r="A508" t="s">
        <v>207</v>
      </c>
      <c r="B508" t="s">
        <v>22</v>
      </c>
      <c r="C508" t="s">
        <v>12</v>
      </c>
      <c r="D508" t="s">
        <v>39</v>
      </c>
      <c r="E508" t="s">
        <v>19</v>
      </c>
      <c r="F508" t="s">
        <v>26</v>
      </c>
      <c r="G508">
        <v>16</v>
      </c>
      <c r="H508">
        <v>55856</v>
      </c>
      <c r="I508">
        <v>893696</v>
      </c>
      <c r="J508" t="s">
        <v>20</v>
      </c>
    </row>
    <row r="509" spans="1:10" x14ac:dyDescent="0.25">
      <c r="A509" t="s">
        <v>90</v>
      </c>
      <c r="B509" t="s">
        <v>18</v>
      </c>
      <c r="C509" t="s">
        <v>29</v>
      </c>
      <c r="D509" t="s">
        <v>44</v>
      </c>
      <c r="E509" t="s">
        <v>25</v>
      </c>
      <c r="F509" t="s">
        <v>26</v>
      </c>
      <c r="G509">
        <v>18</v>
      </c>
      <c r="H509">
        <v>16509</v>
      </c>
      <c r="I509">
        <v>297162</v>
      </c>
      <c r="J509" t="s">
        <v>36</v>
      </c>
    </row>
    <row r="510" spans="1:10" x14ac:dyDescent="0.25">
      <c r="A510" t="s">
        <v>122</v>
      </c>
      <c r="B510" t="s">
        <v>22</v>
      </c>
      <c r="C510" t="s">
        <v>12</v>
      </c>
      <c r="D510" t="s">
        <v>39</v>
      </c>
      <c r="E510" t="s">
        <v>35</v>
      </c>
      <c r="F510" t="s">
        <v>40</v>
      </c>
      <c r="G510">
        <v>13</v>
      </c>
      <c r="H510">
        <v>17710</v>
      </c>
      <c r="I510">
        <v>230230</v>
      </c>
      <c r="J510" t="s">
        <v>27</v>
      </c>
    </row>
    <row r="511" spans="1:10" x14ac:dyDescent="0.25">
      <c r="A511" t="s">
        <v>316</v>
      </c>
      <c r="B511" t="s">
        <v>11</v>
      </c>
      <c r="C511" t="s">
        <v>29</v>
      </c>
      <c r="D511" t="s">
        <v>48</v>
      </c>
      <c r="E511" t="s">
        <v>35</v>
      </c>
      <c r="F511" t="s">
        <v>15</v>
      </c>
      <c r="G511">
        <v>7</v>
      </c>
      <c r="H511">
        <v>16119</v>
      </c>
      <c r="I511">
        <v>112833</v>
      </c>
      <c r="J511" t="s">
        <v>27</v>
      </c>
    </row>
    <row r="512" spans="1:10" x14ac:dyDescent="0.25">
      <c r="A512" t="s">
        <v>317</v>
      </c>
      <c r="B512" t="s">
        <v>22</v>
      </c>
      <c r="C512" t="s">
        <v>38</v>
      </c>
      <c r="D512" t="s">
        <v>48</v>
      </c>
      <c r="E512" t="s">
        <v>19</v>
      </c>
      <c r="F512" t="s">
        <v>40</v>
      </c>
      <c r="G512">
        <v>1</v>
      </c>
      <c r="H512">
        <v>56833</v>
      </c>
      <c r="I512">
        <v>56833</v>
      </c>
      <c r="J512" t="s">
        <v>20</v>
      </c>
    </row>
    <row r="513" spans="1:10" x14ac:dyDescent="0.25">
      <c r="A513" t="s">
        <v>46</v>
      </c>
      <c r="B513" t="s">
        <v>42</v>
      </c>
      <c r="C513" t="s">
        <v>38</v>
      </c>
      <c r="D513" t="s">
        <v>24</v>
      </c>
      <c r="E513" t="s">
        <v>25</v>
      </c>
      <c r="F513" t="s">
        <v>26</v>
      </c>
      <c r="G513">
        <v>14</v>
      </c>
      <c r="H513">
        <v>21052</v>
      </c>
      <c r="I513">
        <v>294728</v>
      </c>
      <c r="J513" t="s">
        <v>16</v>
      </c>
    </row>
    <row r="514" spans="1:10" x14ac:dyDescent="0.25">
      <c r="A514" t="s">
        <v>140</v>
      </c>
      <c r="B514" t="s">
        <v>33</v>
      </c>
      <c r="C514" t="s">
        <v>12</v>
      </c>
      <c r="D514" t="s">
        <v>48</v>
      </c>
      <c r="E514" t="s">
        <v>14</v>
      </c>
      <c r="F514" t="s">
        <v>40</v>
      </c>
      <c r="G514">
        <v>19</v>
      </c>
      <c r="H514">
        <v>17604</v>
      </c>
      <c r="I514">
        <v>334476</v>
      </c>
      <c r="J514" t="s">
        <v>20</v>
      </c>
    </row>
    <row r="515" spans="1:10" x14ac:dyDescent="0.25">
      <c r="A515" t="s">
        <v>132</v>
      </c>
      <c r="B515" t="s">
        <v>33</v>
      </c>
      <c r="C515" t="s">
        <v>23</v>
      </c>
      <c r="D515" t="s">
        <v>13</v>
      </c>
      <c r="E515" t="s">
        <v>35</v>
      </c>
      <c r="F515" t="s">
        <v>15</v>
      </c>
      <c r="G515">
        <v>9</v>
      </c>
      <c r="H515">
        <v>49499</v>
      </c>
      <c r="I515">
        <v>445491</v>
      </c>
      <c r="J515" t="s">
        <v>36</v>
      </c>
    </row>
    <row r="516" spans="1:10" x14ac:dyDescent="0.25">
      <c r="A516" t="s">
        <v>95</v>
      </c>
      <c r="B516" t="s">
        <v>22</v>
      </c>
      <c r="C516" t="s">
        <v>23</v>
      </c>
      <c r="D516" t="s">
        <v>39</v>
      </c>
      <c r="E516" t="s">
        <v>25</v>
      </c>
      <c r="F516" t="s">
        <v>40</v>
      </c>
      <c r="G516">
        <v>13</v>
      </c>
      <c r="H516">
        <v>58644</v>
      </c>
      <c r="I516">
        <v>762372</v>
      </c>
      <c r="J516" t="s">
        <v>20</v>
      </c>
    </row>
    <row r="517" spans="1:10" x14ac:dyDescent="0.25">
      <c r="A517" t="s">
        <v>74</v>
      </c>
      <c r="B517" t="s">
        <v>18</v>
      </c>
      <c r="C517" t="s">
        <v>23</v>
      </c>
      <c r="D517" t="s">
        <v>13</v>
      </c>
      <c r="E517" t="s">
        <v>25</v>
      </c>
      <c r="F517" t="s">
        <v>15</v>
      </c>
      <c r="G517">
        <v>16</v>
      </c>
      <c r="H517">
        <v>40876</v>
      </c>
      <c r="I517">
        <v>654016</v>
      </c>
      <c r="J517" t="s">
        <v>16</v>
      </c>
    </row>
    <row r="518" spans="1:10" x14ac:dyDescent="0.25">
      <c r="A518" t="s">
        <v>257</v>
      </c>
      <c r="B518" t="s">
        <v>42</v>
      </c>
      <c r="C518" t="s">
        <v>12</v>
      </c>
      <c r="D518" t="s">
        <v>24</v>
      </c>
      <c r="E518" t="s">
        <v>30</v>
      </c>
      <c r="F518" t="s">
        <v>26</v>
      </c>
      <c r="G518">
        <v>11</v>
      </c>
      <c r="H518">
        <v>53883</v>
      </c>
      <c r="I518">
        <v>592713</v>
      </c>
      <c r="J518" t="s">
        <v>20</v>
      </c>
    </row>
    <row r="519" spans="1:10" x14ac:dyDescent="0.25">
      <c r="A519" t="s">
        <v>257</v>
      </c>
      <c r="B519" t="s">
        <v>22</v>
      </c>
      <c r="C519" t="s">
        <v>12</v>
      </c>
      <c r="D519" t="s">
        <v>13</v>
      </c>
      <c r="E519" t="s">
        <v>25</v>
      </c>
      <c r="F519" t="s">
        <v>26</v>
      </c>
      <c r="G519">
        <v>16</v>
      </c>
      <c r="H519">
        <v>46338</v>
      </c>
      <c r="I519">
        <v>741408</v>
      </c>
      <c r="J519" t="s">
        <v>36</v>
      </c>
    </row>
    <row r="520" spans="1:10" x14ac:dyDescent="0.25">
      <c r="A520" t="s">
        <v>318</v>
      </c>
      <c r="B520" t="s">
        <v>11</v>
      </c>
      <c r="C520" t="s">
        <v>23</v>
      </c>
      <c r="D520" t="s">
        <v>44</v>
      </c>
      <c r="E520" t="s">
        <v>14</v>
      </c>
      <c r="F520" t="s">
        <v>15</v>
      </c>
      <c r="G520">
        <v>15</v>
      </c>
      <c r="H520">
        <v>46347</v>
      </c>
      <c r="I520">
        <v>695205</v>
      </c>
      <c r="J520" t="s">
        <v>20</v>
      </c>
    </row>
    <row r="521" spans="1:10" x14ac:dyDescent="0.25">
      <c r="A521" t="s">
        <v>176</v>
      </c>
      <c r="B521" t="s">
        <v>42</v>
      </c>
      <c r="C521" t="s">
        <v>12</v>
      </c>
      <c r="D521" t="s">
        <v>24</v>
      </c>
      <c r="E521" t="s">
        <v>25</v>
      </c>
      <c r="F521" t="s">
        <v>40</v>
      </c>
      <c r="G521">
        <v>11</v>
      </c>
      <c r="H521">
        <v>20997</v>
      </c>
      <c r="I521">
        <v>230967</v>
      </c>
      <c r="J521" t="s">
        <v>16</v>
      </c>
    </row>
    <row r="522" spans="1:10" x14ac:dyDescent="0.25">
      <c r="A522" t="s">
        <v>135</v>
      </c>
      <c r="B522" t="s">
        <v>33</v>
      </c>
      <c r="C522" t="s">
        <v>34</v>
      </c>
      <c r="D522" t="s">
        <v>39</v>
      </c>
      <c r="E522" t="s">
        <v>35</v>
      </c>
      <c r="F522" t="s">
        <v>26</v>
      </c>
      <c r="G522">
        <v>16</v>
      </c>
      <c r="H522">
        <v>22204</v>
      </c>
      <c r="I522">
        <v>355264</v>
      </c>
      <c r="J522" t="s">
        <v>27</v>
      </c>
    </row>
    <row r="523" spans="1:10" x14ac:dyDescent="0.25">
      <c r="A523" t="s">
        <v>53</v>
      </c>
      <c r="B523" t="s">
        <v>22</v>
      </c>
      <c r="C523" t="s">
        <v>29</v>
      </c>
      <c r="D523" t="s">
        <v>13</v>
      </c>
      <c r="E523" t="s">
        <v>14</v>
      </c>
      <c r="F523" t="s">
        <v>26</v>
      </c>
      <c r="G523">
        <v>5</v>
      </c>
      <c r="H523">
        <v>52688</v>
      </c>
      <c r="I523">
        <v>263440</v>
      </c>
      <c r="J523" t="s">
        <v>20</v>
      </c>
    </row>
    <row r="524" spans="1:10" x14ac:dyDescent="0.25">
      <c r="A524" t="s">
        <v>258</v>
      </c>
      <c r="B524" t="s">
        <v>42</v>
      </c>
      <c r="C524" t="s">
        <v>23</v>
      </c>
      <c r="D524" t="s">
        <v>24</v>
      </c>
      <c r="E524" t="s">
        <v>19</v>
      </c>
      <c r="F524" t="s">
        <v>26</v>
      </c>
      <c r="G524">
        <v>12</v>
      </c>
      <c r="H524">
        <v>37935</v>
      </c>
      <c r="I524">
        <v>455220</v>
      </c>
      <c r="J524" t="s">
        <v>20</v>
      </c>
    </row>
    <row r="525" spans="1:10" x14ac:dyDescent="0.25">
      <c r="A525" t="s">
        <v>104</v>
      </c>
      <c r="B525" t="s">
        <v>18</v>
      </c>
      <c r="C525" t="s">
        <v>12</v>
      </c>
      <c r="D525" t="s">
        <v>13</v>
      </c>
      <c r="E525" t="s">
        <v>25</v>
      </c>
      <c r="F525" t="s">
        <v>15</v>
      </c>
      <c r="G525">
        <v>18</v>
      </c>
      <c r="H525">
        <v>46603</v>
      </c>
      <c r="I525">
        <v>838854</v>
      </c>
      <c r="J525" t="s">
        <v>36</v>
      </c>
    </row>
    <row r="526" spans="1:10" x14ac:dyDescent="0.25">
      <c r="A526" t="s">
        <v>289</v>
      </c>
      <c r="B526" t="s">
        <v>11</v>
      </c>
      <c r="C526" t="s">
        <v>12</v>
      </c>
      <c r="D526" t="s">
        <v>24</v>
      </c>
      <c r="E526" t="s">
        <v>35</v>
      </c>
      <c r="F526" t="s">
        <v>40</v>
      </c>
      <c r="G526">
        <v>9</v>
      </c>
      <c r="H526">
        <v>41242</v>
      </c>
      <c r="I526">
        <v>371178</v>
      </c>
      <c r="J526" t="s">
        <v>16</v>
      </c>
    </row>
    <row r="527" spans="1:10" x14ac:dyDescent="0.25">
      <c r="A527" t="s">
        <v>132</v>
      </c>
      <c r="B527" t="s">
        <v>22</v>
      </c>
      <c r="C527" t="s">
        <v>29</v>
      </c>
      <c r="D527" t="s">
        <v>44</v>
      </c>
      <c r="E527" t="s">
        <v>25</v>
      </c>
      <c r="F527" t="s">
        <v>26</v>
      </c>
      <c r="G527">
        <v>13</v>
      </c>
      <c r="H527">
        <v>37112</v>
      </c>
      <c r="I527">
        <v>482456</v>
      </c>
      <c r="J527" t="s">
        <v>16</v>
      </c>
    </row>
    <row r="528" spans="1:10" x14ac:dyDescent="0.25">
      <c r="A528" t="s">
        <v>190</v>
      </c>
      <c r="B528" t="s">
        <v>33</v>
      </c>
      <c r="C528" t="s">
        <v>23</v>
      </c>
      <c r="D528" t="s">
        <v>13</v>
      </c>
      <c r="E528" t="s">
        <v>19</v>
      </c>
      <c r="F528" t="s">
        <v>26</v>
      </c>
      <c r="G528">
        <v>13</v>
      </c>
      <c r="H528">
        <v>36883</v>
      </c>
      <c r="I528">
        <v>479479</v>
      </c>
      <c r="J528" t="s">
        <v>20</v>
      </c>
    </row>
    <row r="529" spans="1:10" x14ac:dyDescent="0.25">
      <c r="A529" t="s">
        <v>319</v>
      </c>
      <c r="B529" t="s">
        <v>42</v>
      </c>
      <c r="C529" t="s">
        <v>29</v>
      </c>
      <c r="D529" t="s">
        <v>13</v>
      </c>
      <c r="E529" t="s">
        <v>25</v>
      </c>
      <c r="F529" t="s">
        <v>26</v>
      </c>
      <c r="G529">
        <v>6</v>
      </c>
      <c r="H529">
        <v>16207</v>
      </c>
      <c r="I529">
        <v>97242</v>
      </c>
      <c r="J529" t="s">
        <v>36</v>
      </c>
    </row>
    <row r="530" spans="1:10" x14ac:dyDescent="0.25">
      <c r="A530" t="s">
        <v>278</v>
      </c>
      <c r="B530" t="s">
        <v>18</v>
      </c>
      <c r="C530" t="s">
        <v>29</v>
      </c>
      <c r="D530" t="s">
        <v>39</v>
      </c>
      <c r="E530" t="s">
        <v>35</v>
      </c>
      <c r="F530" t="s">
        <v>26</v>
      </c>
      <c r="G530">
        <v>10</v>
      </c>
      <c r="H530">
        <v>57164</v>
      </c>
      <c r="I530">
        <v>571640</v>
      </c>
      <c r="J530" t="s">
        <v>16</v>
      </c>
    </row>
    <row r="531" spans="1:10" x14ac:dyDescent="0.25">
      <c r="A531" t="s">
        <v>163</v>
      </c>
      <c r="B531" t="s">
        <v>42</v>
      </c>
      <c r="C531" t="s">
        <v>29</v>
      </c>
      <c r="D531" t="s">
        <v>39</v>
      </c>
      <c r="E531" t="s">
        <v>14</v>
      </c>
      <c r="F531" t="s">
        <v>15</v>
      </c>
      <c r="G531">
        <v>3</v>
      </c>
      <c r="H531">
        <v>43505</v>
      </c>
      <c r="I531">
        <v>130515</v>
      </c>
      <c r="J531" t="s">
        <v>16</v>
      </c>
    </row>
    <row r="532" spans="1:10" x14ac:dyDescent="0.25">
      <c r="A532" t="s">
        <v>80</v>
      </c>
      <c r="B532" t="s">
        <v>22</v>
      </c>
      <c r="C532" t="s">
        <v>23</v>
      </c>
      <c r="D532" t="s">
        <v>48</v>
      </c>
      <c r="E532" t="s">
        <v>19</v>
      </c>
      <c r="F532" t="s">
        <v>26</v>
      </c>
      <c r="G532">
        <v>8</v>
      </c>
      <c r="H532">
        <v>31915</v>
      </c>
      <c r="I532">
        <v>255320</v>
      </c>
      <c r="J532" t="s">
        <v>27</v>
      </c>
    </row>
    <row r="533" spans="1:10" x14ac:dyDescent="0.25">
      <c r="A533" t="s">
        <v>320</v>
      </c>
      <c r="B533" t="s">
        <v>18</v>
      </c>
      <c r="C533" t="s">
        <v>34</v>
      </c>
      <c r="D533" t="s">
        <v>39</v>
      </c>
      <c r="E533" t="s">
        <v>30</v>
      </c>
      <c r="F533" t="s">
        <v>26</v>
      </c>
      <c r="G533">
        <v>20</v>
      </c>
      <c r="H533">
        <v>21405</v>
      </c>
      <c r="I533">
        <v>428100</v>
      </c>
      <c r="J533" t="s">
        <v>16</v>
      </c>
    </row>
    <row r="534" spans="1:10" x14ac:dyDescent="0.25">
      <c r="A534" t="s">
        <v>200</v>
      </c>
      <c r="B534" t="s">
        <v>11</v>
      </c>
      <c r="C534" t="s">
        <v>12</v>
      </c>
      <c r="D534" t="s">
        <v>44</v>
      </c>
      <c r="E534" t="s">
        <v>19</v>
      </c>
      <c r="F534" t="s">
        <v>40</v>
      </c>
      <c r="G534">
        <v>20</v>
      </c>
      <c r="H534">
        <v>52162</v>
      </c>
      <c r="I534">
        <v>1043240</v>
      </c>
      <c r="J534" t="s">
        <v>36</v>
      </c>
    </row>
    <row r="535" spans="1:10" x14ac:dyDescent="0.25">
      <c r="A535" t="s">
        <v>96</v>
      </c>
      <c r="B535" t="s">
        <v>42</v>
      </c>
      <c r="C535" t="s">
        <v>29</v>
      </c>
      <c r="D535" t="s">
        <v>44</v>
      </c>
      <c r="E535" t="s">
        <v>19</v>
      </c>
      <c r="F535" t="s">
        <v>40</v>
      </c>
      <c r="G535">
        <v>15</v>
      </c>
      <c r="H535">
        <v>37080</v>
      </c>
      <c r="I535">
        <v>556200</v>
      </c>
      <c r="J535" t="s">
        <v>36</v>
      </c>
    </row>
    <row r="536" spans="1:10" x14ac:dyDescent="0.25">
      <c r="A536" t="s">
        <v>319</v>
      </c>
      <c r="B536" t="s">
        <v>33</v>
      </c>
      <c r="C536" t="s">
        <v>29</v>
      </c>
      <c r="D536" t="s">
        <v>48</v>
      </c>
      <c r="E536" t="s">
        <v>35</v>
      </c>
      <c r="F536" t="s">
        <v>15</v>
      </c>
      <c r="G536">
        <v>9</v>
      </c>
      <c r="H536">
        <v>23259</v>
      </c>
      <c r="I536">
        <v>209331</v>
      </c>
      <c r="J536" t="s">
        <v>16</v>
      </c>
    </row>
    <row r="537" spans="1:10" x14ac:dyDescent="0.25">
      <c r="A537" t="s">
        <v>203</v>
      </c>
      <c r="B537" t="s">
        <v>11</v>
      </c>
      <c r="C537" t="s">
        <v>23</v>
      </c>
      <c r="D537" t="s">
        <v>24</v>
      </c>
      <c r="E537" t="s">
        <v>35</v>
      </c>
      <c r="F537" t="s">
        <v>40</v>
      </c>
      <c r="G537">
        <v>12</v>
      </c>
      <c r="H537">
        <v>53568</v>
      </c>
      <c r="I537">
        <v>642816</v>
      </c>
      <c r="J537" t="s">
        <v>36</v>
      </c>
    </row>
    <row r="538" spans="1:10" x14ac:dyDescent="0.25">
      <c r="A538" t="s">
        <v>63</v>
      </c>
      <c r="B538" t="s">
        <v>11</v>
      </c>
      <c r="C538" t="s">
        <v>38</v>
      </c>
      <c r="D538" t="s">
        <v>48</v>
      </c>
      <c r="E538" t="s">
        <v>35</v>
      </c>
      <c r="F538" t="s">
        <v>15</v>
      </c>
      <c r="G538">
        <v>10</v>
      </c>
      <c r="H538">
        <v>27332</v>
      </c>
      <c r="I538">
        <v>273320</v>
      </c>
      <c r="J538" t="s">
        <v>36</v>
      </c>
    </row>
    <row r="539" spans="1:10" x14ac:dyDescent="0.25">
      <c r="A539" t="s">
        <v>199</v>
      </c>
      <c r="B539" t="s">
        <v>22</v>
      </c>
      <c r="C539" t="s">
        <v>12</v>
      </c>
      <c r="D539" t="s">
        <v>24</v>
      </c>
      <c r="E539" t="s">
        <v>14</v>
      </c>
      <c r="F539" t="s">
        <v>40</v>
      </c>
      <c r="G539">
        <v>4</v>
      </c>
      <c r="H539">
        <v>30529</v>
      </c>
      <c r="I539">
        <v>122116</v>
      </c>
      <c r="J539" t="s">
        <v>27</v>
      </c>
    </row>
    <row r="540" spans="1:10" x14ac:dyDescent="0.25">
      <c r="A540" t="s">
        <v>118</v>
      </c>
      <c r="B540" t="s">
        <v>33</v>
      </c>
      <c r="C540" t="s">
        <v>34</v>
      </c>
      <c r="D540" t="s">
        <v>24</v>
      </c>
      <c r="E540" t="s">
        <v>35</v>
      </c>
      <c r="F540" t="s">
        <v>15</v>
      </c>
      <c r="G540">
        <v>18</v>
      </c>
      <c r="H540">
        <v>50898</v>
      </c>
      <c r="I540">
        <v>916164</v>
      </c>
      <c r="J540" t="s">
        <v>20</v>
      </c>
    </row>
    <row r="541" spans="1:10" x14ac:dyDescent="0.25">
      <c r="A541" t="s">
        <v>187</v>
      </c>
      <c r="B541" t="s">
        <v>11</v>
      </c>
      <c r="C541" t="s">
        <v>23</v>
      </c>
      <c r="D541" t="s">
        <v>44</v>
      </c>
      <c r="E541" t="s">
        <v>35</v>
      </c>
      <c r="F541" t="s">
        <v>40</v>
      </c>
      <c r="G541">
        <v>15</v>
      </c>
      <c r="H541">
        <v>34591</v>
      </c>
      <c r="I541">
        <v>518865</v>
      </c>
      <c r="J541" t="s">
        <v>36</v>
      </c>
    </row>
    <row r="542" spans="1:10" x14ac:dyDescent="0.25">
      <c r="A542" t="s">
        <v>108</v>
      </c>
      <c r="B542" t="s">
        <v>42</v>
      </c>
      <c r="C542" t="s">
        <v>34</v>
      </c>
      <c r="D542" t="s">
        <v>39</v>
      </c>
      <c r="E542" t="s">
        <v>25</v>
      </c>
      <c r="F542" t="s">
        <v>15</v>
      </c>
      <c r="G542">
        <v>6</v>
      </c>
      <c r="H542">
        <v>58769</v>
      </c>
      <c r="I542">
        <v>352614</v>
      </c>
      <c r="J542" t="s">
        <v>27</v>
      </c>
    </row>
    <row r="543" spans="1:10" x14ac:dyDescent="0.25">
      <c r="A543" t="s">
        <v>321</v>
      </c>
      <c r="B543" t="s">
        <v>42</v>
      </c>
      <c r="C543" t="s">
        <v>38</v>
      </c>
      <c r="D543" t="s">
        <v>48</v>
      </c>
      <c r="E543" t="s">
        <v>30</v>
      </c>
      <c r="F543" t="s">
        <v>15</v>
      </c>
      <c r="G543">
        <v>12</v>
      </c>
      <c r="H543">
        <v>49558</v>
      </c>
      <c r="I543">
        <v>594696</v>
      </c>
      <c r="J543" t="s">
        <v>20</v>
      </c>
    </row>
    <row r="544" spans="1:10" x14ac:dyDescent="0.25">
      <c r="A544" t="s">
        <v>140</v>
      </c>
      <c r="B544" t="s">
        <v>11</v>
      </c>
      <c r="C544" t="s">
        <v>38</v>
      </c>
      <c r="D544" t="s">
        <v>48</v>
      </c>
      <c r="E544" t="s">
        <v>14</v>
      </c>
      <c r="F544" t="s">
        <v>26</v>
      </c>
      <c r="G544">
        <v>8</v>
      </c>
      <c r="H544">
        <v>49769</v>
      </c>
      <c r="I544">
        <v>398152</v>
      </c>
      <c r="J544" t="s">
        <v>20</v>
      </c>
    </row>
    <row r="545" spans="1:10" x14ac:dyDescent="0.25">
      <c r="A545" t="s">
        <v>191</v>
      </c>
      <c r="B545" t="s">
        <v>42</v>
      </c>
      <c r="C545" t="s">
        <v>23</v>
      </c>
      <c r="D545" t="s">
        <v>39</v>
      </c>
      <c r="E545" t="s">
        <v>14</v>
      </c>
      <c r="F545" t="s">
        <v>26</v>
      </c>
      <c r="G545">
        <v>20</v>
      </c>
      <c r="H545">
        <v>32403</v>
      </c>
      <c r="I545">
        <v>648060</v>
      </c>
      <c r="J545" t="s">
        <v>20</v>
      </c>
    </row>
    <row r="546" spans="1:10" x14ac:dyDescent="0.25">
      <c r="A546" t="s">
        <v>49</v>
      </c>
      <c r="B546" t="s">
        <v>33</v>
      </c>
      <c r="C546" t="s">
        <v>38</v>
      </c>
      <c r="D546" t="s">
        <v>39</v>
      </c>
      <c r="E546" t="s">
        <v>25</v>
      </c>
      <c r="F546" t="s">
        <v>40</v>
      </c>
      <c r="G546">
        <v>19</v>
      </c>
      <c r="H546">
        <v>17019</v>
      </c>
      <c r="I546">
        <v>323361</v>
      </c>
      <c r="J546" t="s">
        <v>36</v>
      </c>
    </row>
    <row r="547" spans="1:10" x14ac:dyDescent="0.25">
      <c r="A547" t="s">
        <v>282</v>
      </c>
      <c r="B547" t="s">
        <v>33</v>
      </c>
      <c r="C547" t="s">
        <v>29</v>
      </c>
      <c r="D547" t="s">
        <v>48</v>
      </c>
      <c r="E547" t="s">
        <v>30</v>
      </c>
      <c r="F547" t="s">
        <v>15</v>
      </c>
      <c r="G547">
        <v>8</v>
      </c>
      <c r="H547">
        <v>19172</v>
      </c>
      <c r="I547">
        <v>153376</v>
      </c>
      <c r="J547" t="s">
        <v>16</v>
      </c>
    </row>
    <row r="548" spans="1:10" x14ac:dyDescent="0.25">
      <c r="A548" t="s">
        <v>286</v>
      </c>
      <c r="B548" t="s">
        <v>22</v>
      </c>
      <c r="C548" t="s">
        <v>38</v>
      </c>
      <c r="D548" t="s">
        <v>24</v>
      </c>
      <c r="E548" t="s">
        <v>14</v>
      </c>
      <c r="F548" t="s">
        <v>40</v>
      </c>
      <c r="G548">
        <v>7</v>
      </c>
      <c r="H548">
        <v>45680</v>
      </c>
      <c r="I548">
        <v>319760</v>
      </c>
      <c r="J548" t="s">
        <v>36</v>
      </c>
    </row>
    <row r="549" spans="1:10" x14ac:dyDescent="0.25">
      <c r="A549" t="s">
        <v>300</v>
      </c>
      <c r="B549" t="s">
        <v>22</v>
      </c>
      <c r="C549" t="s">
        <v>12</v>
      </c>
      <c r="D549" t="s">
        <v>13</v>
      </c>
      <c r="E549" t="s">
        <v>19</v>
      </c>
      <c r="F549" t="s">
        <v>15</v>
      </c>
      <c r="G549">
        <v>3</v>
      </c>
      <c r="H549">
        <v>46211</v>
      </c>
      <c r="I549">
        <v>138633</v>
      </c>
      <c r="J549" t="s">
        <v>20</v>
      </c>
    </row>
    <row r="550" spans="1:10" x14ac:dyDescent="0.25">
      <c r="A550" t="s">
        <v>210</v>
      </c>
      <c r="B550" t="s">
        <v>11</v>
      </c>
      <c r="C550" t="s">
        <v>29</v>
      </c>
      <c r="D550" t="s">
        <v>44</v>
      </c>
      <c r="E550" t="s">
        <v>35</v>
      </c>
      <c r="F550" t="s">
        <v>40</v>
      </c>
      <c r="G550">
        <v>8</v>
      </c>
      <c r="H550">
        <v>52239</v>
      </c>
      <c r="I550">
        <v>417912</v>
      </c>
      <c r="J550" t="s">
        <v>20</v>
      </c>
    </row>
    <row r="551" spans="1:10" x14ac:dyDescent="0.25">
      <c r="A551" t="s">
        <v>159</v>
      </c>
      <c r="B551" t="s">
        <v>42</v>
      </c>
      <c r="C551" t="s">
        <v>12</v>
      </c>
      <c r="D551" t="s">
        <v>44</v>
      </c>
      <c r="E551" t="s">
        <v>35</v>
      </c>
      <c r="F551" t="s">
        <v>26</v>
      </c>
      <c r="G551">
        <v>17</v>
      </c>
      <c r="H551">
        <v>15739</v>
      </c>
      <c r="I551">
        <v>267563</v>
      </c>
      <c r="J551" t="s">
        <v>36</v>
      </c>
    </row>
    <row r="552" spans="1:10" x14ac:dyDescent="0.25">
      <c r="A552" t="s">
        <v>209</v>
      </c>
      <c r="B552" t="s">
        <v>11</v>
      </c>
      <c r="C552" t="s">
        <v>29</v>
      </c>
      <c r="D552" t="s">
        <v>48</v>
      </c>
      <c r="E552" t="s">
        <v>14</v>
      </c>
      <c r="F552" t="s">
        <v>26</v>
      </c>
      <c r="G552">
        <v>5</v>
      </c>
      <c r="H552">
        <v>42232</v>
      </c>
      <c r="I552">
        <v>211160</v>
      </c>
      <c r="J552" t="s">
        <v>20</v>
      </c>
    </row>
    <row r="553" spans="1:10" x14ac:dyDescent="0.25">
      <c r="A553" t="s">
        <v>293</v>
      </c>
      <c r="B553" t="s">
        <v>33</v>
      </c>
      <c r="C553" t="s">
        <v>23</v>
      </c>
      <c r="D553" t="s">
        <v>24</v>
      </c>
      <c r="E553" t="s">
        <v>25</v>
      </c>
      <c r="F553" t="s">
        <v>40</v>
      </c>
      <c r="G553">
        <v>12</v>
      </c>
      <c r="H553">
        <v>28186</v>
      </c>
      <c r="I553">
        <v>338232</v>
      </c>
      <c r="J553" t="s">
        <v>16</v>
      </c>
    </row>
    <row r="554" spans="1:10" x14ac:dyDescent="0.25">
      <c r="A554" t="s">
        <v>169</v>
      </c>
      <c r="B554" t="s">
        <v>18</v>
      </c>
      <c r="C554" t="s">
        <v>34</v>
      </c>
      <c r="D554" t="s">
        <v>39</v>
      </c>
      <c r="E554" t="s">
        <v>30</v>
      </c>
      <c r="F554" t="s">
        <v>26</v>
      </c>
      <c r="G554">
        <v>20</v>
      </c>
      <c r="H554">
        <v>20284</v>
      </c>
      <c r="I554">
        <v>405680</v>
      </c>
      <c r="J554" t="s">
        <v>20</v>
      </c>
    </row>
    <row r="555" spans="1:10" x14ac:dyDescent="0.25">
      <c r="A555" t="s">
        <v>145</v>
      </c>
      <c r="B555" t="s">
        <v>18</v>
      </c>
      <c r="C555" t="s">
        <v>29</v>
      </c>
      <c r="D555" t="s">
        <v>39</v>
      </c>
      <c r="E555" t="s">
        <v>19</v>
      </c>
      <c r="F555" t="s">
        <v>40</v>
      </c>
      <c r="G555">
        <v>13</v>
      </c>
      <c r="H555">
        <v>28521</v>
      </c>
      <c r="I555">
        <v>370773</v>
      </c>
      <c r="J555" t="s">
        <v>16</v>
      </c>
    </row>
    <row r="556" spans="1:10" x14ac:dyDescent="0.25">
      <c r="A556" t="s">
        <v>74</v>
      </c>
      <c r="B556" t="s">
        <v>22</v>
      </c>
      <c r="C556" t="s">
        <v>29</v>
      </c>
      <c r="D556" t="s">
        <v>44</v>
      </c>
      <c r="E556" t="s">
        <v>35</v>
      </c>
      <c r="F556" t="s">
        <v>15</v>
      </c>
      <c r="G556">
        <v>20</v>
      </c>
      <c r="H556">
        <v>21871</v>
      </c>
      <c r="I556">
        <v>437420</v>
      </c>
      <c r="J556" t="s">
        <v>20</v>
      </c>
    </row>
    <row r="557" spans="1:10" x14ac:dyDescent="0.25">
      <c r="A557" t="s">
        <v>53</v>
      </c>
      <c r="B557" t="s">
        <v>33</v>
      </c>
      <c r="C557" t="s">
        <v>38</v>
      </c>
      <c r="D557" t="s">
        <v>44</v>
      </c>
      <c r="E557" t="s">
        <v>25</v>
      </c>
      <c r="F557" t="s">
        <v>40</v>
      </c>
      <c r="G557">
        <v>18</v>
      </c>
      <c r="H557">
        <v>52826</v>
      </c>
      <c r="I557">
        <v>950868</v>
      </c>
      <c r="J557" t="s">
        <v>36</v>
      </c>
    </row>
    <row r="558" spans="1:10" x14ac:dyDescent="0.25">
      <c r="A558" t="s">
        <v>218</v>
      </c>
      <c r="B558" t="s">
        <v>11</v>
      </c>
      <c r="C558" t="s">
        <v>23</v>
      </c>
      <c r="D558" t="s">
        <v>48</v>
      </c>
      <c r="E558" t="s">
        <v>19</v>
      </c>
      <c r="F558" t="s">
        <v>26</v>
      </c>
      <c r="G558">
        <v>18</v>
      </c>
      <c r="H558">
        <v>20846</v>
      </c>
      <c r="I558">
        <v>375228</v>
      </c>
      <c r="J558" t="s">
        <v>27</v>
      </c>
    </row>
    <row r="559" spans="1:10" x14ac:dyDescent="0.25">
      <c r="A559" t="s">
        <v>189</v>
      </c>
      <c r="B559" t="s">
        <v>11</v>
      </c>
      <c r="C559" t="s">
        <v>29</v>
      </c>
      <c r="D559" t="s">
        <v>24</v>
      </c>
      <c r="E559" t="s">
        <v>25</v>
      </c>
      <c r="F559" t="s">
        <v>15</v>
      </c>
      <c r="G559">
        <v>12</v>
      </c>
      <c r="H559">
        <v>40027</v>
      </c>
      <c r="I559">
        <v>480324</v>
      </c>
      <c r="J559" t="s">
        <v>20</v>
      </c>
    </row>
    <row r="560" spans="1:10" x14ac:dyDescent="0.25">
      <c r="A560" t="s">
        <v>218</v>
      </c>
      <c r="B560" t="s">
        <v>22</v>
      </c>
      <c r="C560" t="s">
        <v>29</v>
      </c>
      <c r="D560" t="s">
        <v>44</v>
      </c>
      <c r="E560" t="s">
        <v>25</v>
      </c>
      <c r="F560" t="s">
        <v>26</v>
      </c>
      <c r="G560">
        <v>16</v>
      </c>
      <c r="H560">
        <v>24876</v>
      </c>
      <c r="I560">
        <v>398016</v>
      </c>
      <c r="J560" t="s">
        <v>20</v>
      </c>
    </row>
    <row r="561" spans="1:10" x14ac:dyDescent="0.25">
      <c r="A561" t="s">
        <v>148</v>
      </c>
      <c r="B561" t="s">
        <v>33</v>
      </c>
      <c r="C561" t="s">
        <v>23</v>
      </c>
      <c r="D561" t="s">
        <v>24</v>
      </c>
      <c r="E561" t="s">
        <v>35</v>
      </c>
      <c r="F561" t="s">
        <v>15</v>
      </c>
      <c r="G561">
        <v>13</v>
      </c>
      <c r="H561">
        <v>45601</v>
      </c>
      <c r="I561">
        <v>592813</v>
      </c>
      <c r="J561" t="s">
        <v>36</v>
      </c>
    </row>
    <row r="562" spans="1:10" x14ac:dyDescent="0.25">
      <c r="A562" t="s">
        <v>261</v>
      </c>
      <c r="B562" t="s">
        <v>22</v>
      </c>
      <c r="C562" t="s">
        <v>23</v>
      </c>
      <c r="D562" t="s">
        <v>44</v>
      </c>
      <c r="E562" t="s">
        <v>19</v>
      </c>
      <c r="F562" t="s">
        <v>15</v>
      </c>
      <c r="G562">
        <v>18</v>
      </c>
      <c r="H562">
        <v>32360</v>
      </c>
      <c r="I562">
        <v>582480</v>
      </c>
      <c r="J562" t="s">
        <v>36</v>
      </c>
    </row>
    <row r="563" spans="1:10" x14ac:dyDescent="0.25">
      <c r="A563" t="s">
        <v>322</v>
      </c>
      <c r="B563" t="s">
        <v>33</v>
      </c>
      <c r="C563" t="s">
        <v>29</v>
      </c>
      <c r="D563" t="s">
        <v>24</v>
      </c>
      <c r="E563" t="s">
        <v>35</v>
      </c>
      <c r="F563" t="s">
        <v>40</v>
      </c>
      <c r="G563">
        <v>1</v>
      </c>
      <c r="H563">
        <v>22326</v>
      </c>
      <c r="I563">
        <v>22326</v>
      </c>
      <c r="J563" t="s">
        <v>16</v>
      </c>
    </row>
    <row r="564" spans="1:10" x14ac:dyDescent="0.25">
      <c r="A564" t="s">
        <v>293</v>
      </c>
      <c r="B564" t="s">
        <v>33</v>
      </c>
      <c r="C564" t="s">
        <v>38</v>
      </c>
      <c r="D564" t="s">
        <v>13</v>
      </c>
      <c r="E564" t="s">
        <v>14</v>
      </c>
      <c r="F564" t="s">
        <v>15</v>
      </c>
      <c r="G564">
        <v>17</v>
      </c>
      <c r="H564">
        <v>31999</v>
      </c>
      <c r="I564">
        <v>543983</v>
      </c>
      <c r="J564" t="s">
        <v>27</v>
      </c>
    </row>
    <row r="565" spans="1:10" x14ac:dyDescent="0.25">
      <c r="A565" t="s">
        <v>275</v>
      </c>
      <c r="B565" t="s">
        <v>22</v>
      </c>
      <c r="C565" t="s">
        <v>29</v>
      </c>
      <c r="D565" t="s">
        <v>44</v>
      </c>
      <c r="E565" t="s">
        <v>14</v>
      </c>
      <c r="F565" t="s">
        <v>15</v>
      </c>
      <c r="G565">
        <v>4</v>
      </c>
      <c r="H565">
        <v>44443</v>
      </c>
      <c r="I565">
        <v>177772</v>
      </c>
      <c r="J565" t="s">
        <v>20</v>
      </c>
    </row>
    <row r="566" spans="1:10" x14ac:dyDescent="0.25">
      <c r="A566" t="s">
        <v>262</v>
      </c>
      <c r="B566" t="s">
        <v>18</v>
      </c>
      <c r="C566" t="s">
        <v>12</v>
      </c>
      <c r="D566" t="s">
        <v>13</v>
      </c>
      <c r="E566" t="s">
        <v>14</v>
      </c>
      <c r="F566" t="s">
        <v>26</v>
      </c>
      <c r="G566">
        <v>17</v>
      </c>
      <c r="H566">
        <v>45301</v>
      </c>
      <c r="I566">
        <v>770117</v>
      </c>
      <c r="J566" t="s">
        <v>16</v>
      </c>
    </row>
    <row r="567" spans="1:10" x14ac:dyDescent="0.25">
      <c r="A567" t="s">
        <v>312</v>
      </c>
      <c r="B567" t="s">
        <v>18</v>
      </c>
      <c r="C567" t="s">
        <v>12</v>
      </c>
      <c r="D567" t="s">
        <v>48</v>
      </c>
      <c r="E567" t="s">
        <v>35</v>
      </c>
      <c r="F567" t="s">
        <v>40</v>
      </c>
      <c r="G567">
        <v>11</v>
      </c>
      <c r="H567">
        <v>57339</v>
      </c>
      <c r="I567">
        <v>630729</v>
      </c>
      <c r="J567" t="s">
        <v>16</v>
      </c>
    </row>
    <row r="568" spans="1:10" x14ac:dyDescent="0.25">
      <c r="A568" t="s">
        <v>181</v>
      </c>
      <c r="B568" t="s">
        <v>22</v>
      </c>
      <c r="C568" t="s">
        <v>34</v>
      </c>
      <c r="D568" t="s">
        <v>24</v>
      </c>
      <c r="E568" t="s">
        <v>30</v>
      </c>
      <c r="F568" t="s">
        <v>40</v>
      </c>
      <c r="G568">
        <v>16</v>
      </c>
      <c r="H568">
        <v>33748</v>
      </c>
      <c r="I568">
        <v>539968</v>
      </c>
      <c r="J568" t="s">
        <v>36</v>
      </c>
    </row>
    <row r="569" spans="1:10" x14ac:dyDescent="0.25">
      <c r="A569" t="s">
        <v>255</v>
      </c>
      <c r="B569" t="s">
        <v>22</v>
      </c>
      <c r="C569" t="s">
        <v>34</v>
      </c>
      <c r="D569" t="s">
        <v>48</v>
      </c>
      <c r="E569" t="s">
        <v>19</v>
      </c>
      <c r="F569" t="s">
        <v>40</v>
      </c>
      <c r="G569">
        <v>13</v>
      </c>
      <c r="H569">
        <v>26527</v>
      </c>
      <c r="I569">
        <v>344851</v>
      </c>
      <c r="J569" t="s">
        <v>16</v>
      </c>
    </row>
    <row r="570" spans="1:10" x14ac:dyDescent="0.25">
      <c r="A570" t="s">
        <v>119</v>
      </c>
      <c r="B570" t="s">
        <v>22</v>
      </c>
      <c r="C570" t="s">
        <v>38</v>
      </c>
      <c r="D570" t="s">
        <v>39</v>
      </c>
      <c r="E570" t="s">
        <v>30</v>
      </c>
      <c r="F570" t="s">
        <v>26</v>
      </c>
      <c r="G570">
        <v>6</v>
      </c>
      <c r="H570">
        <v>58627</v>
      </c>
      <c r="I570">
        <v>351762</v>
      </c>
      <c r="J570" t="s">
        <v>27</v>
      </c>
    </row>
    <row r="571" spans="1:10" x14ac:dyDescent="0.25">
      <c r="A571" t="s">
        <v>169</v>
      </c>
      <c r="B571" t="s">
        <v>33</v>
      </c>
      <c r="C571" t="s">
        <v>12</v>
      </c>
      <c r="D571" t="s">
        <v>39</v>
      </c>
      <c r="E571" t="s">
        <v>35</v>
      </c>
      <c r="F571" t="s">
        <v>40</v>
      </c>
      <c r="G571">
        <v>20</v>
      </c>
      <c r="H571">
        <v>49899</v>
      </c>
      <c r="I571">
        <v>997980</v>
      </c>
      <c r="J571" t="s">
        <v>27</v>
      </c>
    </row>
    <row r="572" spans="1:10" x14ac:dyDescent="0.25">
      <c r="A572" t="s">
        <v>323</v>
      </c>
      <c r="B572" t="s">
        <v>11</v>
      </c>
      <c r="C572" t="s">
        <v>23</v>
      </c>
      <c r="D572" t="s">
        <v>24</v>
      </c>
      <c r="E572" t="s">
        <v>35</v>
      </c>
      <c r="F572" t="s">
        <v>15</v>
      </c>
      <c r="G572">
        <v>9</v>
      </c>
      <c r="H572">
        <v>52533</v>
      </c>
      <c r="I572">
        <v>472797</v>
      </c>
      <c r="J572" t="s">
        <v>20</v>
      </c>
    </row>
    <row r="573" spans="1:10" x14ac:dyDescent="0.25">
      <c r="A573" t="s">
        <v>324</v>
      </c>
      <c r="B573" t="s">
        <v>42</v>
      </c>
      <c r="C573" t="s">
        <v>29</v>
      </c>
      <c r="D573" t="s">
        <v>48</v>
      </c>
      <c r="E573" t="s">
        <v>30</v>
      </c>
      <c r="F573" t="s">
        <v>40</v>
      </c>
      <c r="G573">
        <v>16</v>
      </c>
      <c r="H573">
        <v>35281</v>
      </c>
      <c r="I573">
        <v>564496</v>
      </c>
      <c r="J573" t="s">
        <v>36</v>
      </c>
    </row>
    <row r="574" spans="1:10" x14ac:dyDescent="0.25">
      <c r="A574" t="s">
        <v>66</v>
      </c>
      <c r="B574" t="s">
        <v>18</v>
      </c>
      <c r="C574" t="s">
        <v>38</v>
      </c>
      <c r="D574" t="s">
        <v>44</v>
      </c>
      <c r="E574" t="s">
        <v>35</v>
      </c>
      <c r="F574" t="s">
        <v>26</v>
      </c>
      <c r="G574">
        <v>11</v>
      </c>
      <c r="H574">
        <v>52895</v>
      </c>
      <c r="I574">
        <v>581845</v>
      </c>
      <c r="J574" t="s">
        <v>36</v>
      </c>
    </row>
    <row r="575" spans="1:10" x14ac:dyDescent="0.25">
      <c r="A575" t="s">
        <v>165</v>
      </c>
      <c r="B575" t="s">
        <v>42</v>
      </c>
      <c r="C575" t="s">
        <v>34</v>
      </c>
      <c r="D575" t="s">
        <v>24</v>
      </c>
      <c r="E575" t="s">
        <v>25</v>
      </c>
      <c r="F575" t="s">
        <v>40</v>
      </c>
      <c r="G575">
        <v>8</v>
      </c>
      <c r="H575">
        <v>47800</v>
      </c>
      <c r="I575">
        <v>382400</v>
      </c>
      <c r="J575" t="s">
        <v>27</v>
      </c>
    </row>
    <row r="576" spans="1:10" x14ac:dyDescent="0.25">
      <c r="A576" t="s">
        <v>325</v>
      </c>
      <c r="B576" t="s">
        <v>22</v>
      </c>
      <c r="C576" t="s">
        <v>29</v>
      </c>
      <c r="D576" t="s">
        <v>13</v>
      </c>
      <c r="E576" t="s">
        <v>14</v>
      </c>
      <c r="F576" t="s">
        <v>15</v>
      </c>
      <c r="G576">
        <v>2</v>
      </c>
      <c r="H576">
        <v>59791</v>
      </c>
      <c r="I576">
        <v>119582</v>
      </c>
      <c r="J576" t="s">
        <v>20</v>
      </c>
    </row>
    <row r="577" spans="1:10" x14ac:dyDescent="0.25">
      <c r="A577" t="s">
        <v>326</v>
      </c>
      <c r="B577" t="s">
        <v>42</v>
      </c>
      <c r="C577" t="s">
        <v>34</v>
      </c>
      <c r="D577" t="s">
        <v>13</v>
      </c>
      <c r="E577" t="s">
        <v>35</v>
      </c>
      <c r="F577" t="s">
        <v>15</v>
      </c>
      <c r="G577">
        <v>6</v>
      </c>
      <c r="H577">
        <v>30328</v>
      </c>
      <c r="I577">
        <v>181968</v>
      </c>
      <c r="J577" t="s">
        <v>36</v>
      </c>
    </row>
    <row r="578" spans="1:10" x14ac:dyDescent="0.25">
      <c r="A578" t="s">
        <v>275</v>
      </c>
      <c r="B578" t="s">
        <v>18</v>
      </c>
      <c r="C578" t="s">
        <v>34</v>
      </c>
      <c r="D578" t="s">
        <v>39</v>
      </c>
      <c r="E578" t="s">
        <v>30</v>
      </c>
      <c r="F578" t="s">
        <v>15</v>
      </c>
      <c r="G578">
        <v>4</v>
      </c>
      <c r="H578">
        <v>24209</v>
      </c>
      <c r="I578">
        <v>96836</v>
      </c>
      <c r="J578" t="s">
        <v>36</v>
      </c>
    </row>
    <row r="579" spans="1:10" x14ac:dyDescent="0.25">
      <c r="A579" t="s">
        <v>67</v>
      </c>
      <c r="B579" t="s">
        <v>42</v>
      </c>
      <c r="C579" t="s">
        <v>12</v>
      </c>
      <c r="D579" t="s">
        <v>24</v>
      </c>
      <c r="E579" t="s">
        <v>35</v>
      </c>
      <c r="F579" t="s">
        <v>26</v>
      </c>
      <c r="G579">
        <v>3</v>
      </c>
      <c r="H579">
        <v>59375</v>
      </c>
      <c r="I579">
        <v>178125</v>
      </c>
      <c r="J579" t="s">
        <v>16</v>
      </c>
    </row>
    <row r="580" spans="1:10" x14ac:dyDescent="0.25">
      <c r="A580" t="s">
        <v>187</v>
      </c>
      <c r="B580" t="s">
        <v>33</v>
      </c>
      <c r="C580" t="s">
        <v>29</v>
      </c>
      <c r="D580" t="s">
        <v>39</v>
      </c>
      <c r="E580" t="s">
        <v>30</v>
      </c>
      <c r="F580" t="s">
        <v>15</v>
      </c>
      <c r="G580">
        <v>19</v>
      </c>
      <c r="H580">
        <v>45753</v>
      </c>
      <c r="I580">
        <v>869307</v>
      </c>
      <c r="J580" t="s">
        <v>20</v>
      </c>
    </row>
    <row r="581" spans="1:10" x14ac:dyDescent="0.25">
      <c r="A581" t="s">
        <v>292</v>
      </c>
      <c r="B581" t="s">
        <v>18</v>
      </c>
      <c r="C581" t="s">
        <v>38</v>
      </c>
      <c r="D581" t="s">
        <v>48</v>
      </c>
      <c r="E581" t="s">
        <v>25</v>
      </c>
      <c r="F581" t="s">
        <v>40</v>
      </c>
      <c r="G581">
        <v>11</v>
      </c>
      <c r="H581">
        <v>55089</v>
      </c>
      <c r="I581">
        <v>605979</v>
      </c>
      <c r="J581" t="s">
        <v>27</v>
      </c>
    </row>
    <row r="582" spans="1:10" x14ac:dyDescent="0.25">
      <c r="A582" t="s">
        <v>293</v>
      </c>
      <c r="B582" t="s">
        <v>11</v>
      </c>
      <c r="C582" t="s">
        <v>29</v>
      </c>
      <c r="D582" t="s">
        <v>39</v>
      </c>
      <c r="E582" t="s">
        <v>14</v>
      </c>
      <c r="F582" t="s">
        <v>26</v>
      </c>
      <c r="G582">
        <v>5</v>
      </c>
      <c r="H582">
        <v>53561</v>
      </c>
      <c r="I582">
        <v>267805</v>
      </c>
      <c r="J582" t="s">
        <v>16</v>
      </c>
    </row>
    <row r="583" spans="1:10" x14ac:dyDescent="0.25">
      <c r="A583" t="s">
        <v>186</v>
      </c>
      <c r="B583" t="s">
        <v>18</v>
      </c>
      <c r="C583" t="s">
        <v>29</v>
      </c>
      <c r="D583" t="s">
        <v>39</v>
      </c>
      <c r="E583" t="s">
        <v>19</v>
      </c>
      <c r="F583" t="s">
        <v>40</v>
      </c>
      <c r="G583">
        <v>6</v>
      </c>
      <c r="H583">
        <v>26358</v>
      </c>
      <c r="I583">
        <v>158148</v>
      </c>
      <c r="J583" t="s">
        <v>20</v>
      </c>
    </row>
    <row r="584" spans="1:10" x14ac:dyDescent="0.25">
      <c r="A584" t="s">
        <v>232</v>
      </c>
      <c r="B584" t="s">
        <v>18</v>
      </c>
      <c r="C584" t="s">
        <v>34</v>
      </c>
      <c r="D584" t="s">
        <v>13</v>
      </c>
      <c r="E584" t="s">
        <v>25</v>
      </c>
      <c r="F584" t="s">
        <v>40</v>
      </c>
      <c r="G584">
        <v>8</v>
      </c>
      <c r="H584">
        <v>45263</v>
      </c>
      <c r="I584">
        <v>362104</v>
      </c>
      <c r="J584" t="s">
        <v>36</v>
      </c>
    </row>
    <row r="585" spans="1:10" x14ac:dyDescent="0.25">
      <c r="A585" t="s">
        <v>245</v>
      </c>
      <c r="B585" t="s">
        <v>42</v>
      </c>
      <c r="C585" t="s">
        <v>29</v>
      </c>
      <c r="D585" t="s">
        <v>44</v>
      </c>
      <c r="E585" t="s">
        <v>14</v>
      </c>
      <c r="F585" t="s">
        <v>40</v>
      </c>
      <c r="G585">
        <v>13</v>
      </c>
      <c r="H585">
        <v>29236</v>
      </c>
      <c r="I585">
        <v>380068</v>
      </c>
      <c r="J585" t="s">
        <v>36</v>
      </c>
    </row>
    <row r="586" spans="1:10" x14ac:dyDescent="0.25">
      <c r="A586" t="s">
        <v>319</v>
      </c>
      <c r="B586" t="s">
        <v>22</v>
      </c>
      <c r="C586" t="s">
        <v>23</v>
      </c>
      <c r="D586" t="s">
        <v>44</v>
      </c>
      <c r="E586" t="s">
        <v>25</v>
      </c>
      <c r="F586" t="s">
        <v>26</v>
      </c>
      <c r="G586">
        <v>7</v>
      </c>
      <c r="H586">
        <v>56814</v>
      </c>
      <c r="I586">
        <v>397698</v>
      </c>
      <c r="J586" t="s">
        <v>36</v>
      </c>
    </row>
    <row r="587" spans="1:10" x14ac:dyDescent="0.25">
      <c r="A587" t="s">
        <v>327</v>
      </c>
      <c r="B587" t="s">
        <v>33</v>
      </c>
      <c r="C587" t="s">
        <v>38</v>
      </c>
      <c r="D587" t="s">
        <v>24</v>
      </c>
      <c r="E587" t="s">
        <v>25</v>
      </c>
      <c r="F587" t="s">
        <v>15</v>
      </c>
      <c r="G587">
        <v>2</v>
      </c>
      <c r="H587">
        <v>17750</v>
      </c>
      <c r="I587">
        <v>35500</v>
      </c>
      <c r="J587" t="s">
        <v>20</v>
      </c>
    </row>
    <row r="588" spans="1:10" x14ac:dyDescent="0.25">
      <c r="A588" t="s">
        <v>328</v>
      </c>
      <c r="B588" t="s">
        <v>18</v>
      </c>
      <c r="C588" t="s">
        <v>29</v>
      </c>
      <c r="D588" t="s">
        <v>44</v>
      </c>
      <c r="E588" t="s">
        <v>14</v>
      </c>
      <c r="F588" t="s">
        <v>40</v>
      </c>
      <c r="G588">
        <v>1</v>
      </c>
      <c r="H588">
        <v>51799</v>
      </c>
      <c r="I588">
        <v>51799</v>
      </c>
      <c r="J588" t="s">
        <v>16</v>
      </c>
    </row>
    <row r="589" spans="1:10" x14ac:dyDescent="0.25">
      <c r="A589" t="s">
        <v>215</v>
      </c>
      <c r="B589" t="s">
        <v>42</v>
      </c>
      <c r="C589" t="s">
        <v>29</v>
      </c>
      <c r="D589" t="s">
        <v>24</v>
      </c>
      <c r="E589" t="s">
        <v>14</v>
      </c>
      <c r="F589" t="s">
        <v>26</v>
      </c>
      <c r="G589">
        <v>15</v>
      </c>
      <c r="H589">
        <v>21159</v>
      </c>
      <c r="I589">
        <v>317385</v>
      </c>
      <c r="J589" t="s">
        <v>16</v>
      </c>
    </row>
    <row r="590" spans="1:10" x14ac:dyDescent="0.25">
      <c r="A590" t="s">
        <v>296</v>
      </c>
      <c r="B590" t="s">
        <v>22</v>
      </c>
      <c r="C590" t="s">
        <v>23</v>
      </c>
      <c r="D590" t="s">
        <v>24</v>
      </c>
      <c r="E590" t="s">
        <v>30</v>
      </c>
      <c r="F590" t="s">
        <v>15</v>
      </c>
      <c r="G590">
        <v>17</v>
      </c>
      <c r="H590">
        <v>30416</v>
      </c>
      <c r="I590">
        <v>517072</v>
      </c>
      <c r="J590" t="s">
        <v>16</v>
      </c>
    </row>
    <row r="591" spans="1:10" x14ac:dyDescent="0.25">
      <c r="A591" t="s">
        <v>194</v>
      </c>
      <c r="B591" t="s">
        <v>11</v>
      </c>
      <c r="C591" t="s">
        <v>34</v>
      </c>
      <c r="D591" t="s">
        <v>24</v>
      </c>
      <c r="E591" t="s">
        <v>25</v>
      </c>
      <c r="F591" t="s">
        <v>40</v>
      </c>
      <c r="G591">
        <v>15</v>
      </c>
      <c r="H591">
        <v>59546</v>
      </c>
      <c r="I591">
        <v>893190</v>
      </c>
      <c r="J591" t="s">
        <v>20</v>
      </c>
    </row>
    <row r="592" spans="1:10" x14ac:dyDescent="0.25">
      <c r="A592" t="s">
        <v>295</v>
      </c>
      <c r="B592" t="s">
        <v>42</v>
      </c>
      <c r="C592" t="s">
        <v>23</v>
      </c>
      <c r="D592" t="s">
        <v>13</v>
      </c>
      <c r="E592" t="s">
        <v>19</v>
      </c>
      <c r="F592" t="s">
        <v>40</v>
      </c>
      <c r="G592">
        <v>17</v>
      </c>
      <c r="H592">
        <v>16929</v>
      </c>
      <c r="I592">
        <v>287793</v>
      </c>
      <c r="J592" t="s">
        <v>27</v>
      </c>
    </row>
    <row r="593" spans="1:10" x14ac:dyDescent="0.25">
      <c r="A593" t="s">
        <v>110</v>
      </c>
      <c r="B593" t="s">
        <v>33</v>
      </c>
      <c r="C593" t="s">
        <v>38</v>
      </c>
      <c r="D593" t="s">
        <v>44</v>
      </c>
      <c r="E593" t="s">
        <v>35</v>
      </c>
      <c r="F593" t="s">
        <v>15</v>
      </c>
      <c r="G593">
        <v>9</v>
      </c>
      <c r="H593">
        <v>54989</v>
      </c>
      <c r="I593">
        <v>494901</v>
      </c>
      <c r="J593" t="s">
        <v>27</v>
      </c>
    </row>
    <row r="594" spans="1:10" x14ac:dyDescent="0.25">
      <c r="A594" t="s">
        <v>53</v>
      </c>
      <c r="B594" t="s">
        <v>42</v>
      </c>
      <c r="C594" t="s">
        <v>29</v>
      </c>
      <c r="D594" t="s">
        <v>24</v>
      </c>
      <c r="E594" t="s">
        <v>19</v>
      </c>
      <c r="F594" t="s">
        <v>15</v>
      </c>
      <c r="G594">
        <v>16</v>
      </c>
      <c r="H594">
        <v>52854</v>
      </c>
      <c r="I594">
        <v>845664</v>
      </c>
      <c r="J594" t="s">
        <v>27</v>
      </c>
    </row>
    <row r="595" spans="1:10" x14ac:dyDescent="0.25">
      <c r="A595" t="s">
        <v>162</v>
      </c>
      <c r="B595" t="s">
        <v>11</v>
      </c>
      <c r="C595" t="s">
        <v>23</v>
      </c>
      <c r="D595" t="s">
        <v>39</v>
      </c>
      <c r="E595" t="s">
        <v>14</v>
      </c>
      <c r="F595" t="s">
        <v>26</v>
      </c>
      <c r="G595">
        <v>1</v>
      </c>
      <c r="H595">
        <v>36236</v>
      </c>
      <c r="I595">
        <v>36236</v>
      </c>
      <c r="J595" t="s">
        <v>16</v>
      </c>
    </row>
    <row r="596" spans="1:10" x14ac:dyDescent="0.25">
      <c r="A596" t="s">
        <v>159</v>
      </c>
      <c r="B596" t="s">
        <v>11</v>
      </c>
      <c r="C596" t="s">
        <v>23</v>
      </c>
      <c r="D596" t="s">
        <v>13</v>
      </c>
      <c r="E596" t="s">
        <v>14</v>
      </c>
      <c r="F596" t="s">
        <v>15</v>
      </c>
      <c r="G596">
        <v>20</v>
      </c>
      <c r="H596">
        <v>34767</v>
      </c>
      <c r="I596">
        <v>695340</v>
      </c>
      <c r="J596" t="s">
        <v>36</v>
      </c>
    </row>
    <row r="597" spans="1:10" x14ac:dyDescent="0.25">
      <c r="A597" t="s">
        <v>321</v>
      </c>
      <c r="B597" t="s">
        <v>11</v>
      </c>
      <c r="C597" t="s">
        <v>29</v>
      </c>
      <c r="D597" t="s">
        <v>24</v>
      </c>
      <c r="E597" t="s">
        <v>19</v>
      </c>
      <c r="F597" t="s">
        <v>15</v>
      </c>
      <c r="G597">
        <v>15</v>
      </c>
      <c r="H597">
        <v>52724</v>
      </c>
      <c r="I597">
        <v>790860</v>
      </c>
      <c r="J597" t="s">
        <v>36</v>
      </c>
    </row>
    <row r="598" spans="1:10" x14ac:dyDescent="0.25">
      <c r="A598" t="s">
        <v>241</v>
      </c>
      <c r="B598" t="s">
        <v>22</v>
      </c>
      <c r="C598" t="s">
        <v>38</v>
      </c>
      <c r="D598" t="s">
        <v>13</v>
      </c>
      <c r="E598" t="s">
        <v>19</v>
      </c>
      <c r="F598" t="s">
        <v>40</v>
      </c>
      <c r="G598">
        <v>19</v>
      </c>
      <c r="H598">
        <v>25541</v>
      </c>
      <c r="I598">
        <v>485279</v>
      </c>
      <c r="J598" t="s">
        <v>20</v>
      </c>
    </row>
    <row r="599" spans="1:10" x14ac:dyDescent="0.25">
      <c r="A599" t="s">
        <v>104</v>
      </c>
      <c r="B599" t="s">
        <v>22</v>
      </c>
      <c r="C599" t="s">
        <v>38</v>
      </c>
      <c r="D599" t="s">
        <v>39</v>
      </c>
      <c r="E599" t="s">
        <v>35</v>
      </c>
      <c r="F599" t="s">
        <v>15</v>
      </c>
      <c r="G599">
        <v>15</v>
      </c>
      <c r="H599">
        <v>20631</v>
      </c>
      <c r="I599">
        <v>309465</v>
      </c>
      <c r="J599" t="s">
        <v>27</v>
      </c>
    </row>
    <row r="600" spans="1:10" x14ac:dyDescent="0.25">
      <c r="A600" t="s">
        <v>143</v>
      </c>
      <c r="B600" t="s">
        <v>11</v>
      </c>
      <c r="C600" t="s">
        <v>12</v>
      </c>
      <c r="D600" t="s">
        <v>44</v>
      </c>
      <c r="E600" t="s">
        <v>30</v>
      </c>
      <c r="F600" t="s">
        <v>26</v>
      </c>
      <c r="G600">
        <v>7</v>
      </c>
      <c r="H600">
        <v>35905</v>
      </c>
      <c r="I600">
        <v>251335</v>
      </c>
      <c r="J600" t="s">
        <v>27</v>
      </c>
    </row>
    <row r="601" spans="1:10" x14ac:dyDescent="0.25">
      <c r="A601" t="s">
        <v>104</v>
      </c>
      <c r="B601" t="s">
        <v>18</v>
      </c>
      <c r="C601" t="s">
        <v>29</v>
      </c>
      <c r="D601" t="s">
        <v>48</v>
      </c>
      <c r="E601" t="s">
        <v>35</v>
      </c>
      <c r="F601" t="s">
        <v>26</v>
      </c>
      <c r="G601">
        <v>16</v>
      </c>
      <c r="H601">
        <v>27005</v>
      </c>
      <c r="I601">
        <v>432080</v>
      </c>
      <c r="J601" t="s">
        <v>16</v>
      </c>
    </row>
    <row r="602" spans="1:10" x14ac:dyDescent="0.25">
      <c r="A602" t="s">
        <v>223</v>
      </c>
      <c r="B602" t="s">
        <v>42</v>
      </c>
      <c r="C602" t="s">
        <v>34</v>
      </c>
      <c r="D602" t="s">
        <v>44</v>
      </c>
      <c r="E602" t="s">
        <v>30</v>
      </c>
      <c r="F602" t="s">
        <v>15</v>
      </c>
      <c r="G602">
        <v>15</v>
      </c>
      <c r="H602">
        <v>47531</v>
      </c>
      <c r="I602">
        <v>712965</v>
      </c>
      <c r="J602" t="s">
        <v>20</v>
      </c>
    </row>
    <row r="603" spans="1:10" x14ac:dyDescent="0.25">
      <c r="A603" t="s">
        <v>127</v>
      </c>
      <c r="B603" t="s">
        <v>11</v>
      </c>
      <c r="C603" t="s">
        <v>38</v>
      </c>
      <c r="D603" t="s">
        <v>24</v>
      </c>
      <c r="E603" t="s">
        <v>30</v>
      </c>
      <c r="F603" t="s">
        <v>26</v>
      </c>
      <c r="G603">
        <v>10</v>
      </c>
      <c r="H603">
        <v>54528</v>
      </c>
      <c r="I603">
        <v>545280</v>
      </c>
      <c r="J603" t="s">
        <v>36</v>
      </c>
    </row>
    <row r="604" spans="1:10" x14ac:dyDescent="0.25">
      <c r="A604" t="s">
        <v>276</v>
      </c>
      <c r="B604" t="s">
        <v>11</v>
      </c>
      <c r="C604" t="s">
        <v>34</v>
      </c>
      <c r="D604" t="s">
        <v>13</v>
      </c>
      <c r="E604" t="s">
        <v>30</v>
      </c>
      <c r="F604" t="s">
        <v>15</v>
      </c>
      <c r="G604">
        <v>20</v>
      </c>
      <c r="H604">
        <v>44612</v>
      </c>
      <c r="I604">
        <v>892240</v>
      </c>
      <c r="J604" t="s">
        <v>27</v>
      </c>
    </row>
    <row r="605" spans="1:10" x14ac:dyDescent="0.25">
      <c r="A605" t="s">
        <v>221</v>
      </c>
      <c r="B605" t="s">
        <v>18</v>
      </c>
      <c r="C605" t="s">
        <v>29</v>
      </c>
      <c r="D605" t="s">
        <v>48</v>
      </c>
      <c r="E605" t="s">
        <v>25</v>
      </c>
      <c r="F605" t="s">
        <v>15</v>
      </c>
      <c r="G605">
        <v>8</v>
      </c>
      <c r="H605">
        <v>42235</v>
      </c>
      <c r="I605">
        <v>337880</v>
      </c>
      <c r="J605" t="s">
        <v>16</v>
      </c>
    </row>
    <row r="606" spans="1:10" x14ac:dyDescent="0.25">
      <c r="A606" t="s">
        <v>329</v>
      </c>
      <c r="B606" t="s">
        <v>18</v>
      </c>
      <c r="C606" t="s">
        <v>34</v>
      </c>
      <c r="D606" t="s">
        <v>24</v>
      </c>
      <c r="E606" t="s">
        <v>30</v>
      </c>
      <c r="F606" t="s">
        <v>26</v>
      </c>
      <c r="G606">
        <v>15</v>
      </c>
      <c r="H606">
        <v>15705</v>
      </c>
      <c r="I606">
        <v>235575</v>
      </c>
      <c r="J606" t="s">
        <v>20</v>
      </c>
    </row>
    <row r="607" spans="1:10" x14ac:dyDescent="0.25">
      <c r="A607" t="s">
        <v>225</v>
      </c>
      <c r="B607" t="s">
        <v>33</v>
      </c>
      <c r="C607" t="s">
        <v>29</v>
      </c>
      <c r="D607" t="s">
        <v>44</v>
      </c>
      <c r="E607" t="s">
        <v>19</v>
      </c>
      <c r="F607" t="s">
        <v>40</v>
      </c>
      <c r="G607">
        <v>18</v>
      </c>
      <c r="H607">
        <v>52087</v>
      </c>
      <c r="I607">
        <v>937566</v>
      </c>
      <c r="J607" t="s">
        <v>16</v>
      </c>
    </row>
    <row r="608" spans="1:10" x14ac:dyDescent="0.25">
      <c r="A608" t="s">
        <v>211</v>
      </c>
      <c r="B608" t="s">
        <v>42</v>
      </c>
      <c r="C608" t="s">
        <v>23</v>
      </c>
      <c r="D608" t="s">
        <v>48</v>
      </c>
      <c r="E608" t="s">
        <v>19</v>
      </c>
      <c r="F608" t="s">
        <v>15</v>
      </c>
      <c r="G608">
        <v>10</v>
      </c>
      <c r="H608">
        <v>25793</v>
      </c>
      <c r="I608">
        <v>257930</v>
      </c>
      <c r="J608" t="s">
        <v>36</v>
      </c>
    </row>
    <row r="609" spans="1:10" x14ac:dyDescent="0.25">
      <c r="A609" t="s">
        <v>299</v>
      </c>
      <c r="B609" t="s">
        <v>11</v>
      </c>
      <c r="C609" t="s">
        <v>12</v>
      </c>
      <c r="D609" t="s">
        <v>44</v>
      </c>
      <c r="E609" t="s">
        <v>35</v>
      </c>
      <c r="F609" t="s">
        <v>15</v>
      </c>
      <c r="G609">
        <v>1</v>
      </c>
      <c r="H609">
        <v>21852</v>
      </c>
      <c r="I609">
        <v>21852</v>
      </c>
      <c r="J609" t="s">
        <v>36</v>
      </c>
    </row>
    <row r="610" spans="1:10" x14ac:dyDescent="0.25">
      <c r="A610" t="s">
        <v>330</v>
      </c>
      <c r="B610" t="s">
        <v>33</v>
      </c>
      <c r="C610" t="s">
        <v>23</v>
      </c>
      <c r="D610" t="s">
        <v>39</v>
      </c>
      <c r="E610" t="s">
        <v>35</v>
      </c>
      <c r="F610" t="s">
        <v>15</v>
      </c>
      <c r="G610">
        <v>13</v>
      </c>
      <c r="H610">
        <v>55136</v>
      </c>
      <c r="I610">
        <v>716768</v>
      </c>
      <c r="J610" t="s">
        <v>20</v>
      </c>
    </row>
    <row r="611" spans="1:10" x14ac:dyDescent="0.25">
      <c r="A611" t="s">
        <v>188</v>
      </c>
      <c r="B611" t="s">
        <v>11</v>
      </c>
      <c r="C611" t="s">
        <v>12</v>
      </c>
      <c r="D611" t="s">
        <v>44</v>
      </c>
      <c r="E611" t="s">
        <v>35</v>
      </c>
      <c r="F611" t="s">
        <v>26</v>
      </c>
      <c r="G611">
        <v>14</v>
      </c>
      <c r="H611">
        <v>23090</v>
      </c>
      <c r="I611">
        <v>323260</v>
      </c>
      <c r="J611" t="s">
        <v>36</v>
      </c>
    </row>
    <row r="612" spans="1:10" x14ac:dyDescent="0.25">
      <c r="A612" t="s">
        <v>214</v>
      </c>
      <c r="B612" t="s">
        <v>22</v>
      </c>
      <c r="C612" t="s">
        <v>34</v>
      </c>
      <c r="D612" t="s">
        <v>48</v>
      </c>
      <c r="E612" t="s">
        <v>35</v>
      </c>
      <c r="F612" t="s">
        <v>15</v>
      </c>
      <c r="G612">
        <v>7</v>
      </c>
      <c r="H612">
        <v>18280</v>
      </c>
      <c r="I612">
        <v>127960</v>
      </c>
      <c r="J612" t="s">
        <v>20</v>
      </c>
    </row>
    <row r="613" spans="1:10" x14ac:dyDescent="0.25">
      <c r="A613" t="s">
        <v>130</v>
      </c>
      <c r="B613" t="s">
        <v>18</v>
      </c>
      <c r="C613" t="s">
        <v>29</v>
      </c>
      <c r="D613" t="s">
        <v>39</v>
      </c>
      <c r="E613" t="s">
        <v>19</v>
      </c>
      <c r="F613" t="s">
        <v>26</v>
      </c>
      <c r="G613">
        <v>6</v>
      </c>
      <c r="H613">
        <v>40546</v>
      </c>
      <c r="I613">
        <v>243276</v>
      </c>
      <c r="J613" t="s">
        <v>16</v>
      </c>
    </row>
    <row r="614" spans="1:10" x14ac:dyDescent="0.25">
      <c r="A614" t="s">
        <v>266</v>
      </c>
      <c r="B614" t="s">
        <v>22</v>
      </c>
      <c r="C614" t="s">
        <v>38</v>
      </c>
      <c r="D614" t="s">
        <v>44</v>
      </c>
      <c r="E614" t="s">
        <v>14</v>
      </c>
      <c r="F614" t="s">
        <v>40</v>
      </c>
      <c r="G614">
        <v>19</v>
      </c>
      <c r="H614">
        <v>16363</v>
      </c>
      <c r="I614">
        <v>310897</v>
      </c>
      <c r="J614" t="s">
        <v>27</v>
      </c>
    </row>
    <row r="615" spans="1:10" x14ac:dyDescent="0.25">
      <c r="A615" t="s">
        <v>240</v>
      </c>
      <c r="B615" t="s">
        <v>42</v>
      </c>
      <c r="C615" t="s">
        <v>34</v>
      </c>
      <c r="D615" t="s">
        <v>39</v>
      </c>
      <c r="E615" t="s">
        <v>35</v>
      </c>
      <c r="F615" t="s">
        <v>15</v>
      </c>
      <c r="G615">
        <v>4</v>
      </c>
      <c r="H615">
        <v>24638</v>
      </c>
      <c r="I615">
        <v>98552</v>
      </c>
      <c r="J615" t="s">
        <v>36</v>
      </c>
    </row>
    <row r="616" spans="1:10" x14ac:dyDescent="0.25">
      <c r="A616" t="s">
        <v>289</v>
      </c>
      <c r="B616" t="s">
        <v>33</v>
      </c>
      <c r="C616" t="s">
        <v>29</v>
      </c>
      <c r="D616" t="s">
        <v>13</v>
      </c>
      <c r="E616" t="s">
        <v>25</v>
      </c>
      <c r="F616" t="s">
        <v>26</v>
      </c>
      <c r="G616">
        <v>19</v>
      </c>
      <c r="H616">
        <v>21808</v>
      </c>
      <c r="I616">
        <v>414352</v>
      </c>
      <c r="J616" t="s">
        <v>27</v>
      </c>
    </row>
    <row r="617" spans="1:10" x14ac:dyDescent="0.25">
      <c r="A617" t="s">
        <v>331</v>
      </c>
      <c r="B617" t="s">
        <v>22</v>
      </c>
      <c r="C617" t="s">
        <v>34</v>
      </c>
      <c r="D617" t="s">
        <v>13</v>
      </c>
      <c r="E617" t="s">
        <v>14</v>
      </c>
      <c r="F617" t="s">
        <v>40</v>
      </c>
      <c r="G617">
        <v>12</v>
      </c>
      <c r="H617">
        <v>33385</v>
      </c>
      <c r="I617">
        <v>400620</v>
      </c>
      <c r="J617" t="s">
        <v>20</v>
      </c>
    </row>
    <row r="618" spans="1:10" x14ac:dyDescent="0.25">
      <c r="A618" t="s">
        <v>332</v>
      </c>
      <c r="B618" t="s">
        <v>33</v>
      </c>
      <c r="C618" t="s">
        <v>12</v>
      </c>
      <c r="D618" t="s">
        <v>44</v>
      </c>
      <c r="E618" t="s">
        <v>25</v>
      </c>
      <c r="F618" t="s">
        <v>26</v>
      </c>
      <c r="G618">
        <v>15</v>
      </c>
      <c r="H618">
        <v>25999</v>
      </c>
      <c r="I618">
        <v>389985</v>
      </c>
      <c r="J618" t="s">
        <v>36</v>
      </c>
    </row>
    <row r="619" spans="1:10" x14ac:dyDescent="0.25">
      <c r="A619" t="s">
        <v>115</v>
      </c>
      <c r="B619" t="s">
        <v>42</v>
      </c>
      <c r="C619" t="s">
        <v>23</v>
      </c>
      <c r="D619" t="s">
        <v>44</v>
      </c>
      <c r="E619" t="s">
        <v>25</v>
      </c>
      <c r="F619" t="s">
        <v>26</v>
      </c>
      <c r="G619">
        <v>8</v>
      </c>
      <c r="H619">
        <v>48410</v>
      </c>
      <c r="I619">
        <v>387280</v>
      </c>
      <c r="J619" t="s">
        <v>36</v>
      </c>
    </row>
    <row r="620" spans="1:10" x14ac:dyDescent="0.25">
      <c r="A620" t="s">
        <v>297</v>
      </c>
      <c r="B620" t="s">
        <v>11</v>
      </c>
      <c r="C620" t="s">
        <v>23</v>
      </c>
      <c r="D620" t="s">
        <v>48</v>
      </c>
      <c r="E620" t="s">
        <v>25</v>
      </c>
      <c r="F620" t="s">
        <v>26</v>
      </c>
      <c r="G620">
        <v>13</v>
      </c>
      <c r="H620">
        <v>30507</v>
      </c>
      <c r="I620">
        <v>396591</v>
      </c>
      <c r="J620" t="s">
        <v>36</v>
      </c>
    </row>
    <row r="621" spans="1:10" x14ac:dyDescent="0.25">
      <c r="A621" t="s">
        <v>114</v>
      </c>
      <c r="B621" t="s">
        <v>22</v>
      </c>
      <c r="C621" t="s">
        <v>38</v>
      </c>
      <c r="D621" t="s">
        <v>39</v>
      </c>
      <c r="E621" t="s">
        <v>25</v>
      </c>
      <c r="F621" t="s">
        <v>26</v>
      </c>
      <c r="G621">
        <v>17</v>
      </c>
      <c r="H621">
        <v>41178</v>
      </c>
      <c r="I621">
        <v>700026</v>
      </c>
      <c r="J621" t="s">
        <v>20</v>
      </c>
    </row>
    <row r="622" spans="1:10" x14ac:dyDescent="0.25">
      <c r="A622" t="s">
        <v>316</v>
      </c>
      <c r="B622" t="s">
        <v>42</v>
      </c>
      <c r="C622" t="s">
        <v>23</v>
      </c>
      <c r="D622" t="s">
        <v>48</v>
      </c>
      <c r="E622" t="s">
        <v>25</v>
      </c>
      <c r="F622" t="s">
        <v>40</v>
      </c>
      <c r="G622">
        <v>13</v>
      </c>
      <c r="H622">
        <v>58922</v>
      </c>
      <c r="I622">
        <v>765986</v>
      </c>
      <c r="J622" t="s">
        <v>20</v>
      </c>
    </row>
    <row r="623" spans="1:10" x14ac:dyDescent="0.25">
      <c r="A623" t="s">
        <v>58</v>
      </c>
      <c r="B623" t="s">
        <v>22</v>
      </c>
      <c r="C623" t="s">
        <v>12</v>
      </c>
      <c r="D623" t="s">
        <v>44</v>
      </c>
      <c r="E623" t="s">
        <v>30</v>
      </c>
      <c r="F623" t="s">
        <v>15</v>
      </c>
      <c r="G623">
        <v>1</v>
      </c>
      <c r="H623">
        <v>25595</v>
      </c>
      <c r="I623">
        <v>25595</v>
      </c>
      <c r="J623" t="s">
        <v>16</v>
      </c>
    </row>
    <row r="624" spans="1:10" x14ac:dyDescent="0.25">
      <c r="A624" t="s">
        <v>333</v>
      </c>
      <c r="B624" t="s">
        <v>42</v>
      </c>
      <c r="C624" t="s">
        <v>12</v>
      </c>
      <c r="D624" t="s">
        <v>39</v>
      </c>
      <c r="E624" t="s">
        <v>14</v>
      </c>
      <c r="F624" t="s">
        <v>26</v>
      </c>
      <c r="G624">
        <v>8</v>
      </c>
      <c r="H624">
        <v>37750</v>
      </c>
      <c r="I624">
        <v>302000</v>
      </c>
      <c r="J624" t="s">
        <v>27</v>
      </c>
    </row>
    <row r="625" spans="1:10" x14ac:dyDescent="0.25">
      <c r="A625" t="s">
        <v>328</v>
      </c>
      <c r="B625" t="s">
        <v>11</v>
      </c>
      <c r="C625" t="s">
        <v>23</v>
      </c>
      <c r="D625" t="s">
        <v>13</v>
      </c>
      <c r="E625" t="s">
        <v>25</v>
      </c>
      <c r="F625" t="s">
        <v>26</v>
      </c>
      <c r="G625">
        <v>18</v>
      </c>
      <c r="H625">
        <v>17862</v>
      </c>
      <c r="I625">
        <v>321516</v>
      </c>
      <c r="J625" t="s">
        <v>27</v>
      </c>
    </row>
    <row r="626" spans="1:10" x14ac:dyDescent="0.25">
      <c r="A626" t="s">
        <v>270</v>
      </c>
      <c r="B626" t="s">
        <v>33</v>
      </c>
      <c r="C626" t="s">
        <v>34</v>
      </c>
      <c r="D626" t="s">
        <v>24</v>
      </c>
      <c r="E626" t="s">
        <v>30</v>
      </c>
      <c r="F626" t="s">
        <v>26</v>
      </c>
      <c r="G626">
        <v>16</v>
      </c>
      <c r="H626">
        <v>45801</v>
      </c>
      <c r="I626">
        <v>732816</v>
      </c>
      <c r="J626" t="s">
        <v>27</v>
      </c>
    </row>
    <row r="627" spans="1:10" x14ac:dyDescent="0.25">
      <c r="A627" t="s">
        <v>298</v>
      </c>
      <c r="B627" t="s">
        <v>18</v>
      </c>
      <c r="C627" t="s">
        <v>29</v>
      </c>
      <c r="D627" t="s">
        <v>24</v>
      </c>
      <c r="E627" t="s">
        <v>19</v>
      </c>
      <c r="F627" t="s">
        <v>40</v>
      </c>
      <c r="G627">
        <v>5</v>
      </c>
      <c r="H627">
        <v>41532</v>
      </c>
      <c r="I627">
        <v>207660</v>
      </c>
      <c r="J627" t="s">
        <v>27</v>
      </c>
    </row>
    <row r="628" spans="1:10" x14ac:dyDescent="0.25">
      <c r="A628" t="s">
        <v>57</v>
      </c>
      <c r="B628" t="s">
        <v>11</v>
      </c>
      <c r="C628" t="s">
        <v>38</v>
      </c>
      <c r="D628" t="s">
        <v>48</v>
      </c>
      <c r="E628" t="s">
        <v>14</v>
      </c>
      <c r="F628" t="s">
        <v>40</v>
      </c>
      <c r="G628">
        <v>19</v>
      </c>
      <c r="H628">
        <v>15786</v>
      </c>
      <c r="I628">
        <v>299934</v>
      </c>
      <c r="J628" t="s">
        <v>27</v>
      </c>
    </row>
    <row r="629" spans="1:10" x14ac:dyDescent="0.25">
      <c r="A629" t="s">
        <v>75</v>
      </c>
      <c r="B629" t="s">
        <v>18</v>
      </c>
      <c r="C629" t="s">
        <v>38</v>
      </c>
      <c r="D629" t="s">
        <v>44</v>
      </c>
      <c r="E629" t="s">
        <v>25</v>
      </c>
      <c r="F629" t="s">
        <v>40</v>
      </c>
      <c r="G629">
        <v>8</v>
      </c>
      <c r="H629">
        <v>34326</v>
      </c>
      <c r="I629">
        <v>274608</v>
      </c>
      <c r="J629" t="s">
        <v>16</v>
      </c>
    </row>
    <row r="630" spans="1:10" x14ac:dyDescent="0.25">
      <c r="A630" t="s">
        <v>256</v>
      </c>
      <c r="B630" t="s">
        <v>22</v>
      </c>
      <c r="C630" t="s">
        <v>38</v>
      </c>
      <c r="D630" t="s">
        <v>39</v>
      </c>
      <c r="E630" t="s">
        <v>35</v>
      </c>
      <c r="F630" t="s">
        <v>40</v>
      </c>
      <c r="G630">
        <v>8</v>
      </c>
      <c r="H630">
        <v>51853</v>
      </c>
      <c r="I630">
        <v>414824</v>
      </c>
      <c r="J630" t="s">
        <v>36</v>
      </c>
    </row>
    <row r="631" spans="1:10" x14ac:dyDescent="0.25">
      <c r="A631" t="s">
        <v>243</v>
      </c>
      <c r="B631" t="s">
        <v>33</v>
      </c>
      <c r="C631" t="s">
        <v>29</v>
      </c>
      <c r="D631" t="s">
        <v>24</v>
      </c>
      <c r="E631" t="s">
        <v>19</v>
      </c>
      <c r="F631" t="s">
        <v>15</v>
      </c>
      <c r="G631">
        <v>13</v>
      </c>
      <c r="H631">
        <v>44031</v>
      </c>
      <c r="I631">
        <v>572403</v>
      </c>
      <c r="J631" t="s">
        <v>27</v>
      </c>
    </row>
    <row r="632" spans="1:10" x14ac:dyDescent="0.25">
      <c r="A632" t="s">
        <v>334</v>
      </c>
      <c r="B632" t="s">
        <v>11</v>
      </c>
      <c r="C632" t="s">
        <v>23</v>
      </c>
      <c r="D632" t="s">
        <v>48</v>
      </c>
      <c r="E632" t="s">
        <v>30</v>
      </c>
      <c r="F632" t="s">
        <v>40</v>
      </c>
      <c r="G632">
        <v>4</v>
      </c>
      <c r="H632">
        <v>28670</v>
      </c>
      <c r="I632">
        <v>114680</v>
      </c>
      <c r="J632" t="s">
        <v>20</v>
      </c>
    </row>
    <row r="633" spans="1:10" x14ac:dyDescent="0.25">
      <c r="A633" t="s">
        <v>230</v>
      </c>
      <c r="B633" t="s">
        <v>11</v>
      </c>
      <c r="C633" t="s">
        <v>12</v>
      </c>
      <c r="D633" t="s">
        <v>13</v>
      </c>
      <c r="E633" t="s">
        <v>25</v>
      </c>
      <c r="F633" t="s">
        <v>40</v>
      </c>
      <c r="G633">
        <v>5</v>
      </c>
      <c r="H633">
        <v>57427</v>
      </c>
      <c r="I633">
        <v>287135</v>
      </c>
      <c r="J633" t="s">
        <v>36</v>
      </c>
    </row>
    <row r="634" spans="1:10" x14ac:dyDescent="0.25">
      <c r="A634" t="s">
        <v>297</v>
      </c>
      <c r="B634" t="s">
        <v>22</v>
      </c>
      <c r="C634" t="s">
        <v>23</v>
      </c>
      <c r="D634" t="s">
        <v>48</v>
      </c>
      <c r="E634" t="s">
        <v>35</v>
      </c>
      <c r="F634" t="s">
        <v>40</v>
      </c>
      <c r="G634">
        <v>10</v>
      </c>
      <c r="H634">
        <v>57549</v>
      </c>
      <c r="I634">
        <v>575490</v>
      </c>
      <c r="J634" t="s">
        <v>27</v>
      </c>
    </row>
    <row r="635" spans="1:10" x14ac:dyDescent="0.25">
      <c r="A635" t="s">
        <v>310</v>
      </c>
      <c r="B635" t="s">
        <v>22</v>
      </c>
      <c r="C635" t="s">
        <v>29</v>
      </c>
      <c r="D635" t="s">
        <v>48</v>
      </c>
      <c r="E635" t="s">
        <v>35</v>
      </c>
      <c r="F635" t="s">
        <v>15</v>
      </c>
      <c r="G635">
        <v>13</v>
      </c>
      <c r="H635">
        <v>41214</v>
      </c>
      <c r="I635">
        <v>535782</v>
      </c>
      <c r="J635" t="s">
        <v>27</v>
      </c>
    </row>
    <row r="636" spans="1:10" x14ac:dyDescent="0.25">
      <c r="A636" t="s">
        <v>335</v>
      </c>
      <c r="B636" t="s">
        <v>22</v>
      </c>
      <c r="C636" t="s">
        <v>29</v>
      </c>
      <c r="D636" t="s">
        <v>39</v>
      </c>
      <c r="E636" t="s">
        <v>14</v>
      </c>
      <c r="F636" t="s">
        <v>15</v>
      </c>
      <c r="G636">
        <v>9</v>
      </c>
      <c r="H636">
        <v>48697</v>
      </c>
      <c r="I636">
        <v>438273</v>
      </c>
      <c r="J636" t="s">
        <v>20</v>
      </c>
    </row>
    <row r="637" spans="1:10" x14ac:dyDescent="0.25">
      <c r="A637" t="s">
        <v>180</v>
      </c>
      <c r="B637" t="s">
        <v>18</v>
      </c>
      <c r="C637" t="s">
        <v>12</v>
      </c>
      <c r="D637" t="s">
        <v>48</v>
      </c>
      <c r="E637" t="s">
        <v>14</v>
      </c>
      <c r="F637" t="s">
        <v>26</v>
      </c>
      <c r="G637">
        <v>7</v>
      </c>
      <c r="H637">
        <v>59932</v>
      </c>
      <c r="I637">
        <v>419524</v>
      </c>
      <c r="J637" t="s">
        <v>27</v>
      </c>
    </row>
    <row r="638" spans="1:10" x14ac:dyDescent="0.25">
      <c r="A638" t="s">
        <v>114</v>
      </c>
      <c r="B638" t="s">
        <v>22</v>
      </c>
      <c r="C638" t="s">
        <v>34</v>
      </c>
      <c r="D638" t="s">
        <v>48</v>
      </c>
      <c r="E638" t="s">
        <v>35</v>
      </c>
      <c r="F638" t="s">
        <v>15</v>
      </c>
      <c r="G638">
        <v>19</v>
      </c>
      <c r="H638">
        <v>22157</v>
      </c>
      <c r="I638">
        <v>420983</v>
      </c>
      <c r="J638" t="s">
        <v>20</v>
      </c>
    </row>
    <row r="639" spans="1:10" x14ac:dyDescent="0.25">
      <c r="A639" t="s">
        <v>213</v>
      </c>
      <c r="B639" t="s">
        <v>11</v>
      </c>
      <c r="C639" t="s">
        <v>38</v>
      </c>
      <c r="D639" t="s">
        <v>39</v>
      </c>
      <c r="E639" t="s">
        <v>35</v>
      </c>
      <c r="F639" t="s">
        <v>15</v>
      </c>
      <c r="G639">
        <v>13</v>
      </c>
      <c r="H639">
        <v>49387</v>
      </c>
      <c r="I639">
        <v>642031</v>
      </c>
      <c r="J639" t="s">
        <v>20</v>
      </c>
    </row>
    <row r="640" spans="1:10" x14ac:dyDescent="0.25">
      <c r="A640" t="s">
        <v>56</v>
      </c>
      <c r="B640" t="s">
        <v>33</v>
      </c>
      <c r="C640" t="s">
        <v>23</v>
      </c>
      <c r="D640" t="s">
        <v>24</v>
      </c>
      <c r="E640" t="s">
        <v>14</v>
      </c>
      <c r="F640" t="s">
        <v>15</v>
      </c>
      <c r="G640">
        <v>5</v>
      </c>
      <c r="H640">
        <v>22170</v>
      </c>
      <c r="I640">
        <v>110850</v>
      </c>
      <c r="J640" t="s">
        <v>16</v>
      </c>
    </row>
    <row r="641" spans="1:10" x14ac:dyDescent="0.25">
      <c r="A641" t="s">
        <v>63</v>
      </c>
      <c r="B641" t="s">
        <v>42</v>
      </c>
      <c r="C641" t="s">
        <v>34</v>
      </c>
      <c r="D641" t="s">
        <v>39</v>
      </c>
      <c r="E641" t="s">
        <v>30</v>
      </c>
      <c r="F641" t="s">
        <v>26</v>
      </c>
      <c r="G641">
        <v>9</v>
      </c>
      <c r="H641">
        <v>27285</v>
      </c>
      <c r="I641">
        <v>245565</v>
      </c>
      <c r="J641" t="s">
        <v>20</v>
      </c>
    </row>
    <row r="642" spans="1:10" x14ac:dyDescent="0.25">
      <c r="A642" t="s">
        <v>259</v>
      </c>
      <c r="B642" t="s">
        <v>18</v>
      </c>
      <c r="C642" t="s">
        <v>38</v>
      </c>
      <c r="D642" t="s">
        <v>39</v>
      </c>
      <c r="E642" t="s">
        <v>25</v>
      </c>
      <c r="F642" t="s">
        <v>26</v>
      </c>
      <c r="G642">
        <v>3</v>
      </c>
      <c r="H642">
        <v>54365</v>
      </c>
      <c r="I642">
        <v>163095</v>
      </c>
      <c r="J642" t="s">
        <v>16</v>
      </c>
    </row>
    <row r="643" spans="1:10" x14ac:dyDescent="0.25">
      <c r="A643" t="s">
        <v>114</v>
      </c>
      <c r="B643" t="s">
        <v>18</v>
      </c>
      <c r="C643" t="s">
        <v>34</v>
      </c>
      <c r="D643" t="s">
        <v>13</v>
      </c>
      <c r="E643" t="s">
        <v>25</v>
      </c>
      <c r="F643" t="s">
        <v>15</v>
      </c>
      <c r="G643">
        <v>6</v>
      </c>
      <c r="H643">
        <v>45477</v>
      </c>
      <c r="I643">
        <v>272862</v>
      </c>
      <c r="J643" t="s">
        <v>36</v>
      </c>
    </row>
    <row r="644" spans="1:10" x14ac:dyDescent="0.25">
      <c r="A644" t="s">
        <v>186</v>
      </c>
      <c r="B644" t="s">
        <v>18</v>
      </c>
      <c r="C644" t="s">
        <v>12</v>
      </c>
      <c r="D644" t="s">
        <v>44</v>
      </c>
      <c r="E644" t="s">
        <v>14</v>
      </c>
      <c r="F644" t="s">
        <v>15</v>
      </c>
      <c r="G644">
        <v>10</v>
      </c>
      <c r="H644">
        <v>31986</v>
      </c>
      <c r="I644">
        <v>319860</v>
      </c>
      <c r="J644" t="s">
        <v>20</v>
      </c>
    </row>
    <row r="645" spans="1:10" x14ac:dyDescent="0.25">
      <c r="A645" t="s">
        <v>292</v>
      </c>
      <c r="B645" t="s">
        <v>11</v>
      </c>
      <c r="C645" t="s">
        <v>38</v>
      </c>
      <c r="D645" t="s">
        <v>13</v>
      </c>
      <c r="E645" t="s">
        <v>25</v>
      </c>
      <c r="F645" t="s">
        <v>26</v>
      </c>
      <c r="G645">
        <v>10</v>
      </c>
      <c r="H645">
        <v>32220</v>
      </c>
      <c r="I645">
        <v>322200</v>
      </c>
      <c r="J645" t="s">
        <v>27</v>
      </c>
    </row>
    <row r="646" spans="1:10" x14ac:dyDescent="0.25">
      <c r="A646" t="s">
        <v>336</v>
      </c>
      <c r="B646" t="s">
        <v>11</v>
      </c>
      <c r="C646" t="s">
        <v>29</v>
      </c>
      <c r="D646" t="s">
        <v>39</v>
      </c>
      <c r="E646" t="s">
        <v>30</v>
      </c>
      <c r="F646" t="s">
        <v>15</v>
      </c>
      <c r="G646">
        <v>7</v>
      </c>
      <c r="H646">
        <v>23339</v>
      </c>
      <c r="I646">
        <v>163373</v>
      </c>
      <c r="J646" t="s">
        <v>36</v>
      </c>
    </row>
    <row r="647" spans="1:10" x14ac:dyDescent="0.25">
      <c r="A647" t="s">
        <v>132</v>
      </c>
      <c r="B647" t="s">
        <v>18</v>
      </c>
      <c r="C647" t="s">
        <v>23</v>
      </c>
      <c r="D647" t="s">
        <v>13</v>
      </c>
      <c r="E647" t="s">
        <v>30</v>
      </c>
      <c r="F647" t="s">
        <v>40</v>
      </c>
      <c r="G647">
        <v>19</v>
      </c>
      <c r="H647">
        <v>45677</v>
      </c>
      <c r="I647">
        <v>867863</v>
      </c>
      <c r="J647" t="s">
        <v>20</v>
      </c>
    </row>
    <row r="648" spans="1:10" x14ac:dyDescent="0.25">
      <c r="A648" t="s">
        <v>179</v>
      </c>
      <c r="B648" t="s">
        <v>42</v>
      </c>
      <c r="C648" t="s">
        <v>29</v>
      </c>
      <c r="D648" t="s">
        <v>24</v>
      </c>
      <c r="E648" t="s">
        <v>35</v>
      </c>
      <c r="F648" t="s">
        <v>40</v>
      </c>
      <c r="G648">
        <v>12</v>
      </c>
      <c r="H648">
        <v>47366</v>
      </c>
      <c r="I648">
        <v>568392</v>
      </c>
      <c r="J648" t="s">
        <v>36</v>
      </c>
    </row>
    <row r="649" spans="1:10" x14ac:dyDescent="0.25">
      <c r="A649" t="s">
        <v>334</v>
      </c>
      <c r="B649" t="s">
        <v>11</v>
      </c>
      <c r="C649" t="s">
        <v>12</v>
      </c>
      <c r="D649" t="s">
        <v>48</v>
      </c>
      <c r="E649" t="s">
        <v>25</v>
      </c>
      <c r="F649" t="s">
        <v>15</v>
      </c>
      <c r="G649">
        <v>10</v>
      </c>
      <c r="H649">
        <v>56741</v>
      </c>
      <c r="I649">
        <v>567410</v>
      </c>
      <c r="J649" t="s">
        <v>36</v>
      </c>
    </row>
    <row r="650" spans="1:10" x14ac:dyDescent="0.25">
      <c r="A650" t="s">
        <v>283</v>
      </c>
      <c r="B650" t="s">
        <v>33</v>
      </c>
      <c r="C650" t="s">
        <v>34</v>
      </c>
      <c r="D650" t="s">
        <v>44</v>
      </c>
      <c r="E650" t="s">
        <v>19</v>
      </c>
      <c r="F650" t="s">
        <v>40</v>
      </c>
      <c r="G650">
        <v>14</v>
      </c>
      <c r="H650">
        <v>44351</v>
      </c>
      <c r="I650">
        <v>620914</v>
      </c>
      <c r="J650" t="s">
        <v>16</v>
      </c>
    </row>
    <row r="651" spans="1:10" x14ac:dyDescent="0.25">
      <c r="A651" t="s">
        <v>223</v>
      </c>
      <c r="B651" t="s">
        <v>18</v>
      </c>
      <c r="C651" t="s">
        <v>23</v>
      </c>
      <c r="D651" t="s">
        <v>48</v>
      </c>
      <c r="E651" t="s">
        <v>25</v>
      </c>
      <c r="F651" t="s">
        <v>26</v>
      </c>
      <c r="G651">
        <v>11</v>
      </c>
      <c r="H651">
        <v>37518</v>
      </c>
      <c r="I651">
        <v>412698</v>
      </c>
      <c r="J651" t="s">
        <v>36</v>
      </c>
    </row>
    <row r="652" spans="1:10" x14ac:dyDescent="0.25">
      <c r="A652" t="s">
        <v>28</v>
      </c>
      <c r="B652" t="s">
        <v>33</v>
      </c>
      <c r="C652" t="s">
        <v>23</v>
      </c>
      <c r="D652" t="s">
        <v>44</v>
      </c>
      <c r="E652" t="s">
        <v>14</v>
      </c>
      <c r="F652" t="s">
        <v>26</v>
      </c>
      <c r="G652">
        <v>14</v>
      </c>
      <c r="H652">
        <v>36775</v>
      </c>
      <c r="I652">
        <v>514850</v>
      </c>
      <c r="J652" t="s">
        <v>36</v>
      </c>
    </row>
    <row r="653" spans="1:10" x14ac:dyDescent="0.25">
      <c r="A653" t="s">
        <v>126</v>
      </c>
      <c r="B653" t="s">
        <v>22</v>
      </c>
      <c r="C653" t="s">
        <v>29</v>
      </c>
      <c r="D653" t="s">
        <v>24</v>
      </c>
      <c r="E653" t="s">
        <v>19</v>
      </c>
      <c r="F653" t="s">
        <v>26</v>
      </c>
      <c r="G653">
        <v>14</v>
      </c>
      <c r="H653">
        <v>51587</v>
      </c>
      <c r="I653">
        <v>722218</v>
      </c>
      <c r="J653" t="s">
        <v>16</v>
      </c>
    </row>
    <row r="654" spans="1:10" x14ac:dyDescent="0.25">
      <c r="A654" t="s">
        <v>62</v>
      </c>
      <c r="B654" t="s">
        <v>18</v>
      </c>
      <c r="C654" t="s">
        <v>23</v>
      </c>
      <c r="D654" t="s">
        <v>39</v>
      </c>
      <c r="E654" t="s">
        <v>25</v>
      </c>
      <c r="F654" t="s">
        <v>40</v>
      </c>
      <c r="G654">
        <v>7</v>
      </c>
      <c r="H654">
        <v>26373</v>
      </c>
      <c r="I654">
        <v>184611</v>
      </c>
      <c r="J654" t="s">
        <v>27</v>
      </c>
    </row>
    <row r="655" spans="1:10" x14ac:dyDescent="0.25">
      <c r="A655" t="s">
        <v>244</v>
      </c>
      <c r="B655" t="s">
        <v>42</v>
      </c>
      <c r="C655" t="s">
        <v>12</v>
      </c>
      <c r="D655" t="s">
        <v>13</v>
      </c>
      <c r="E655" t="s">
        <v>14</v>
      </c>
      <c r="F655" t="s">
        <v>15</v>
      </c>
      <c r="G655">
        <v>11</v>
      </c>
      <c r="H655">
        <v>20111</v>
      </c>
      <c r="I655">
        <v>221221</v>
      </c>
      <c r="J655" t="s">
        <v>16</v>
      </c>
    </row>
    <row r="656" spans="1:10" x14ac:dyDescent="0.25">
      <c r="A656" t="s">
        <v>292</v>
      </c>
      <c r="B656" t="s">
        <v>42</v>
      </c>
      <c r="C656" t="s">
        <v>12</v>
      </c>
      <c r="D656" t="s">
        <v>48</v>
      </c>
      <c r="E656" t="s">
        <v>35</v>
      </c>
      <c r="F656" t="s">
        <v>26</v>
      </c>
      <c r="G656">
        <v>14</v>
      </c>
      <c r="H656">
        <v>58488</v>
      </c>
      <c r="I656">
        <v>818832</v>
      </c>
      <c r="J656" t="s">
        <v>20</v>
      </c>
    </row>
    <row r="657" spans="1:10" x14ac:dyDescent="0.25">
      <c r="A657" t="s">
        <v>250</v>
      </c>
      <c r="B657" t="s">
        <v>11</v>
      </c>
      <c r="C657" t="s">
        <v>34</v>
      </c>
      <c r="D657" t="s">
        <v>39</v>
      </c>
      <c r="E657" t="s">
        <v>25</v>
      </c>
      <c r="F657" t="s">
        <v>15</v>
      </c>
      <c r="G657">
        <v>6</v>
      </c>
      <c r="H657">
        <v>38290</v>
      </c>
      <c r="I657">
        <v>229740</v>
      </c>
      <c r="J657" t="s">
        <v>20</v>
      </c>
    </row>
    <row r="658" spans="1:10" x14ac:dyDescent="0.25">
      <c r="A658" t="s">
        <v>316</v>
      </c>
      <c r="B658" t="s">
        <v>33</v>
      </c>
      <c r="C658" t="s">
        <v>38</v>
      </c>
      <c r="D658" t="s">
        <v>13</v>
      </c>
      <c r="E658" t="s">
        <v>25</v>
      </c>
      <c r="F658" t="s">
        <v>26</v>
      </c>
      <c r="G658">
        <v>11</v>
      </c>
      <c r="H658">
        <v>52526</v>
      </c>
      <c r="I658">
        <v>577786</v>
      </c>
      <c r="J658" t="s">
        <v>16</v>
      </c>
    </row>
    <row r="659" spans="1:10" x14ac:dyDescent="0.25">
      <c r="A659" t="s">
        <v>120</v>
      </c>
      <c r="B659" t="s">
        <v>18</v>
      </c>
      <c r="C659" t="s">
        <v>38</v>
      </c>
      <c r="D659" t="s">
        <v>24</v>
      </c>
      <c r="E659" t="s">
        <v>19</v>
      </c>
      <c r="F659" t="s">
        <v>26</v>
      </c>
      <c r="G659">
        <v>10</v>
      </c>
      <c r="H659">
        <v>44117</v>
      </c>
      <c r="I659">
        <v>441170</v>
      </c>
      <c r="J659" t="s">
        <v>36</v>
      </c>
    </row>
    <row r="660" spans="1:10" x14ac:dyDescent="0.25">
      <c r="A660" t="s">
        <v>337</v>
      </c>
      <c r="B660" t="s">
        <v>33</v>
      </c>
      <c r="C660" t="s">
        <v>23</v>
      </c>
      <c r="D660" t="s">
        <v>48</v>
      </c>
      <c r="E660" t="s">
        <v>25</v>
      </c>
      <c r="F660" t="s">
        <v>26</v>
      </c>
      <c r="G660">
        <v>14</v>
      </c>
      <c r="H660">
        <v>21850</v>
      </c>
      <c r="I660">
        <v>305900</v>
      </c>
      <c r="J660" t="s">
        <v>36</v>
      </c>
    </row>
    <row r="661" spans="1:10" x14ac:dyDescent="0.25">
      <c r="A661" t="s">
        <v>283</v>
      </c>
      <c r="B661" t="s">
        <v>11</v>
      </c>
      <c r="C661" t="s">
        <v>29</v>
      </c>
      <c r="D661" t="s">
        <v>24</v>
      </c>
      <c r="E661" t="s">
        <v>25</v>
      </c>
      <c r="F661" t="s">
        <v>26</v>
      </c>
      <c r="G661">
        <v>14</v>
      </c>
      <c r="H661">
        <v>52223</v>
      </c>
      <c r="I661">
        <v>731122</v>
      </c>
      <c r="J661" t="s">
        <v>36</v>
      </c>
    </row>
    <row r="662" spans="1:10" x14ac:dyDescent="0.25">
      <c r="A662" t="s">
        <v>153</v>
      </c>
      <c r="B662" t="s">
        <v>22</v>
      </c>
      <c r="C662" t="s">
        <v>29</v>
      </c>
      <c r="D662" t="s">
        <v>48</v>
      </c>
      <c r="E662" t="s">
        <v>14</v>
      </c>
      <c r="F662" t="s">
        <v>26</v>
      </c>
      <c r="G662">
        <v>19</v>
      </c>
      <c r="H662">
        <v>57605</v>
      </c>
      <c r="I662">
        <v>1094495</v>
      </c>
      <c r="J662" t="s">
        <v>16</v>
      </c>
    </row>
    <row r="663" spans="1:10" x14ac:dyDescent="0.25">
      <c r="A663" t="s">
        <v>191</v>
      </c>
      <c r="B663" t="s">
        <v>42</v>
      </c>
      <c r="C663" t="s">
        <v>23</v>
      </c>
      <c r="D663" t="s">
        <v>39</v>
      </c>
      <c r="E663" t="s">
        <v>19</v>
      </c>
      <c r="F663" t="s">
        <v>26</v>
      </c>
      <c r="G663">
        <v>19</v>
      </c>
      <c r="H663">
        <v>44587</v>
      </c>
      <c r="I663">
        <v>847153</v>
      </c>
      <c r="J663" t="s">
        <v>27</v>
      </c>
    </row>
    <row r="664" spans="1:10" x14ac:dyDescent="0.25">
      <c r="A664" t="s">
        <v>116</v>
      </c>
      <c r="B664" t="s">
        <v>42</v>
      </c>
      <c r="C664" t="s">
        <v>12</v>
      </c>
      <c r="D664" t="s">
        <v>39</v>
      </c>
      <c r="E664" t="s">
        <v>14</v>
      </c>
      <c r="F664" t="s">
        <v>26</v>
      </c>
      <c r="G664">
        <v>16</v>
      </c>
      <c r="H664">
        <v>19701</v>
      </c>
      <c r="I664">
        <v>315216</v>
      </c>
      <c r="J664" t="s">
        <v>20</v>
      </c>
    </row>
    <row r="665" spans="1:10" x14ac:dyDescent="0.25">
      <c r="A665" t="s">
        <v>107</v>
      </c>
      <c r="B665" t="s">
        <v>11</v>
      </c>
      <c r="C665" t="s">
        <v>34</v>
      </c>
      <c r="D665" t="s">
        <v>39</v>
      </c>
      <c r="E665" t="s">
        <v>35</v>
      </c>
      <c r="F665" t="s">
        <v>26</v>
      </c>
      <c r="G665">
        <v>2</v>
      </c>
      <c r="H665">
        <v>39217</v>
      </c>
      <c r="I665">
        <v>78434</v>
      </c>
      <c r="J665" t="s">
        <v>36</v>
      </c>
    </row>
    <row r="666" spans="1:10" x14ac:dyDescent="0.25">
      <c r="A666" t="s">
        <v>47</v>
      </c>
      <c r="B666" t="s">
        <v>11</v>
      </c>
      <c r="C666" t="s">
        <v>38</v>
      </c>
      <c r="D666" t="s">
        <v>44</v>
      </c>
      <c r="E666" t="s">
        <v>35</v>
      </c>
      <c r="F666" t="s">
        <v>15</v>
      </c>
      <c r="G666">
        <v>8</v>
      </c>
      <c r="H666">
        <v>19850</v>
      </c>
      <c r="I666">
        <v>158800</v>
      </c>
      <c r="J666" t="s">
        <v>16</v>
      </c>
    </row>
    <row r="667" spans="1:10" x14ac:dyDescent="0.25">
      <c r="A667" t="s">
        <v>17</v>
      </c>
      <c r="B667" t="s">
        <v>11</v>
      </c>
      <c r="C667" t="s">
        <v>38</v>
      </c>
      <c r="D667" t="s">
        <v>48</v>
      </c>
      <c r="E667" t="s">
        <v>30</v>
      </c>
      <c r="F667" t="s">
        <v>40</v>
      </c>
      <c r="G667">
        <v>6</v>
      </c>
      <c r="H667">
        <v>43197</v>
      </c>
      <c r="I667">
        <v>259182</v>
      </c>
      <c r="J667" t="s">
        <v>27</v>
      </c>
    </row>
    <row r="668" spans="1:10" x14ac:dyDescent="0.25">
      <c r="A668" t="s">
        <v>206</v>
      </c>
      <c r="B668" t="s">
        <v>42</v>
      </c>
      <c r="C668" t="s">
        <v>38</v>
      </c>
      <c r="D668" t="s">
        <v>24</v>
      </c>
      <c r="E668" t="s">
        <v>19</v>
      </c>
      <c r="F668" t="s">
        <v>26</v>
      </c>
      <c r="G668">
        <v>9</v>
      </c>
      <c r="H668">
        <v>21657</v>
      </c>
      <c r="I668">
        <v>194913</v>
      </c>
      <c r="J668" t="s">
        <v>36</v>
      </c>
    </row>
    <row r="669" spans="1:10" x14ac:dyDescent="0.25">
      <c r="A669" t="s">
        <v>129</v>
      </c>
      <c r="B669" t="s">
        <v>22</v>
      </c>
      <c r="C669" t="s">
        <v>29</v>
      </c>
      <c r="D669" t="s">
        <v>24</v>
      </c>
      <c r="E669" t="s">
        <v>14</v>
      </c>
      <c r="F669" t="s">
        <v>15</v>
      </c>
      <c r="G669">
        <v>10</v>
      </c>
      <c r="H669">
        <v>50298</v>
      </c>
      <c r="I669">
        <v>502980</v>
      </c>
      <c r="J669" t="s">
        <v>16</v>
      </c>
    </row>
    <row r="670" spans="1:10" x14ac:dyDescent="0.25">
      <c r="A670" t="s">
        <v>139</v>
      </c>
      <c r="B670" t="s">
        <v>18</v>
      </c>
      <c r="C670" t="s">
        <v>29</v>
      </c>
      <c r="D670" t="s">
        <v>24</v>
      </c>
      <c r="E670" t="s">
        <v>30</v>
      </c>
      <c r="F670" t="s">
        <v>40</v>
      </c>
      <c r="G670">
        <v>16</v>
      </c>
      <c r="H670">
        <v>29978</v>
      </c>
      <c r="I670">
        <v>479648</v>
      </c>
      <c r="J670" t="s">
        <v>20</v>
      </c>
    </row>
    <row r="671" spans="1:10" x14ac:dyDescent="0.25">
      <c r="A671" t="s">
        <v>127</v>
      </c>
      <c r="B671" t="s">
        <v>18</v>
      </c>
      <c r="C671" t="s">
        <v>34</v>
      </c>
      <c r="D671" t="s">
        <v>13</v>
      </c>
      <c r="E671" t="s">
        <v>35</v>
      </c>
      <c r="F671" t="s">
        <v>40</v>
      </c>
      <c r="G671">
        <v>13</v>
      </c>
      <c r="H671">
        <v>43505</v>
      </c>
      <c r="I671">
        <v>565565</v>
      </c>
      <c r="J671" t="s">
        <v>27</v>
      </c>
    </row>
    <row r="672" spans="1:10" x14ac:dyDescent="0.25">
      <c r="A672" t="s">
        <v>338</v>
      </c>
      <c r="B672" t="s">
        <v>22</v>
      </c>
      <c r="C672" t="s">
        <v>34</v>
      </c>
      <c r="D672" t="s">
        <v>13</v>
      </c>
      <c r="E672" t="s">
        <v>14</v>
      </c>
      <c r="F672" t="s">
        <v>15</v>
      </c>
      <c r="G672">
        <v>4</v>
      </c>
      <c r="H672">
        <v>43477</v>
      </c>
      <c r="I672">
        <v>173908</v>
      </c>
      <c r="J672" t="s">
        <v>36</v>
      </c>
    </row>
    <row r="673" spans="1:10" x14ac:dyDescent="0.25">
      <c r="A673" t="s">
        <v>256</v>
      </c>
      <c r="B673" t="s">
        <v>22</v>
      </c>
      <c r="C673" t="s">
        <v>38</v>
      </c>
      <c r="D673" t="s">
        <v>44</v>
      </c>
      <c r="E673" t="s">
        <v>25</v>
      </c>
      <c r="F673" t="s">
        <v>15</v>
      </c>
      <c r="G673">
        <v>1</v>
      </c>
      <c r="H673">
        <v>23083</v>
      </c>
      <c r="I673">
        <v>23083</v>
      </c>
      <c r="J673" t="s">
        <v>16</v>
      </c>
    </row>
    <row r="674" spans="1:10" x14ac:dyDescent="0.25">
      <c r="A674" t="s">
        <v>246</v>
      </c>
      <c r="B674" t="s">
        <v>18</v>
      </c>
      <c r="C674" t="s">
        <v>38</v>
      </c>
      <c r="D674" t="s">
        <v>48</v>
      </c>
      <c r="E674" t="s">
        <v>14</v>
      </c>
      <c r="F674" t="s">
        <v>40</v>
      </c>
      <c r="G674">
        <v>13</v>
      </c>
      <c r="H674">
        <v>23524</v>
      </c>
      <c r="I674">
        <v>305812</v>
      </c>
      <c r="J674" t="s">
        <v>27</v>
      </c>
    </row>
    <row r="675" spans="1:10" x14ac:dyDescent="0.25">
      <c r="A675" t="s">
        <v>256</v>
      </c>
      <c r="B675" t="s">
        <v>42</v>
      </c>
      <c r="C675" t="s">
        <v>12</v>
      </c>
      <c r="D675" t="s">
        <v>13</v>
      </c>
      <c r="E675" t="s">
        <v>30</v>
      </c>
      <c r="F675" t="s">
        <v>15</v>
      </c>
      <c r="G675">
        <v>15</v>
      </c>
      <c r="H675">
        <v>22004</v>
      </c>
      <c r="I675">
        <v>330060</v>
      </c>
      <c r="J675" t="s">
        <v>36</v>
      </c>
    </row>
    <row r="676" spans="1:10" x14ac:dyDescent="0.25">
      <c r="A676" t="s">
        <v>314</v>
      </c>
      <c r="B676" t="s">
        <v>11</v>
      </c>
      <c r="C676" t="s">
        <v>12</v>
      </c>
      <c r="D676" t="s">
        <v>13</v>
      </c>
      <c r="E676" t="s">
        <v>35</v>
      </c>
      <c r="F676" t="s">
        <v>40</v>
      </c>
      <c r="G676">
        <v>9</v>
      </c>
      <c r="H676">
        <v>36558</v>
      </c>
      <c r="I676">
        <v>329022</v>
      </c>
      <c r="J676" t="s">
        <v>36</v>
      </c>
    </row>
    <row r="677" spans="1:10" x14ac:dyDescent="0.25">
      <c r="A677" t="s">
        <v>309</v>
      </c>
      <c r="B677" t="s">
        <v>42</v>
      </c>
      <c r="C677" t="s">
        <v>12</v>
      </c>
      <c r="D677" t="s">
        <v>24</v>
      </c>
      <c r="E677" t="s">
        <v>35</v>
      </c>
      <c r="F677" t="s">
        <v>15</v>
      </c>
      <c r="G677">
        <v>16</v>
      </c>
      <c r="H677">
        <v>22955</v>
      </c>
      <c r="I677">
        <v>367280</v>
      </c>
      <c r="J677" t="s">
        <v>20</v>
      </c>
    </row>
    <row r="678" spans="1:10" x14ac:dyDescent="0.25">
      <c r="A678" t="s">
        <v>287</v>
      </c>
      <c r="B678" t="s">
        <v>11</v>
      </c>
      <c r="C678" t="s">
        <v>38</v>
      </c>
      <c r="D678" t="s">
        <v>13</v>
      </c>
      <c r="E678" t="s">
        <v>35</v>
      </c>
      <c r="F678" t="s">
        <v>40</v>
      </c>
      <c r="G678">
        <v>1</v>
      </c>
      <c r="H678">
        <v>25144</v>
      </c>
      <c r="I678">
        <v>25144</v>
      </c>
      <c r="J678" t="s">
        <v>27</v>
      </c>
    </row>
    <row r="679" spans="1:10" x14ac:dyDescent="0.25">
      <c r="A679" t="s">
        <v>95</v>
      </c>
      <c r="B679" t="s">
        <v>18</v>
      </c>
      <c r="C679" t="s">
        <v>34</v>
      </c>
      <c r="D679" t="s">
        <v>39</v>
      </c>
      <c r="E679" t="s">
        <v>30</v>
      </c>
      <c r="F679" t="s">
        <v>40</v>
      </c>
      <c r="G679">
        <v>2</v>
      </c>
      <c r="H679">
        <v>49020</v>
      </c>
      <c r="I679">
        <v>98040</v>
      </c>
      <c r="J679" t="s">
        <v>27</v>
      </c>
    </row>
    <row r="680" spans="1:10" x14ac:dyDescent="0.25">
      <c r="A680" t="s">
        <v>158</v>
      </c>
      <c r="B680" t="s">
        <v>33</v>
      </c>
      <c r="C680" t="s">
        <v>29</v>
      </c>
      <c r="D680" t="s">
        <v>48</v>
      </c>
      <c r="E680" t="s">
        <v>19</v>
      </c>
      <c r="F680" t="s">
        <v>40</v>
      </c>
      <c r="G680">
        <v>9</v>
      </c>
      <c r="H680">
        <v>40022</v>
      </c>
      <c r="I680">
        <v>360198</v>
      </c>
      <c r="J680" t="s">
        <v>27</v>
      </c>
    </row>
    <row r="681" spans="1:10" x14ac:dyDescent="0.25">
      <c r="A681" t="s">
        <v>238</v>
      </c>
      <c r="B681" t="s">
        <v>42</v>
      </c>
      <c r="C681" t="s">
        <v>38</v>
      </c>
      <c r="D681" t="s">
        <v>24</v>
      </c>
      <c r="E681" t="s">
        <v>25</v>
      </c>
      <c r="F681" t="s">
        <v>15</v>
      </c>
      <c r="G681">
        <v>5</v>
      </c>
      <c r="H681">
        <v>23955</v>
      </c>
      <c r="I681">
        <v>119775</v>
      </c>
      <c r="J681" t="s">
        <v>27</v>
      </c>
    </row>
    <row r="682" spans="1:10" x14ac:dyDescent="0.25">
      <c r="A682" t="s">
        <v>322</v>
      </c>
      <c r="B682" t="s">
        <v>18</v>
      </c>
      <c r="C682" t="s">
        <v>23</v>
      </c>
      <c r="D682" t="s">
        <v>48</v>
      </c>
      <c r="E682" t="s">
        <v>19</v>
      </c>
      <c r="F682" t="s">
        <v>26</v>
      </c>
      <c r="G682">
        <v>11</v>
      </c>
      <c r="H682">
        <v>21454</v>
      </c>
      <c r="I682">
        <v>235994</v>
      </c>
      <c r="J682" t="s">
        <v>20</v>
      </c>
    </row>
    <row r="683" spans="1:10" x14ac:dyDescent="0.25">
      <c r="A683" t="s">
        <v>101</v>
      </c>
      <c r="B683" t="s">
        <v>11</v>
      </c>
      <c r="C683" t="s">
        <v>34</v>
      </c>
      <c r="D683" t="s">
        <v>24</v>
      </c>
      <c r="E683" t="s">
        <v>35</v>
      </c>
      <c r="F683" t="s">
        <v>15</v>
      </c>
      <c r="G683">
        <v>11</v>
      </c>
      <c r="H683">
        <v>35631</v>
      </c>
      <c r="I683">
        <v>391941</v>
      </c>
      <c r="J683" t="s">
        <v>20</v>
      </c>
    </row>
    <row r="684" spans="1:10" x14ac:dyDescent="0.25">
      <c r="A684" t="s">
        <v>322</v>
      </c>
      <c r="B684" t="s">
        <v>18</v>
      </c>
      <c r="C684" t="s">
        <v>34</v>
      </c>
      <c r="D684" t="s">
        <v>44</v>
      </c>
      <c r="E684" t="s">
        <v>25</v>
      </c>
      <c r="F684" t="s">
        <v>15</v>
      </c>
      <c r="G684">
        <v>11</v>
      </c>
      <c r="H684">
        <v>16949</v>
      </c>
      <c r="I684">
        <v>186439</v>
      </c>
      <c r="J684" t="s">
        <v>36</v>
      </c>
    </row>
    <row r="685" spans="1:10" x14ac:dyDescent="0.25">
      <c r="A685" t="s">
        <v>193</v>
      </c>
      <c r="B685" t="s">
        <v>42</v>
      </c>
      <c r="C685" t="s">
        <v>23</v>
      </c>
      <c r="D685" t="s">
        <v>24</v>
      </c>
      <c r="E685" t="s">
        <v>30</v>
      </c>
      <c r="F685" t="s">
        <v>15</v>
      </c>
      <c r="G685">
        <v>1</v>
      </c>
      <c r="H685">
        <v>26112</v>
      </c>
      <c r="I685">
        <v>26112</v>
      </c>
      <c r="J685" t="s">
        <v>27</v>
      </c>
    </row>
    <row r="686" spans="1:10" x14ac:dyDescent="0.25">
      <c r="A686" t="s">
        <v>103</v>
      </c>
      <c r="B686" t="s">
        <v>18</v>
      </c>
      <c r="C686" t="s">
        <v>34</v>
      </c>
      <c r="D686" t="s">
        <v>48</v>
      </c>
      <c r="E686" t="s">
        <v>14</v>
      </c>
      <c r="F686" t="s">
        <v>26</v>
      </c>
      <c r="G686">
        <v>18</v>
      </c>
      <c r="H686">
        <v>21667</v>
      </c>
      <c r="I686">
        <v>390006</v>
      </c>
      <c r="J686" t="s">
        <v>16</v>
      </c>
    </row>
    <row r="687" spans="1:10" x14ac:dyDescent="0.25">
      <c r="A687" t="s">
        <v>314</v>
      </c>
      <c r="B687" t="s">
        <v>33</v>
      </c>
      <c r="C687" t="s">
        <v>23</v>
      </c>
      <c r="D687" t="s">
        <v>13</v>
      </c>
      <c r="E687" t="s">
        <v>14</v>
      </c>
      <c r="F687" t="s">
        <v>15</v>
      </c>
      <c r="G687">
        <v>9</v>
      </c>
      <c r="H687">
        <v>26236</v>
      </c>
      <c r="I687">
        <v>236124</v>
      </c>
      <c r="J687" t="s">
        <v>27</v>
      </c>
    </row>
    <row r="688" spans="1:10" x14ac:dyDescent="0.25">
      <c r="A688" t="s">
        <v>150</v>
      </c>
      <c r="B688" t="s">
        <v>42</v>
      </c>
      <c r="C688" t="s">
        <v>29</v>
      </c>
      <c r="D688" t="s">
        <v>44</v>
      </c>
      <c r="E688" t="s">
        <v>25</v>
      </c>
      <c r="F688" t="s">
        <v>40</v>
      </c>
      <c r="G688">
        <v>10</v>
      </c>
      <c r="H688">
        <v>33968</v>
      </c>
      <c r="I688">
        <v>339680</v>
      </c>
      <c r="J688" t="s">
        <v>27</v>
      </c>
    </row>
    <row r="689" spans="1:10" x14ac:dyDescent="0.25">
      <c r="A689" t="s">
        <v>339</v>
      </c>
      <c r="B689" t="s">
        <v>33</v>
      </c>
      <c r="C689" t="s">
        <v>23</v>
      </c>
      <c r="D689" t="s">
        <v>39</v>
      </c>
      <c r="E689" t="s">
        <v>30</v>
      </c>
      <c r="F689" t="s">
        <v>40</v>
      </c>
      <c r="G689">
        <v>10</v>
      </c>
      <c r="H689">
        <v>47596</v>
      </c>
      <c r="I689">
        <v>475960</v>
      </c>
      <c r="J689" t="s">
        <v>27</v>
      </c>
    </row>
    <row r="690" spans="1:10" x14ac:dyDescent="0.25">
      <c r="A690" t="s">
        <v>90</v>
      </c>
      <c r="B690" t="s">
        <v>42</v>
      </c>
      <c r="C690" t="s">
        <v>38</v>
      </c>
      <c r="D690" t="s">
        <v>24</v>
      </c>
      <c r="E690" t="s">
        <v>14</v>
      </c>
      <c r="F690" t="s">
        <v>26</v>
      </c>
      <c r="G690">
        <v>7</v>
      </c>
      <c r="H690">
        <v>48655</v>
      </c>
      <c r="I690">
        <v>340585</v>
      </c>
      <c r="J690" t="s">
        <v>16</v>
      </c>
    </row>
    <row r="691" spans="1:10" x14ac:dyDescent="0.25">
      <c r="A691" t="s">
        <v>216</v>
      </c>
      <c r="B691" t="s">
        <v>42</v>
      </c>
      <c r="C691" t="s">
        <v>34</v>
      </c>
      <c r="D691" t="s">
        <v>44</v>
      </c>
      <c r="E691" t="s">
        <v>35</v>
      </c>
      <c r="F691" t="s">
        <v>40</v>
      </c>
      <c r="G691">
        <v>1</v>
      </c>
      <c r="H691">
        <v>44663</v>
      </c>
      <c r="I691">
        <v>44663</v>
      </c>
      <c r="J691" t="s">
        <v>27</v>
      </c>
    </row>
    <row r="692" spans="1:10" x14ac:dyDescent="0.25">
      <c r="A692" t="s">
        <v>163</v>
      </c>
      <c r="B692" t="s">
        <v>42</v>
      </c>
      <c r="C692" t="s">
        <v>29</v>
      </c>
      <c r="D692" t="s">
        <v>24</v>
      </c>
      <c r="E692" t="s">
        <v>35</v>
      </c>
      <c r="F692" t="s">
        <v>26</v>
      </c>
      <c r="G692">
        <v>5</v>
      </c>
      <c r="H692">
        <v>59078</v>
      </c>
      <c r="I692">
        <v>295390</v>
      </c>
      <c r="J692" t="s">
        <v>20</v>
      </c>
    </row>
    <row r="693" spans="1:10" x14ac:dyDescent="0.25">
      <c r="A693" t="s">
        <v>331</v>
      </c>
      <c r="B693" t="s">
        <v>42</v>
      </c>
      <c r="C693" t="s">
        <v>34</v>
      </c>
      <c r="D693" t="s">
        <v>44</v>
      </c>
      <c r="E693" t="s">
        <v>14</v>
      </c>
      <c r="F693" t="s">
        <v>26</v>
      </c>
      <c r="G693">
        <v>6</v>
      </c>
      <c r="H693">
        <v>15120</v>
      </c>
      <c r="I693">
        <v>90720</v>
      </c>
      <c r="J693" t="s">
        <v>16</v>
      </c>
    </row>
    <row r="694" spans="1:10" x14ac:dyDescent="0.25">
      <c r="A694" t="s">
        <v>110</v>
      </c>
      <c r="B694" t="s">
        <v>33</v>
      </c>
      <c r="C694" t="s">
        <v>34</v>
      </c>
      <c r="D694" t="s">
        <v>39</v>
      </c>
      <c r="E694" t="s">
        <v>19</v>
      </c>
      <c r="F694" t="s">
        <v>15</v>
      </c>
      <c r="G694">
        <v>12</v>
      </c>
      <c r="H694">
        <v>51494</v>
      </c>
      <c r="I694">
        <v>617928</v>
      </c>
      <c r="J694" t="s">
        <v>27</v>
      </c>
    </row>
    <row r="695" spans="1:10" x14ac:dyDescent="0.25">
      <c r="A695" t="s">
        <v>301</v>
      </c>
      <c r="B695" t="s">
        <v>42</v>
      </c>
      <c r="C695" t="s">
        <v>38</v>
      </c>
      <c r="D695" t="s">
        <v>44</v>
      </c>
      <c r="E695" t="s">
        <v>14</v>
      </c>
      <c r="F695" t="s">
        <v>40</v>
      </c>
      <c r="G695">
        <v>14</v>
      </c>
      <c r="H695">
        <v>15245</v>
      </c>
      <c r="I695">
        <v>213430</v>
      </c>
      <c r="J695" t="s">
        <v>36</v>
      </c>
    </row>
    <row r="696" spans="1:10" x14ac:dyDescent="0.25">
      <c r="A696" t="s">
        <v>147</v>
      </c>
      <c r="B696" t="s">
        <v>42</v>
      </c>
      <c r="C696" t="s">
        <v>38</v>
      </c>
      <c r="D696" t="s">
        <v>48</v>
      </c>
      <c r="E696" t="s">
        <v>14</v>
      </c>
      <c r="F696" t="s">
        <v>15</v>
      </c>
      <c r="G696">
        <v>19</v>
      </c>
      <c r="H696">
        <v>48572</v>
      </c>
      <c r="I696">
        <v>922868</v>
      </c>
      <c r="J696" t="s">
        <v>27</v>
      </c>
    </row>
    <row r="697" spans="1:10" x14ac:dyDescent="0.25">
      <c r="A697" t="s">
        <v>315</v>
      </c>
      <c r="B697" t="s">
        <v>22</v>
      </c>
      <c r="C697" t="s">
        <v>23</v>
      </c>
      <c r="D697" t="s">
        <v>39</v>
      </c>
      <c r="E697" t="s">
        <v>14</v>
      </c>
      <c r="F697" t="s">
        <v>15</v>
      </c>
      <c r="G697">
        <v>7</v>
      </c>
      <c r="H697">
        <v>39945</v>
      </c>
      <c r="I697">
        <v>279615</v>
      </c>
      <c r="J697" t="s">
        <v>16</v>
      </c>
    </row>
    <row r="698" spans="1:10" x14ac:dyDescent="0.25">
      <c r="A698" t="s">
        <v>119</v>
      </c>
      <c r="B698" t="s">
        <v>11</v>
      </c>
      <c r="C698" t="s">
        <v>29</v>
      </c>
      <c r="D698" t="s">
        <v>39</v>
      </c>
      <c r="E698" t="s">
        <v>19</v>
      </c>
      <c r="F698" t="s">
        <v>26</v>
      </c>
      <c r="G698">
        <v>3</v>
      </c>
      <c r="H698">
        <v>56865</v>
      </c>
      <c r="I698">
        <v>170595</v>
      </c>
      <c r="J698" t="s">
        <v>36</v>
      </c>
    </row>
    <row r="699" spans="1:10" x14ac:dyDescent="0.25">
      <c r="A699" t="s">
        <v>340</v>
      </c>
      <c r="B699" t="s">
        <v>33</v>
      </c>
      <c r="C699" t="s">
        <v>12</v>
      </c>
      <c r="D699" t="s">
        <v>24</v>
      </c>
      <c r="E699" t="s">
        <v>19</v>
      </c>
      <c r="F699" t="s">
        <v>40</v>
      </c>
      <c r="G699">
        <v>5</v>
      </c>
      <c r="H699">
        <v>15116</v>
      </c>
      <c r="I699">
        <v>75580</v>
      </c>
      <c r="J699" t="s">
        <v>20</v>
      </c>
    </row>
    <row r="700" spans="1:10" x14ac:dyDescent="0.25">
      <c r="A700" t="s">
        <v>277</v>
      </c>
      <c r="B700" t="s">
        <v>22</v>
      </c>
      <c r="C700" t="s">
        <v>12</v>
      </c>
      <c r="D700" t="s">
        <v>39</v>
      </c>
      <c r="E700" t="s">
        <v>30</v>
      </c>
      <c r="F700" t="s">
        <v>15</v>
      </c>
      <c r="G700">
        <v>1</v>
      </c>
      <c r="H700">
        <v>40338</v>
      </c>
      <c r="I700">
        <v>40338</v>
      </c>
      <c r="J700" t="s">
        <v>27</v>
      </c>
    </row>
    <row r="701" spans="1:10" x14ac:dyDescent="0.25">
      <c r="A701" t="s">
        <v>341</v>
      </c>
      <c r="B701" t="s">
        <v>33</v>
      </c>
      <c r="C701" t="s">
        <v>23</v>
      </c>
      <c r="D701" t="s">
        <v>44</v>
      </c>
      <c r="E701" t="s">
        <v>35</v>
      </c>
      <c r="F701" t="s">
        <v>15</v>
      </c>
      <c r="G701">
        <v>12</v>
      </c>
      <c r="H701">
        <v>37961</v>
      </c>
      <c r="I701">
        <v>455532</v>
      </c>
      <c r="J701" t="s">
        <v>16</v>
      </c>
    </row>
    <row r="702" spans="1:10" x14ac:dyDescent="0.25">
      <c r="A702" t="s">
        <v>102</v>
      </c>
      <c r="B702" t="s">
        <v>18</v>
      </c>
      <c r="C702" t="s">
        <v>29</v>
      </c>
      <c r="D702" t="s">
        <v>13</v>
      </c>
      <c r="E702" t="s">
        <v>14</v>
      </c>
      <c r="F702" t="s">
        <v>40</v>
      </c>
      <c r="G702">
        <v>15</v>
      </c>
      <c r="H702">
        <v>43079</v>
      </c>
      <c r="I702">
        <v>646185</v>
      </c>
      <c r="J702" t="s">
        <v>27</v>
      </c>
    </row>
    <row r="703" spans="1:10" x14ac:dyDescent="0.25">
      <c r="A703" t="s">
        <v>59</v>
      </c>
      <c r="B703" t="s">
        <v>22</v>
      </c>
      <c r="C703" t="s">
        <v>23</v>
      </c>
      <c r="D703" t="s">
        <v>39</v>
      </c>
      <c r="E703" t="s">
        <v>14</v>
      </c>
      <c r="F703" t="s">
        <v>15</v>
      </c>
      <c r="G703">
        <v>18</v>
      </c>
      <c r="H703">
        <v>53372</v>
      </c>
      <c r="I703">
        <v>960696</v>
      </c>
      <c r="J703" t="s">
        <v>20</v>
      </c>
    </row>
    <row r="704" spans="1:10" x14ac:dyDescent="0.25">
      <c r="A704" t="s">
        <v>194</v>
      </c>
      <c r="B704" t="s">
        <v>42</v>
      </c>
      <c r="C704" t="s">
        <v>34</v>
      </c>
      <c r="D704" t="s">
        <v>24</v>
      </c>
      <c r="E704" t="s">
        <v>14</v>
      </c>
      <c r="F704" t="s">
        <v>15</v>
      </c>
      <c r="G704">
        <v>4</v>
      </c>
      <c r="H704">
        <v>17466</v>
      </c>
      <c r="I704">
        <v>69864</v>
      </c>
      <c r="J704" t="s">
        <v>16</v>
      </c>
    </row>
    <row r="705" spans="1:10" x14ac:dyDescent="0.25">
      <c r="A705" t="s">
        <v>313</v>
      </c>
      <c r="B705" t="s">
        <v>42</v>
      </c>
      <c r="C705" t="s">
        <v>38</v>
      </c>
      <c r="D705" t="s">
        <v>13</v>
      </c>
      <c r="E705" t="s">
        <v>25</v>
      </c>
      <c r="F705" t="s">
        <v>26</v>
      </c>
      <c r="G705">
        <v>20</v>
      </c>
      <c r="H705">
        <v>20025</v>
      </c>
      <c r="I705">
        <v>400500</v>
      </c>
      <c r="J705" t="s">
        <v>36</v>
      </c>
    </row>
    <row r="706" spans="1:10" x14ac:dyDescent="0.25">
      <c r="A706" t="s">
        <v>335</v>
      </c>
      <c r="B706" t="s">
        <v>42</v>
      </c>
      <c r="C706" t="s">
        <v>34</v>
      </c>
      <c r="D706" t="s">
        <v>48</v>
      </c>
      <c r="E706" t="s">
        <v>35</v>
      </c>
      <c r="F706" t="s">
        <v>40</v>
      </c>
      <c r="G706">
        <v>19</v>
      </c>
      <c r="H706">
        <v>41478</v>
      </c>
      <c r="I706">
        <v>788082</v>
      </c>
      <c r="J706" t="s">
        <v>16</v>
      </c>
    </row>
    <row r="707" spans="1:10" x14ac:dyDescent="0.25">
      <c r="A707" t="s">
        <v>257</v>
      </c>
      <c r="B707" t="s">
        <v>22</v>
      </c>
      <c r="C707" t="s">
        <v>29</v>
      </c>
      <c r="D707" t="s">
        <v>39</v>
      </c>
      <c r="E707" t="s">
        <v>14</v>
      </c>
      <c r="F707" t="s">
        <v>40</v>
      </c>
      <c r="G707">
        <v>3</v>
      </c>
      <c r="H707">
        <v>50578</v>
      </c>
      <c r="I707">
        <v>151734</v>
      </c>
      <c r="J707" t="s">
        <v>36</v>
      </c>
    </row>
    <row r="708" spans="1:10" x14ac:dyDescent="0.25">
      <c r="A708" t="s">
        <v>132</v>
      </c>
      <c r="B708" t="s">
        <v>18</v>
      </c>
      <c r="C708" t="s">
        <v>12</v>
      </c>
      <c r="D708" t="s">
        <v>24</v>
      </c>
      <c r="E708" t="s">
        <v>35</v>
      </c>
      <c r="F708" t="s">
        <v>26</v>
      </c>
      <c r="G708">
        <v>8</v>
      </c>
      <c r="H708">
        <v>38958</v>
      </c>
      <c r="I708">
        <v>311664</v>
      </c>
      <c r="J708" t="s">
        <v>16</v>
      </c>
    </row>
    <row r="709" spans="1:10" x14ac:dyDescent="0.25">
      <c r="A709" t="s">
        <v>154</v>
      </c>
      <c r="B709" t="s">
        <v>33</v>
      </c>
      <c r="C709" t="s">
        <v>38</v>
      </c>
      <c r="D709" t="s">
        <v>24</v>
      </c>
      <c r="E709" t="s">
        <v>30</v>
      </c>
      <c r="F709" t="s">
        <v>40</v>
      </c>
      <c r="G709">
        <v>15</v>
      </c>
      <c r="H709">
        <v>30626</v>
      </c>
      <c r="I709">
        <v>459390</v>
      </c>
      <c r="J709" t="s">
        <v>36</v>
      </c>
    </row>
    <row r="710" spans="1:10" x14ac:dyDescent="0.25">
      <c r="A710" t="s">
        <v>279</v>
      </c>
      <c r="B710" t="s">
        <v>33</v>
      </c>
      <c r="C710" t="s">
        <v>12</v>
      </c>
      <c r="D710" t="s">
        <v>44</v>
      </c>
      <c r="E710" t="s">
        <v>19</v>
      </c>
      <c r="F710" t="s">
        <v>40</v>
      </c>
      <c r="G710">
        <v>17</v>
      </c>
      <c r="H710">
        <v>59820</v>
      </c>
      <c r="I710">
        <v>1016940</v>
      </c>
      <c r="J710" t="s">
        <v>27</v>
      </c>
    </row>
    <row r="711" spans="1:10" x14ac:dyDescent="0.25">
      <c r="A711" t="s">
        <v>198</v>
      </c>
      <c r="B711" t="s">
        <v>11</v>
      </c>
      <c r="C711" t="s">
        <v>12</v>
      </c>
      <c r="D711" t="s">
        <v>44</v>
      </c>
      <c r="E711" t="s">
        <v>35</v>
      </c>
      <c r="F711" t="s">
        <v>40</v>
      </c>
      <c r="G711">
        <v>5</v>
      </c>
      <c r="H711">
        <v>46880</v>
      </c>
      <c r="I711">
        <v>234400</v>
      </c>
      <c r="J711" t="s">
        <v>20</v>
      </c>
    </row>
    <row r="712" spans="1:10" x14ac:dyDescent="0.25">
      <c r="A712" t="s">
        <v>310</v>
      </c>
      <c r="B712" t="s">
        <v>18</v>
      </c>
      <c r="C712" t="s">
        <v>12</v>
      </c>
      <c r="D712" t="s">
        <v>39</v>
      </c>
      <c r="E712" t="s">
        <v>25</v>
      </c>
      <c r="F712" t="s">
        <v>40</v>
      </c>
      <c r="G712">
        <v>7</v>
      </c>
      <c r="H712">
        <v>20789</v>
      </c>
      <c r="I712">
        <v>145523</v>
      </c>
      <c r="J712" t="s">
        <v>27</v>
      </c>
    </row>
    <row r="713" spans="1:10" x14ac:dyDescent="0.25">
      <c r="A713" t="s">
        <v>240</v>
      </c>
      <c r="B713" t="s">
        <v>22</v>
      </c>
      <c r="C713" t="s">
        <v>12</v>
      </c>
      <c r="D713" t="s">
        <v>13</v>
      </c>
      <c r="E713" t="s">
        <v>19</v>
      </c>
      <c r="F713" t="s">
        <v>15</v>
      </c>
      <c r="G713">
        <v>15</v>
      </c>
      <c r="H713">
        <v>34415</v>
      </c>
      <c r="I713">
        <v>516225</v>
      </c>
      <c r="J713" t="s">
        <v>16</v>
      </c>
    </row>
    <row r="714" spans="1:10" x14ac:dyDescent="0.25">
      <c r="A714" t="s">
        <v>210</v>
      </c>
      <c r="B714" t="s">
        <v>42</v>
      </c>
      <c r="C714" t="s">
        <v>12</v>
      </c>
      <c r="D714" t="s">
        <v>39</v>
      </c>
      <c r="E714" t="s">
        <v>30</v>
      </c>
      <c r="F714" t="s">
        <v>40</v>
      </c>
      <c r="G714">
        <v>2</v>
      </c>
      <c r="H714">
        <v>31684</v>
      </c>
      <c r="I714">
        <v>63368</v>
      </c>
      <c r="J714" t="s">
        <v>16</v>
      </c>
    </row>
    <row r="715" spans="1:10" x14ac:dyDescent="0.25">
      <c r="A715" t="s">
        <v>342</v>
      </c>
      <c r="B715" t="s">
        <v>33</v>
      </c>
      <c r="C715" t="s">
        <v>23</v>
      </c>
      <c r="D715" t="s">
        <v>39</v>
      </c>
      <c r="E715" t="s">
        <v>35</v>
      </c>
      <c r="F715" t="s">
        <v>40</v>
      </c>
      <c r="G715">
        <v>4</v>
      </c>
      <c r="H715">
        <v>57696</v>
      </c>
      <c r="I715">
        <v>230784</v>
      </c>
      <c r="J715" t="s">
        <v>27</v>
      </c>
    </row>
    <row r="716" spans="1:10" x14ac:dyDescent="0.25">
      <c r="A716" t="s">
        <v>100</v>
      </c>
      <c r="B716" t="s">
        <v>11</v>
      </c>
      <c r="C716" t="s">
        <v>34</v>
      </c>
      <c r="D716" t="s">
        <v>39</v>
      </c>
      <c r="E716" t="s">
        <v>30</v>
      </c>
      <c r="F716" t="s">
        <v>15</v>
      </c>
      <c r="G716">
        <v>18</v>
      </c>
      <c r="H716">
        <v>30850</v>
      </c>
      <c r="I716">
        <v>555300</v>
      </c>
      <c r="J716" t="s">
        <v>16</v>
      </c>
    </row>
    <row r="717" spans="1:10" x14ac:dyDescent="0.25">
      <c r="A717" t="s">
        <v>326</v>
      </c>
      <c r="B717" t="s">
        <v>18</v>
      </c>
      <c r="C717" t="s">
        <v>12</v>
      </c>
      <c r="D717" t="s">
        <v>13</v>
      </c>
      <c r="E717" t="s">
        <v>14</v>
      </c>
      <c r="F717" t="s">
        <v>15</v>
      </c>
      <c r="G717">
        <v>17</v>
      </c>
      <c r="H717">
        <v>51430</v>
      </c>
      <c r="I717">
        <v>874310</v>
      </c>
      <c r="J717" t="s">
        <v>20</v>
      </c>
    </row>
    <row r="718" spans="1:10" x14ac:dyDescent="0.25">
      <c r="A718" t="s">
        <v>232</v>
      </c>
      <c r="B718" t="s">
        <v>22</v>
      </c>
      <c r="C718" t="s">
        <v>38</v>
      </c>
      <c r="D718" t="s">
        <v>44</v>
      </c>
      <c r="E718" t="s">
        <v>35</v>
      </c>
      <c r="F718" t="s">
        <v>40</v>
      </c>
      <c r="G718">
        <v>19</v>
      </c>
      <c r="H718">
        <v>21102</v>
      </c>
      <c r="I718">
        <v>400938</v>
      </c>
      <c r="J718" t="s">
        <v>16</v>
      </c>
    </row>
    <row r="719" spans="1:10" x14ac:dyDescent="0.25">
      <c r="A719" t="s">
        <v>185</v>
      </c>
      <c r="B719" t="s">
        <v>11</v>
      </c>
      <c r="C719" t="s">
        <v>29</v>
      </c>
      <c r="D719" t="s">
        <v>48</v>
      </c>
      <c r="E719" t="s">
        <v>25</v>
      </c>
      <c r="F719" t="s">
        <v>26</v>
      </c>
      <c r="G719">
        <v>15</v>
      </c>
      <c r="H719">
        <v>17276</v>
      </c>
      <c r="I719">
        <v>259140</v>
      </c>
      <c r="J719" t="s">
        <v>36</v>
      </c>
    </row>
    <row r="720" spans="1:10" x14ac:dyDescent="0.25">
      <c r="A720" t="s">
        <v>306</v>
      </c>
      <c r="B720" t="s">
        <v>33</v>
      </c>
      <c r="C720" t="s">
        <v>34</v>
      </c>
      <c r="D720" t="s">
        <v>48</v>
      </c>
      <c r="E720" t="s">
        <v>19</v>
      </c>
      <c r="F720" t="s">
        <v>40</v>
      </c>
      <c r="G720">
        <v>3</v>
      </c>
      <c r="H720">
        <v>45882</v>
      </c>
      <c r="I720">
        <v>137646</v>
      </c>
      <c r="J720" t="s">
        <v>16</v>
      </c>
    </row>
    <row r="721" spans="1:10" x14ac:dyDescent="0.25">
      <c r="A721" t="s">
        <v>231</v>
      </c>
      <c r="B721" t="s">
        <v>42</v>
      </c>
      <c r="C721" t="s">
        <v>23</v>
      </c>
      <c r="D721" t="s">
        <v>24</v>
      </c>
      <c r="E721" t="s">
        <v>19</v>
      </c>
      <c r="F721" t="s">
        <v>26</v>
      </c>
      <c r="G721">
        <v>7</v>
      </c>
      <c r="H721">
        <v>35809</v>
      </c>
      <c r="I721">
        <v>250663</v>
      </c>
      <c r="J721" t="s">
        <v>36</v>
      </c>
    </row>
    <row r="722" spans="1:10" x14ac:dyDescent="0.25">
      <c r="A722" t="s">
        <v>96</v>
      </c>
      <c r="B722" t="s">
        <v>42</v>
      </c>
      <c r="C722" t="s">
        <v>34</v>
      </c>
      <c r="D722" t="s">
        <v>44</v>
      </c>
      <c r="E722" t="s">
        <v>35</v>
      </c>
      <c r="F722" t="s">
        <v>26</v>
      </c>
      <c r="G722">
        <v>2</v>
      </c>
      <c r="H722">
        <v>32646</v>
      </c>
      <c r="I722">
        <v>65292</v>
      </c>
      <c r="J722" t="s">
        <v>16</v>
      </c>
    </row>
    <row r="723" spans="1:10" x14ac:dyDescent="0.25">
      <c r="A723" t="s">
        <v>343</v>
      </c>
      <c r="B723" t="s">
        <v>22</v>
      </c>
      <c r="C723" t="s">
        <v>38</v>
      </c>
      <c r="D723" t="s">
        <v>24</v>
      </c>
      <c r="E723" t="s">
        <v>35</v>
      </c>
      <c r="F723" t="s">
        <v>15</v>
      </c>
      <c r="G723">
        <v>11</v>
      </c>
      <c r="H723">
        <v>52479</v>
      </c>
      <c r="I723">
        <v>577269</v>
      </c>
      <c r="J723" t="s">
        <v>16</v>
      </c>
    </row>
    <row r="724" spans="1:10" x14ac:dyDescent="0.25">
      <c r="A724" t="s">
        <v>180</v>
      </c>
      <c r="B724" t="s">
        <v>33</v>
      </c>
      <c r="C724" t="s">
        <v>38</v>
      </c>
      <c r="D724" t="s">
        <v>48</v>
      </c>
      <c r="E724" t="s">
        <v>14</v>
      </c>
      <c r="F724" t="s">
        <v>26</v>
      </c>
      <c r="G724">
        <v>9</v>
      </c>
      <c r="H724">
        <v>41709</v>
      </c>
      <c r="I724">
        <v>375381</v>
      </c>
      <c r="J724" t="s">
        <v>36</v>
      </c>
    </row>
    <row r="725" spans="1:10" x14ac:dyDescent="0.25">
      <c r="A725" t="s">
        <v>296</v>
      </c>
      <c r="B725" t="s">
        <v>22</v>
      </c>
      <c r="C725" t="s">
        <v>38</v>
      </c>
      <c r="D725" t="s">
        <v>24</v>
      </c>
      <c r="E725" t="s">
        <v>14</v>
      </c>
      <c r="F725" t="s">
        <v>26</v>
      </c>
      <c r="G725">
        <v>2</v>
      </c>
      <c r="H725">
        <v>52450</v>
      </c>
      <c r="I725">
        <v>104900</v>
      </c>
      <c r="J725" t="s">
        <v>20</v>
      </c>
    </row>
    <row r="726" spans="1:10" x14ac:dyDescent="0.25">
      <c r="A726" t="s">
        <v>72</v>
      </c>
      <c r="B726" t="s">
        <v>22</v>
      </c>
      <c r="C726" t="s">
        <v>23</v>
      </c>
      <c r="D726" t="s">
        <v>48</v>
      </c>
      <c r="E726" t="s">
        <v>14</v>
      </c>
      <c r="F726" t="s">
        <v>40</v>
      </c>
      <c r="G726">
        <v>18</v>
      </c>
      <c r="H726">
        <v>49417</v>
      </c>
      <c r="I726">
        <v>889506</v>
      </c>
      <c r="J726" t="s">
        <v>16</v>
      </c>
    </row>
    <row r="727" spans="1:10" x14ac:dyDescent="0.25">
      <c r="A727" t="s">
        <v>166</v>
      </c>
      <c r="B727" t="s">
        <v>22</v>
      </c>
      <c r="C727" t="s">
        <v>29</v>
      </c>
      <c r="D727" t="s">
        <v>13</v>
      </c>
      <c r="E727" t="s">
        <v>25</v>
      </c>
      <c r="F727" t="s">
        <v>40</v>
      </c>
      <c r="G727">
        <v>9</v>
      </c>
      <c r="H727">
        <v>38448</v>
      </c>
      <c r="I727">
        <v>346032</v>
      </c>
      <c r="J727" t="s">
        <v>16</v>
      </c>
    </row>
    <row r="728" spans="1:10" x14ac:dyDescent="0.25">
      <c r="A728" t="s">
        <v>259</v>
      </c>
      <c r="B728" t="s">
        <v>42</v>
      </c>
      <c r="C728" t="s">
        <v>12</v>
      </c>
      <c r="D728" t="s">
        <v>44</v>
      </c>
      <c r="E728" t="s">
        <v>25</v>
      </c>
      <c r="F728" t="s">
        <v>40</v>
      </c>
      <c r="G728">
        <v>15</v>
      </c>
      <c r="H728">
        <v>50905</v>
      </c>
      <c r="I728">
        <v>763575</v>
      </c>
      <c r="J728" t="s">
        <v>36</v>
      </c>
    </row>
    <row r="729" spans="1:10" x14ac:dyDescent="0.25">
      <c r="A729" t="s">
        <v>284</v>
      </c>
      <c r="B729" t="s">
        <v>18</v>
      </c>
      <c r="C729" t="s">
        <v>34</v>
      </c>
      <c r="D729" t="s">
        <v>13</v>
      </c>
      <c r="E729" t="s">
        <v>30</v>
      </c>
      <c r="F729" t="s">
        <v>40</v>
      </c>
      <c r="G729">
        <v>16</v>
      </c>
      <c r="H729">
        <v>31152</v>
      </c>
      <c r="I729">
        <v>498432</v>
      </c>
      <c r="J729" t="s">
        <v>20</v>
      </c>
    </row>
    <row r="730" spans="1:10" x14ac:dyDescent="0.25">
      <c r="A730" t="s">
        <v>262</v>
      </c>
      <c r="B730" t="s">
        <v>33</v>
      </c>
      <c r="C730" t="s">
        <v>34</v>
      </c>
      <c r="D730" t="s">
        <v>13</v>
      </c>
      <c r="E730" t="s">
        <v>19</v>
      </c>
      <c r="F730" t="s">
        <v>15</v>
      </c>
      <c r="G730">
        <v>13</v>
      </c>
      <c r="H730">
        <v>53403</v>
      </c>
      <c r="I730">
        <v>694239</v>
      </c>
      <c r="J730" t="s">
        <v>27</v>
      </c>
    </row>
    <row r="731" spans="1:10" x14ac:dyDescent="0.25">
      <c r="A731" t="s">
        <v>234</v>
      </c>
      <c r="B731" t="s">
        <v>11</v>
      </c>
      <c r="C731" t="s">
        <v>23</v>
      </c>
      <c r="D731" t="s">
        <v>24</v>
      </c>
      <c r="E731" t="s">
        <v>25</v>
      </c>
      <c r="F731" t="s">
        <v>40</v>
      </c>
      <c r="G731">
        <v>13</v>
      </c>
      <c r="H731">
        <v>29882</v>
      </c>
      <c r="I731">
        <v>388466</v>
      </c>
      <c r="J731" t="s">
        <v>16</v>
      </c>
    </row>
    <row r="732" spans="1:10" x14ac:dyDescent="0.25">
      <c r="A732" t="s">
        <v>344</v>
      </c>
      <c r="B732" t="s">
        <v>22</v>
      </c>
      <c r="C732" t="s">
        <v>38</v>
      </c>
      <c r="D732" t="s">
        <v>48</v>
      </c>
      <c r="E732" t="s">
        <v>25</v>
      </c>
      <c r="F732" t="s">
        <v>26</v>
      </c>
      <c r="G732">
        <v>6</v>
      </c>
      <c r="H732">
        <v>28228</v>
      </c>
      <c r="I732">
        <v>169368</v>
      </c>
      <c r="J732" t="s">
        <v>36</v>
      </c>
    </row>
    <row r="733" spans="1:10" x14ac:dyDescent="0.25">
      <c r="A733" t="s">
        <v>198</v>
      </c>
      <c r="B733" t="s">
        <v>33</v>
      </c>
      <c r="C733" t="s">
        <v>23</v>
      </c>
      <c r="D733" t="s">
        <v>24</v>
      </c>
      <c r="E733" t="s">
        <v>14</v>
      </c>
      <c r="F733" t="s">
        <v>26</v>
      </c>
      <c r="G733">
        <v>14</v>
      </c>
      <c r="H733">
        <v>38743</v>
      </c>
      <c r="I733">
        <v>542402</v>
      </c>
      <c r="J733" t="s">
        <v>36</v>
      </c>
    </row>
    <row r="734" spans="1:10" x14ac:dyDescent="0.25">
      <c r="A734" t="s">
        <v>167</v>
      </c>
      <c r="B734" t="s">
        <v>11</v>
      </c>
      <c r="C734" t="s">
        <v>12</v>
      </c>
      <c r="D734" t="s">
        <v>24</v>
      </c>
      <c r="E734" t="s">
        <v>30</v>
      </c>
      <c r="F734" t="s">
        <v>40</v>
      </c>
      <c r="G734">
        <v>6</v>
      </c>
      <c r="H734">
        <v>55804</v>
      </c>
      <c r="I734">
        <v>334824</v>
      </c>
      <c r="J734" t="s">
        <v>27</v>
      </c>
    </row>
    <row r="735" spans="1:10" x14ac:dyDescent="0.25">
      <c r="A735" t="s">
        <v>286</v>
      </c>
      <c r="B735" t="s">
        <v>33</v>
      </c>
      <c r="C735" t="s">
        <v>29</v>
      </c>
      <c r="D735" t="s">
        <v>39</v>
      </c>
      <c r="E735" t="s">
        <v>30</v>
      </c>
      <c r="F735" t="s">
        <v>40</v>
      </c>
      <c r="G735">
        <v>8</v>
      </c>
      <c r="H735">
        <v>21109</v>
      </c>
      <c r="I735">
        <v>168872</v>
      </c>
      <c r="J735" t="s">
        <v>36</v>
      </c>
    </row>
    <row r="736" spans="1:10" x14ac:dyDescent="0.25">
      <c r="A736" t="s">
        <v>309</v>
      </c>
      <c r="B736" t="s">
        <v>22</v>
      </c>
      <c r="C736" t="s">
        <v>12</v>
      </c>
      <c r="D736" t="s">
        <v>39</v>
      </c>
      <c r="E736" t="s">
        <v>25</v>
      </c>
      <c r="F736" t="s">
        <v>40</v>
      </c>
      <c r="G736">
        <v>20</v>
      </c>
      <c r="H736">
        <v>17814</v>
      </c>
      <c r="I736">
        <v>356280</v>
      </c>
      <c r="J736" t="s">
        <v>36</v>
      </c>
    </row>
    <row r="737" spans="1:10" x14ac:dyDescent="0.25">
      <c r="A737" t="s">
        <v>303</v>
      </c>
      <c r="B737" t="s">
        <v>11</v>
      </c>
      <c r="C737" t="s">
        <v>38</v>
      </c>
      <c r="D737" t="s">
        <v>24</v>
      </c>
      <c r="E737" t="s">
        <v>35</v>
      </c>
      <c r="F737" t="s">
        <v>40</v>
      </c>
      <c r="G737">
        <v>5</v>
      </c>
      <c r="H737">
        <v>56195</v>
      </c>
      <c r="I737">
        <v>280975</v>
      </c>
      <c r="J737" t="s">
        <v>20</v>
      </c>
    </row>
    <row r="738" spans="1:10" x14ac:dyDescent="0.25">
      <c r="A738" t="s">
        <v>162</v>
      </c>
      <c r="B738" t="s">
        <v>42</v>
      </c>
      <c r="C738" t="s">
        <v>38</v>
      </c>
      <c r="D738" t="s">
        <v>39</v>
      </c>
      <c r="E738" t="s">
        <v>30</v>
      </c>
      <c r="F738" t="s">
        <v>40</v>
      </c>
      <c r="G738">
        <v>11</v>
      </c>
      <c r="H738">
        <v>59665</v>
      </c>
      <c r="I738">
        <v>656315</v>
      </c>
      <c r="J738" t="s">
        <v>20</v>
      </c>
    </row>
    <row r="739" spans="1:10" x14ac:dyDescent="0.25">
      <c r="A739" t="s">
        <v>110</v>
      </c>
      <c r="B739" t="s">
        <v>42</v>
      </c>
      <c r="C739" t="s">
        <v>29</v>
      </c>
      <c r="D739" t="s">
        <v>13</v>
      </c>
      <c r="E739" t="s">
        <v>35</v>
      </c>
      <c r="F739" t="s">
        <v>26</v>
      </c>
      <c r="G739">
        <v>17</v>
      </c>
      <c r="H739">
        <v>18874</v>
      </c>
      <c r="I739">
        <v>320858</v>
      </c>
      <c r="J739" t="s">
        <v>20</v>
      </c>
    </row>
    <row r="740" spans="1:10" x14ac:dyDescent="0.25">
      <c r="A740" t="s">
        <v>249</v>
      </c>
      <c r="B740" t="s">
        <v>33</v>
      </c>
      <c r="C740" t="s">
        <v>34</v>
      </c>
      <c r="D740" t="s">
        <v>44</v>
      </c>
      <c r="E740" t="s">
        <v>25</v>
      </c>
      <c r="F740" t="s">
        <v>40</v>
      </c>
      <c r="G740">
        <v>10</v>
      </c>
      <c r="H740">
        <v>35392</v>
      </c>
      <c r="I740">
        <v>353920</v>
      </c>
      <c r="J740" t="s">
        <v>27</v>
      </c>
    </row>
    <row r="741" spans="1:10" x14ac:dyDescent="0.25">
      <c r="A741" t="s">
        <v>258</v>
      </c>
      <c r="B741" t="s">
        <v>33</v>
      </c>
      <c r="C741" t="s">
        <v>34</v>
      </c>
      <c r="D741" t="s">
        <v>24</v>
      </c>
      <c r="E741" t="s">
        <v>30</v>
      </c>
      <c r="F741" t="s">
        <v>26</v>
      </c>
      <c r="G741">
        <v>4</v>
      </c>
      <c r="H741">
        <v>54621</v>
      </c>
      <c r="I741">
        <v>218484</v>
      </c>
      <c r="J741" t="s">
        <v>20</v>
      </c>
    </row>
    <row r="742" spans="1:10" x14ac:dyDescent="0.25">
      <c r="A742" t="s">
        <v>119</v>
      </c>
      <c r="B742" t="s">
        <v>33</v>
      </c>
      <c r="C742" t="s">
        <v>12</v>
      </c>
      <c r="D742" t="s">
        <v>13</v>
      </c>
      <c r="E742" t="s">
        <v>14</v>
      </c>
      <c r="F742" t="s">
        <v>15</v>
      </c>
      <c r="G742">
        <v>2</v>
      </c>
      <c r="H742">
        <v>52934</v>
      </c>
      <c r="I742">
        <v>105868</v>
      </c>
      <c r="J742" t="s">
        <v>27</v>
      </c>
    </row>
    <row r="743" spans="1:10" x14ac:dyDescent="0.25">
      <c r="A743" t="s">
        <v>210</v>
      </c>
      <c r="B743" t="s">
        <v>18</v>
      </c>
      <c r="C743" t="s">
        <v>12</v>
      </c>
      <c r="D743" t="s">
        <v>13</v>
      </c>
      <c r="E743" t="s">
        <v>14</v>
      </c>
      <c r="F743" t="s">
        <v>15</v>
      </c>
      <c r="G743">
        <v>20</v>
      </c>
      <c r="H743">
        <v>34520</v>
      </c>
      <c r="I743">
        <v>690400</v>
      </c>
      <c r="J743" t="s">
        <v>20</v>
      </c>
    </row>
    <row r="744" spans="1:10" x14ac:dyDescent="0.25">
      <c r="A744" t="s">
        <v>345</v>
      </c>
      <c r="B744" t="s">
        <v>42</v>
      </c>
      <c r="C744" t="s">
        <v>23</v>
      </c>
      <c r="D744" t="s">
        <v>48</v>
      </c>
      <c r="E744" t="s">
        <v>19</v>
      </c>
      <c r="F744" t="s">
        <v>26</v>
      </c>
      <c r="G744">
        <v>3</v>
      </c>
      <c r="H744">
        <v>18869</v>
      </c>
      <c r="I744">
        <v>56607</v>
      </c>
      <c r="J744" t="s">
        <v>36</v>
      </c>
    </row>
    <row r="745" spans="1:10" x14ac:dyDescent="0.25">
      <c r="A745" t="s">
        <v>259</v>
      </c>
      <c r="B745" t="s">
        <v>42</v>
      </c>
      <c r="C745" t="s">
        <v>12</v>
      </c>
      <c r="D745" t="s">
        <v>39</v>
      </c>
      <c r="E745" t="s">
        <v>14</v>
      </c>
      <c r="F745" t="s">
        <v>15</v>
      </c>
      <c r="G745">
        <v>3</v>
      </c>
      <c r="H745">
        <v>41923</v>
      </c>
      <c r="I745">
        <v>125769</v>
      </c>
      <c r="J745" t="s">
        <v>20</v>
      </c>
    </row>
    <row r="746" spans="1:10" x14ac:dyDescent="0.25">
      <c r="A746" t="s">
        <v>99</v>
      </c>
      <c r="B746" t="s">
        <v>42</v>
      </c>
      <c r="C746" t="s">
        <v>23</v>
      </c>
      <c r="D746" t="s">
        <v>13</v>
      </c>
      <c r="E746" t="s">
        <v>30</v>
      </c>
      <c r="F746" t="s">
        <v>15</v>
      </c>
      <c r="G746">
        <v>20</v>
      </c>
      <c r="H746">
        <v>20646</v>
      </c>
      <c r="I746">
        <v>412920</v>
      </c>
      <c r="J746" t="s">
        <v>16</v>
      </c>
    </row>
    <row r="747" spans="1:10" x14ac:dyDescent="0.25">
      <c r="A747" t="s">
        <v>128</v>
      </c>
      <c r="B747" t="s">
        <v>42</v>
      </c>
      <c r="C747" t="s">
        <v>29</v>
      </c>
      <c r="D747" t="s">
        <v>48</v>
      </c>
      <c r="E747" t="s">
        <v>19</v>
      </c>
      <c r="F747" t="s">
        <v>26</v>
      </c>
      <c r="G747">
        <v>12</v>
      </c>
      <c r="H747">
        <v>55078</v>
      </c>
      <c r="I747">
        <v>660936</v>
      </c>
      <c r="J747" t="s">
        <v>20</v>
      </c>
    </row>
    <row r="748" spans="1:10" x14ac:dyDescent="0.25">
      <c r="A748" t="s">
        <v>224</v>
      </c>
      <c r="B748" t="s">
        <v>22</v>
      </c>
      <c r="C748" t="s">
        <v>29</v>
      </c>
      <c r="D748" t="s">
        <v>48</v>
      </c>
      <c r="E748" t="s">
        <v>14</v>
      </c>
      <c r="F748" t="s">
        <v>26</v>
      </c>
      <c r="G748">
        <v>3</v>
      </c>
      <c r="H748">
        <v>23853</v>
      </c>
      <c r="I748">
        <v>71559</v>
      </c>
      <c r="J748" t="s">
        <v>16</v>
      </c>
    </row>
    <row r="749" spans="1:10" x14ac:dyDescent="0.25">
      <c r="A749" t="s">
        <v>153</v>
      </c>
      <c r="B749" t="s">
        <v>33</v>
      </c>
      <c r="C749" t="s">
        <v>29</v>
      </c>
      <c r="D749" t="s">
        <v>48</v>
      </c>
      <c r="E749" t="s">
        <v>25</v>
      </c>
      <c r="F749" t="s">
        <v>40</v>
      </c>
      <c r="G749">
        <v>9</v>
      </c>
      <c r="H749">
        <v>50206</v>
      </c>
      <c r="I749">
        <v>451854</v>
      </c>
      <c r="J749" t="s">
        <v>16</v>
      </c>
    </row>
    <row r="750" spans="1:10" x14ac:dyDescent="0.25">
      <c r="A750" t="s">
        <v>183</v>
      </c>
      <c r="B750" t="s">
        <v>22</v>
      </c>
      <c r="C750" t="s">
        <v>23</v>
      </c>
      <c r="D750" t="s">
        <v>39</v>
      </c>
      <c r="E750" t="s">
        <v>35</v>
      </c>
      <c r="F750" t="s">
        <v>40</v>
      </c>
      <c r="G750">
        <v>17</v>
      </c>
      <c r="H750">
        <v>43244</v>
      </c>
      <c r="I750">
        <v>735148</v>
      </c>
      <c r="J750" t="s">
        <v>16</v>
      </c>
    </row>
    <row r="751" spans="1:10" x14ac:dyDescent="0.25">
      <c r="A751" t="s">
        <v>77</v>
      </c>
      <c r="B751" t="s">
        <v>11</v>
      </c>
      <c r="C751" t="s">
        <v>34</v>
      </c>
      <c r="D751" t="s">
        <v>44</v>
      </c>
      <c r="E751" t="s">
        <v>35</v>
      </c>
      <c r="F751" t="s">
        <v>15</v>
      </c>
      <c r="G751">
        <v>1</v>
      </c>
      <c r="H751">
        <v>23327</v>
      </c>
      <c r="I751">
        <v>23327</v>
      </c>
      <c r="J751" t="s">
        <v>36</v>
      </c>
    </row>
    <row r="752" spans="1:10" x14ac:dyDescent="0.25">
      <c r="A752" t="s">
        <v>257</v>
      </c>
      <c r="B752" t="s">
        <v>22</v>
      </c>
      <c r="C752" t="s">
        <v>29</v>
      </c>
      <c r="D752" t="s">
        <v>24</v>
      </c>
      <c r="E752" t="s">
        <v>35</v>
      </c>
      <c r="F752" t="s">
        <v>26</v>
      </c>
      <c r="G752">
        <v>11</v>
      </c>
      <c r="H752">
        <v>58384</v>
      </c>
      <c r="I752">
        <v>642224</v>
      </c>
      <c r="J752" t="s">
        <v>16</v>
      </c>
    </row>
    <row r="753" spans="1:10" x14ac:dyDescent="0.25">
      <c r="A753" t="s">
        <v>85</v>
      </c>
      <c r="B753" t="s">
        <v>42</v>
      </c>
      <c r="C753" t="s">
        <v>29</v>
      </c>
      <c r="D753" t="s">
        <v>13</v>
      </c>
      <c r="E753" t="s">
        <v>25</v>
      </c>
      <c r="F753" t="s">
        <v>26</v>
      </c>
      <c r="G753">
        <v>4</v>
      </c>
      <c r="H753">
        <v>19540</v>
      </c>
      <c r="I753">
        <v>78160</v>
      </c>
      <c r="J753" t="s">
        <v>36</v>
      </c>
    </row>
    <row r="754" spans="1:10" x14ac:dyDescent="0.25">
      <c r="A754" t="s">
        <v>65</v>
      </c>
      <c r="B754" t="s">
        <v>42</v>
      </c>
      <c r="C754" t="s">
        <v>23</v>
      </c>
      <c r="D754" t="s">
        <v>48</v>
      </c>
      <c r="E754" t="s">
        <v>30</v>
      </c>
      <c r="F754" t="s">
        <v>40</v>
      </c>
      <c r="G754">
        <v>4</v>
      </c>
      <c r="H754">
        <v>36849</v>
      </c>
      <c r="I754">
        <v>147396</v>
      </c>
      <c r="J754" t="s">
        <v>20</v>
      </c>
    </row>
    <row r="755" spans="1:10" x14ac:dyDescent="0.25">
      <c r="A755" t="s">
        <v>306</v>
      </c>
      <c r="B755" t="s">
        <v>42</v>
      </c>
      <c r="C755" t="s">
        <v>23</v>
      </c>
      <c r="D755" t="s">
        <v>44</v>
      </c>
      <c r="E755" t="s">
        <v>30</v>
      </c>
      <c r="F755" t="s">
        <v>40</v>
      </c>
      <c r="G755">
        <v>3</v>
      </c>
      <c r="H755">
        <v>25974</v>
      </c>
      <c r="I755">
        <v>77922</v>
      </c>
      <c r="J755" t="s">
        <v>16</v>
      </c>
    </row>
    <row r="756" spans="1:10" x14ac:dyDescent="0.25">
      <c r="A756" t="s">
        <v>346</v>
      </c>
      <c r="B756" t="s">
        <v>18</v>
      </c>
      <c r="C756" t="s">
        <v>34</v>
      </c>
      <c r="D756" t="s">
        <v>13</v>
      </c>
      <c r="E756" t="s">
        <v>19</v>
      </c>
      <c r="F756" t="s">
        <v>15</v>
      </c>
      <c r="G756">
        <v>7</v>
      </c>
      <c r="H756">
        <v>18274</v>
      </c>
      <c r="I756">
        <v>127918</v>
      </c>
      <c r="J756" t="s">
        <v>27</v>
      </c>
    </row>
    <row r="757" spans="1:10" x14ac:dyDescent="0.25">
      <c r="A757" t="s">
        <v>336</v>
      </c>
      <c r="B757" t="s">
        <v>33</v>
      </c>
      <c r="C757" t="s">
        <v>29</v>
      </c>
      <c r="D757" t="s">
        <v>24</v>
      </c>
      <c r="E757" t="s">
        <v>14</v>
      </c>
      <c r="F757" t="s">
        <v>26</v>
      </c>
      <c r="G757">
        <v>10</v>
      </c>
      <c r="H757">
        <v>29155</v>
      </c>
      <c r="I757">
        <v>291550</v>
      </c>
      <c r="J757" t="s">
        <v>27</v>
      </c>
    </row>
    <row r="758" spans="1:10" x14ac:dyDescent="0.25">
      <c r="A758" t="s">
        <v>339</v>
      </c>
      <c r="B758" t="s">
        <v>18</v>
      </c>
      <c r="C758" t="s">
        <v>38</v>
      </c>
      <c r="D758" t="s">
        <v>48</v>
      </c>
      <c r="E758" t="s">
        <v>14</v>
      </c>
      <c r="F758" t="s">
        <v>15</v>
      </c>
      <c r="G758">
        <v>8</v>
      </c>
      <c r="H758">
        <v>47471</v>
      </c>
      <c r="I758">
        <v>379768</v>
      </c>
      <c r="J758" t="s">
        <v>20</v>
      </c>
    </row>
    <row r="759" spans="1:10" x14ac:dyDescent="0.25">
      <c r="A759" t="s">
        <v>81</v>
      </c>
      <c r="B759" t="s">
        <v>22</v>
      </c>
      <c r="C759" t="s">
        <v>29</v>
      </c>
      <c r="D759" t="s">
        <v>39</v>
      </c>
      <c r="E759" t="s">
        <v>14</v>
      </c>
      <c r="F759" t="s">
        <v>26</v>
      </c>
      <c r="G759">
        <v>6</v>
      </c>
      <c r="H759">
        <v>40720</v>
      </c>
      <c r="I759">
        <v>244320</v>
      </c>
      <c r="J759" t="s">
        <v>36</v>
      </c>
    </row>
    <row r="760" spans="1:10" x14ac:dyDescent="0.25">
      <c r="A760" t="s">
        <v>73</v>
      </c>
      <c r="B760" t="s">
        <v>42</v>
      </c>
      <c r="C760" t="s">
        <v>23</v>
      </c>
      <c r="D760" t="s">
        <v>44</v>
      </c>
      <c r="E760" t="s">
        <v>25</v>
      </c>
      <c r="F760" t="s">
        <v>15</v>
      </c>
      <c r="G760">
        <v>19</v>
      </c>
      <c r="H760">
        <v>55963</v>
      </c>
      <c r="I760">
        <v>1063297</v>
      </c>
      <c r="J760" t="s">
        <v>16</v>
      </c>
    </row>
    <row r="761" spans="1:10" x14ac:dyDescent="0.25">
      <c r="A761" t="s">
        <v>110</v>
      </c>
      <c r="B761" t="s">
        <v>18</v>
      </c>
      <c r="C761" t="s">
        <v>23</v>
      </c>
      <c r="D761" t="s">
        <v>13</v>
      </c>
      <c r="E761" t="s">
        <v>19</v>
      </c>
      <c r="F761" t="s">
        <v>26</v>
      </c>
      <c r="G761">
        <v>7</v>
      </c>
      <c r="H761">
        <v>34621</v>
      </c>
      <c r="I761">
        <v>242347</v>
      </c>
      <c r="J761" t="s">
        <v>16</v>
      </c>
    </row>
    <row r="762" spans="1:10" x14ac:dyDescent="0.25">
      <c r="A762" t="s">
        <v>54</v>
      </c>
      <c r="B762" t="s">
        <v>42</v>
      </c>
      <c r="C762" t="s">
        <v>23</v>
      </c>
      <c r="D762" t="s">
        <v>39</v>
      </c>
      <c r="E762" t="s">
        <v>19</v>
      </c>
      <c r="F762" t="s">
        <v>15</v>
      </c>
      <c r="G762">
        <v>15</v>
      </c>
      <c r="H762">
        <v>58096</v>
      </c>
      <c r="I762">
        <v>871440</v>
      </c>
      <c r="J762" t="s">
        <v>27</v>
      </c>
    </row>
    <row r="763" spans="1:10" x14ac:dyDescent="0.25">
      <c r="A763" t="s">
        <v>347</v>
      </c>
      <c r="B763" t="s">
        <v>33</v>
      </c>
      <c r="C763" t="s">
        <v>38</v>
      </c>
      <c r="D763" t="s">
        <v>13</v>
      </c>
      <c r="E763" t="s">
        <v>14</v>
      </c>
      <c r="F763" t="s">
        <v>15</v>
      </c>
      <c r="G763">
        <v>6</v>
      </c>
      <c r="H763">
        <v>31780</v>
      </c>
      <c r="I763">
        <v>190680</v>
      </c>
      <c r="J763" t="s">
        <v>20</v>
      </c>
    </row>
    <row r="764" spans="1:10" x14ac:dyDescent="0.25">
      <c r="A764" t="s">
        <v>348</v>
      </c>
      <c r="B764" t="s">
        <v>11</v>
      </c>
      <c r="C764" t="s">
        <v>23</v>
      </c>
      <c r="D764" t="s">
        <v>48</v>
      </c>
      <c r="E764" t="s">
        <v>14</v>
      </c>
      <c r="F764" t="s">
        <v>40</v>
      </c>
      <c r="G764">
        <v>15</v>
      </c>
      <c r="H764">
        <v>35441</v>
      </c>
      <c r="I764">
        <v>531615</v>
      </c>
      <c r="J764" t="s">
        <v>36</v>
      </c>
    </row>
    <row r="765" spans="1:10" x14ac:dyDescent="0.25">
      <c r="A765" t="s">
        <v>184</v>
      </c>
      <c r="B765" t="s">
        <v>42</v>
      </c>
      <c r="C765" t="s">
        <v>29</v>
      </c>
      <c r="D765" t="s">
        <v>24</v>
      </c>
      <c r="E765" t="s">
        <v>35</v>
      </c>
      <c r="F765" t="s">
        <v>15</v>
      </c>
      <c r="G765">
        <v>1</v>
      </c>
      <c r="H765">
        <v>25866</v>
      </c>
      <c r="I765">
        <v>25866</v>
      </c>
      <c r="J765" t="s">
        <v>27</v>
      </c>
    </row>
    <row r="766" spans="1:10" x14ac:dyDescent="0.25">
      <c r="A766" t="s">
        <v>64</v>
      </c>
      <c r="B766" t="s">
        <v>33</v>
      </c>
      <c r="C766" t="s">
        <v>38</v>
      </c>
      <c r="D766" t="s">
        <v>44</v>
      </c>
      <c r="E766" t="s">
        <v>19</v>
      </c>
      <c r="F766" t="s">
        <v>40</v>
      </c>
      <c r="G766">
        <v>5</v>
      </c>
      <c r="H766">
        <v>25876</v>
      </c>
      <c r="I766">
        <v>129380</v>
      </c>
      <c r="J766" t="s">
        <v>27</v>
      </c>
    </row>
    <row r="767" spans="1:10" x14ac:dyDescent="0.25">
      <c r="A767" t="s">
        <v>349</v>
      </c>
      <c r="B767" t="s">
        <v>22</v>
      </c>
      <c r="C767" t="s">
        <v>34</v>
      </c>
      <c r="D767" t="s">
        <v>24</v>
      </c>
      <c r="E767" t="s">
        <v>19</v>
      </c>
      <c r="F767" t="s">
        <v>15</v>
      </c>
      <c r="G767">
        <v>15</v>
      </c>
      <c r="H767">
        <v>51006</v>
      </c>
      <c r="I767">
        <v>765090</v>
      </c>
      <c r="J767" t="s">
        <v>27</v>
      </c>
    </row>
    <row r="768" spans="1:10" x14ac:dyDescent="0.25">
      <c r="A768" t="s">
        <v>306</v>
      </c>
      <c r="B768" t="s">
        <v>42</v>
      </c>
      <c r="C768" t="s">
        <v>23</v>
      </c>
      <c r="D768" t="s">
        <v>44</v>
      </c>
      <c r="E768" t="s">
        <v>30</v>
      </c>
      <c r="F768" t="s">
        <v>15</v>
      </c>
      <c r="G768">
        <v>18</v>
      </c>
      <c r="H768">
        <v>36181</v>
      </c>
      <c r="I768">
        <v>651258</v>
      </c>
      <c r="J768" t="s">
        <v>20</v>
      </c>
    </row>
    <row r="769" spans="1:10" x14ac:dyDescent="0.25">
      <c r="A769" t="s">
        <v>262</v>
      </c>
      <c r="B769" t="s">
        <v>18</v>
      </c>
      <c r="C769" t="s">
        <v>29</v>
      </c>
      <c r="D769" t="s">
        <v>13</v>
      </c>
      <c r="E769" t="s">
        <v>25</v>
      </c>
      <c r="F769" t="s">
        <v>26</v>
      </c>
      <c r="G769">
        <v>16</v>
      </c>
      <c r="H769">
        <v>56976</v>
      </c>
      <c r="I769">
        <v>911616</v>
      </c>
      <c r="J769" t="s">
        <v>16</v>
      </c>
    </row>
    <row r="770" spans="1:10" x14ac:dyDescent="0.25">
      <c r="A770" t="s">
        <v>350</v>
      </c>
      <c r="B770" t="s">
        <v>22</v>
      </c>
      <c r="C770" t="s">
        <v>23</v>
      </c>
      <c r="D770" t="s">
        <v>13</v>
      </c>
      <c r="E770" t="s">
        <v>25</v>
      </c>
      <c r="F770" t="s">
        <v>26</v>
      </c>
      <c r="G770">
        <v>13</v>
      </c>
      <c r="H770">
        <v>37344</v>
      </c>
      <c r="I770">
        <v>485472</v>
      </c>
      <c r="J770" t="s">
        <v>36</v>
      </c>
    </row>
    <row r="771" spans="1:10" x14ac:dyDescent="0.25">
      <c r="A771" t="s">
        <v>106</v>
      </c>
      <c r="B771" t="s">
        <v>18</v>
      </c>
      <c r="C771" t="s">
        <v>23</v>
      </c>
      <c r="D771" t="s">
        <v>39</v>
      </c>
      <c r="E771" t="s">
        <v>14</v>
      </c>
      <c r="F771" t="s">
        <v>40</v>
      </c>
      <c r="G771">
        <v>17</v>
      </c>
      <c r="H771">
        <v>57513</v>
      </c>
      <c r="I771">
        <v>977721</v>
      </c>
      <c r="J771" t="s">
        <v>20</v>
      </c>
    </row>
    <row r="772" spans="1:10" x14ac:dyDescent="0.25">
      <c r="A772" t="s">
        <v>271</v>
      </c>
      <c r="B772" t="s">
        <v>11</v>
      </c>
      <c r="C772" t="s">
        <v>29</v>
      </c>
      <c r="D772" t="s">
        <v>24</v>
      </c>
      <c r="E772" t="s">
        <v>25</v>
      </c>
      <c r="F772" t="s">
        <v>40</v>
      </c>
      <c r="G772">
        <v>14</v>
      </c>
      <c r="H772">
        <v>45769</v>
      </c>
      <c r="I772">
        <v>640766</v>
      </c>
      <c r="J772" t="s">
        <v>27</v>
      </c>
    </row>
    <row r="773" spans="1:10" x14ac:dyDescent="0.25">
      <c r="A773" t="s">
        <v>351</v>
      </c>
      <c r="B773" t="s">
        <v>18</v>
      </c>
      <c r="C773" t="s">
        <v>12</v>
      </c>
      <c r="D773" t="s">
        <v>48</v>
      </c>
      <c r="E773" t="s">
        <v>14</v>
      </c>
      <c r="F773" t="s">
        <v>40</v>
      </c>
      <c r="G773">
        <v>7</v>
      </c>
      <c r="H773">
        <v>54783</v>
      </c>
      <c r="I773">
        <v>383481</v>
      </c>
      <c r="J773" t="s">
        <v>20</v>
      </c>
    </row>
    <row r="774" spans="1:10" x14ac:dyDescent="0.25">
      <c r="A774" t="s">
        <v>211</v>
      </c>
      <c r="B774" t="s">
        <v>18</v>
      </c>
      <c r="C774" t="s">
        <v>34</v>
      </c>
      <c r="D774" t="s">
        <v>24</v>
      </c>
      <c r="E774" t="s">
        <v>35</v>
      </c>
      <c r="F774" t="s">
        <v>40</v>
      </c>
      <c r="G774">
        <v>3</v>
      </c>
      <c r="H774">
        <v>46044</v>
      </c>
      <c r="I774">
        <v>138132</v>
      </c>
      <c r="J774" t="s">
        <v>36</v>
      </c>
    </row>
    <row r="775" spans="1:10" x14ac:dyDescent="0.25">
      <c r="A775" t="s">
        <v>173</v>
      </c>
      <c r="B775" t="s">
        <v>42</v>
      </c>
      <c r="C775" t="s">
        <v>12</v>
      </c>
      <c r="D775" t="s">
        <v>13</v>
      </c>
      <c r="E775" t="s">
        <v>30</v>
      </c>
      <c r="F775" t="s">
        <v>15</v>
      </c>
      <c r="G775">
        <v>10</v>
      </c>
      <c r="H775">
        <v>52650</v>
      </c>
      <c r="I775">
        <v>526500</v>
      </c>
      <c r="J775" t="s">
        <v>36</v>
      </c>
    </row>
    <row r="776" spans="1:10" x14ac:dyDescent="0.25">
      <c r="A776" t="s">
        <v>50</v>
      </c>
      <c r="B776" t="s">
        <v>42</v>
      </c>
      <c r="C776" t="s">
        <v>38</v>
      </c>
      <c r="D776" t="s">
        <v>13</v>
      </c>
      <c r="E776" t="s">
        <v>14</v>
      </c>
      <c r="F776" t="s">
        <v>40</v>
      </c>
      <c r="G776">
        <v>6</v>
      </c>
      <c r="H776">
        <v>23901</v>
      </c>
      <c r="I776">
        <v>143406</v>
      </c>
      <c r="J776" t="s">
        <v>16</v>
      </c>
    </row>
    <row r="777" spans="1:10" x14ac:dyDescent="0.25">
      <c r="A777" t="s">
        <v>165</v>
      </c>
      <c r="B777" t="s">
        <v>33</v>
      </c>
      <c r="C777" t="s">
        <v>34</v>
      </c>
      <c r="D777" t="s">
        <v>24</v>
      </c>
      <c r="E777" t="s">
        <v>30</v>
      </c>
      <c r="F777" t="s">
        <v>15</v>
      </c>
      <c r="G777">
        <v>11</v>
      </c>
      <c r="H777">
        <v>19868</v>
      </c>
      <c r="I777">
        <v>218548</v>
      </c>
      <c r="J777" t="s">
        <v>20</v>
      </c>
    </row>
    <row r="778" spans="1:10" x14ac:dyDescent="0.25">
      <c r="A778" t="s">
        <v>250</v>
      </c>
      <c r="B778" t="s">
        <v>18</v>
      </c>
      <c r="C778" t="s">
        <v>12</v>
      </c>
      <c r="D778" t="s">
        <v>44</v>
      </c>
      <c r="E778" t="s">
        <v>14</v>
      </c>
      <c r="F778" t="s">
        <v>40</v>
      </c>
      <c r="G778">
        <v>4</v>
      </c>
      <c r="H778">
        <v>35312</v>
      </c>
      <c r="I778">
        <v>141248</v>
      </c>
      <c r="J778" t="s">
        <v>36</v>
      </c>
    </row>
    <row r="779" spans="1:10" x14ac:dyDescent="0.25">
      <c r="A779" t="s">
        <v>175</v>
      </c>
      <c r="B779" t="s">
        <v>11</v>
      </c>
      <c r="C779" t="s">
        <v>38</v>
      </c>
      <c r="D779" t="s">
        <v>24</v>
      </c>
      <c r="E779" t="s">
        <v>14</v>
      </c>
      <c r="F779" t="s">
        <v>26</v>
      </c>
      <c r="G779">
        <v>20</v>
      </c>
      <c r="H779">
        <v>30156</v>
      </c>
      <c r="I779">
        <v>603120</v>
      </c>
      <c r="J779" t="s">
        <v>27</v>
      </c>
    </row>
    <row r="780" spans="1:10" x14ac:dyDescent="0.25">
      <c r="A780" t="s">
        <v>331</v>
      </c>
      <c r="B780" t="s">
        <v>42</v>
      </c>
      <c r="C780" t="s">
        <v>23</v>
      </c>
      <c r="D780" t="s">
        <v>48</v>
      </c>
      <c r="E780" t="s">
        <v>35</v>
      </c>
      <c r="F780" t="s">
        <v>40</v>
      </c>
      <c r="G780">
        <v>7</v>
      </c>
      <c r="H780">
        <v>59159</v>
      </c>
      <c r="I780">
        <v>414113</v>
      </c>
      <c r="J780" t="s">
        <v>27</v>
      </c>
    </row>
    <row r="781" spans="1:10" x14ac:dyDescent="0.25">
      <c r="A781" t="s">
        <v>95</v>
      </c>
      <c r="B781" t="s">
        <v>33</v>
      </c>
      <c r="C781" t="s">
        <v>12</v>
      </c>
      <c r="D781" t="s">
        <v>39</v>
      </c>
      <c r="E781" t="s">
        <v>30</v>
      </c>
      <c r="F781" t="s">
        <v>26</v>
      </c>
      <c r="G781">
        <v>1</v>
      </c>
      <c r="H781">
        <v>34285</v>
      </c>
      <c r="I781">
        <v>34285</v>
      </c>
      <c r="J781" t="s">
        <v>36</v>
      </c>
    </row>
    <row r="782" spans="1:10" x14ac:dyDescent="0.25">
      <c r="A782" t="s">
        <v>325</v>
      </c>
      <c r="B782" t="s">
        <v>22</v>
      </c>
      <c r="C782" t="s">
        <v>34</v>
      </c>
      <c r="D782" t="s">
        <v>24</v>
      </c>
      <c r="E782" t="s">
        <v>19</v>
      </c>
      <c r="F782" t="s">
        <v>26</v>
      </c>
      <c r="G782">
        <v>2</v>
      </c>
      <c r="H782">
        <v>47733</v>
      </c>
      <c r="I782">
        <v>95466</v>
      </c>
      <c r="J782" t="s">
        <v>16</v>
      </c>
    </row>
    <row r="783" spans="1:10" x14ac:dyDescent="0.25">
      <c r="A783" t="s">
        <v>170</v>
      </c>
      <c r="B783" t="s">
        <v>22</v>
      </c>
      <c r="C783" t="s">
        <v>38</v>
      </c>
      <c r="D783" t="s">
        <v>48</v>
      </c>
      <c r="E783" t="s">
        <v>30</v>
      </c>
      <c r="F783" t="s">
        <v>15</v>
      </c>
      <c r="G783">
        <v>19</v>
      </c>
      <c r="H783">
        <v>57172</v>
      </c>
      <c r="I783">
        <v>1086268</v>
      </c>
      <c r="J783" t="s">
        <v>27</v>
      </c>
    </row>
    <row r="784" spans="1:10" x14ac:dyDescent="0.25">
      <c r="A784" t="s">
        <v>258</v>
      </c>
      <c r="B784" t="s">
        <v>42</v>
      </c>
      <c r="C784" t="s">
        <v>38</v>
      </c>
      <c r="D784" t="s">
        <v>24</v>
      </c>
      <c r="E784" t="s">
        <v>35</v>
      </c>
      <c r="F784" t="s">
        <v>40</v>
      </c>
      <c r="G784">
        <v>9</v>
      </c>
      <c r="H784">
        <v>43141</v>
      </c>
      <c r="I784">
        <v>388269</v>
      </c>
      <c r="J784" t="s">
        <v>27</v>
      </c>
    </row>
    <row r="785" spans="1:10" x14ac:dyDescent="0.25">
      <c r="A785" t="s">
        <v>94</v>
      </c>
      <c r="B785" t="s">
        <v>11</v>
      </c>
      <c r="C785" t="s">
        <v>29</v>
      </c>
      <c r="D785" t="s">
        <v>48</v>
      </c>
      <c r="E785" t="s">
        <v>30</v>
      </c>
      <c r="F785" t="s">
        <v>40</v>
      </c>
      <c r="G785">
        <v>2</v>
      </c>
      <c r="H785">
        <v>24213</v>
      </c>
      <c r="I785">
        <v>48426</v>
      </c>
      <c r="J785" t="s">
        <v>36</v>
      </c>
    </row>
    <row r="786" spans="1:10" x14ac:dyDescent="0.25">
      <c r="A786" t="s">
        <v>352</v>
      </c>
      <c r="B786" t="s">
        <v>33</v>
      </c>
      <c r="C786" t="s">
        <v>12</v>
      </c>
      <c r="D786" t="s">
        <v>48</v>
      </c>
      <c r="E786" t="s">
        <v>19</v>
      </c>
      <c r="F786" t="s">
        <v>15</v>
      </c>
      <c r="G786">
        <v>20</v>
      </c>
      <c r="H786">
        <v>42758</v>
      </c>
      <c r="I786">
        <v>855160</v>
      </c>
      <c r="J786" t="s">
        <v>20</v>
      </c>
    </row>
    <row r="787" spans="1:10" x14ac:dyDescent="0.25">
      <c r="A787" t="s">
        <v>333</v>
      </c>
      <c r="B787" t="s">
        <v>22</v>
      </c>
      <c r="C787" t="s">
        <v>29</v>
      </c>
      <c r="D787" t="s">
        <v>13</v>
      </c>
      <c r="E787" t="s">
        <v>14</v>
      </c>
      <c r="F787" t="s">
        <v>40</v>
      </c>
      <c r="G787">
        <v>16</v>
      </c>
      <c r="H787">
        <v>30632</v>
      </c>
      <c r="I787">
        <v>490112</v>
      </c>
      <c r="J787" t="s">
        <v>27</v>
      </c>
    </row>
    <row r="788" spans="1:10" x14ac:dyDescent="0.25">
      <c r="A788" t="s">
        <v>348</v>
      </c>
      <c r="B788" t="s">
        <v>33</v>
      </c>
      <c r="C788" t="s">
        <v>29</v>
      </c>
      <c r="D788" t="s">
        <v>24</v>
      </c>
      <c r="E788" t="s">
        <v>19</v>
      </c>
      <c r="F788" t="s">
        <v>15</v>
      </c>
      <c r="G788">
        <v>11</v>
      </c>
      <c r="H788">
        <v>18885</v>
      </c>
      <c r="I788">
        <v>207735</v>
      </c>
      <c r="J788" t="s">
        <v>36</v>
      </c>
    </row>
    <row r="789" spans="1:10" x14ac:dyDescent="0.25">
      <c r="A789" t="s">
        <v>281</v>
      </c>
      <c r="B789" t="s">
        <v>11</v>
      </c>
      <c r="C789" t="s">
        <v>29</v>
      </c>
      <c r="D789" t="s">
        <v>44</v>
      </c>
      <c r="E789" t="s">
        <v>30</v>
      </c>
      <c r="F789" t="s">
        <v>40</v>
      </c>
      <c r="G789">
        <v>4</v>
      </c>
      <c r="H789">
        <v>35109</v>
      </c>
      <c r="I789">
        <v>140436</v>
      </c>
      <c r="J789" t="s">
        <v>20</v>
      </c>
    </row>
    <row r="790" spans="1:10" x14ac:dyDescent="0.25">
      <c r="A790" t="s">
        <v>221</v>
      </c>
      <c r="B790" t="s">
        <v>18</v>
      </c>
      <c r="C790" t="s">
        <v>29</v>
      </c>
      <c r="D790" t="s">
        <v>13</v>
      </c>
      <c r="E790" t="s">
        <v>25</v>
      </c>
      <c r="F790" t="s">
        <v>15</v>
      </c>
      <c r="G790">
        <v>7</v>
      </c>
      <c r="H790">
        <v>45517</v>
      </c>
      <c r="I790">
        <v>318619</v>
      </c>
      <c r="J790" t="s">
        <v>27</v>
      </c>
    </row>
    <row r="791" spans="1:10" x14ac:dyDescent="0.25">
      <c r="A791" t="s">
        <v>105</v>
      </c>
      <c r="B791" t="s">
        <v>22</v>
      </c>
      <c r="C791" t="s">
        <v>23</v>
      </c>
      <c r="D791" t="s">
        <v>48</v>
      </c>
      <c r="E791" t="s">
        <v>30</v>
      </c>
      <c r="F791" t="s">
        <v>26</v>
      </c>
      <c r="G791">
        <v>19</v>
      </c>
      <c r="H791">
        <v>42126</v>
      </c>
      <c r="I791">
        <v>800394</v>
      </c>
      <c r="J791" t="s">
        <v>36</v>
      </c>
    </row>
    <row r="792" spans="1:10" x14ac:dyDescent="0.25">
      <c r="A792" t="s">
        <v>353</v>
      </c>
      <c r="B792" t="s">
        <v>11</v>
      </c>
      <c r="C792" t="s">
        <v>38</v>
      </c>
      <c r="D792" t="s">
        <v>13</v>
      </c>
      <c r="E792" t="s">
        <v>19</v>
      </c>
      <c r="F792" t="s">
        <v>40</v>
      </c>
      <c r="G792">
        <v>6</v>
      </c>
      <c r="H792">
        <v>33036</v>
      </c>
      <c r="I792">
        <v>198216</v>
      </c>
      <c r="J792" t="s">
        <v>27</v>
      </c>
    </row>
    <row r="793" spans="1:10" x14ac:dyDescent="0.25">
      <c r="A793" t="s">
        <v>112</v>
      </c>
      <c r="B793" t="s">
        <v>18</v>
      </c>
      <c r="C793" t="s">
        <v>34</v>
      </c>
      <c r="D793" t="s">
        <v>24</v>
      </c>
      <c r="E793" t="s">
        <v>19</v>
      </c>
      <c r="F793" t="s">
        <v>26</v>
      </c>
      <c r="G793">
        <v>8</v>
      </c>
      <c r="H793">
        <v>39455</v>
      </c>
      <c r="I793">
        <v>315640</v>
      </c>
      <c r="J793" t="s">
        <v>36</v>
      </c>
    </row>
    <row r="794" spans="1:10" x14ac:dyDescent="0.25">
      <c r="A794" t="s">
        <v>46</v>
      </c>
      <c r="B794" t="s">
        <v>22</v>
      </c>
      <c r="C794" t="s">
        <v>12</v>
      </c>
      <c r="D794" t="s">
        <v>44</v>
      </c>
      <c r="E794" t="s">
        <v>30</v>
      </c>
      <c r="F794" t="s">
        <v>40</v>
      </c>
      <c r="G794">
        <v>3</v>
      </c>
      <c r="H794">
        <v>37397</v>
      </c>
      <c r="I794">
        <v>112191</v>
      </c>
      <c r="J794" t="s">
        <v>20</v>
      </c>
    </row>
    <row r="795" spans="1:10" x14ac:dyDescent="0.25">
      <c r="A795" t="s">
        <v>274</v>
      </c>
      <c r="B795" t="s">
        <v>22</v>
      </c>
      <c r="C795" t="s">
        <v>23</v>
      </c>
      <c r="D795" t="s">
        <v>44</v>
      </c>
      <c r="E795" t="s">
        <v>35</v>
      </c>
      <c r="F795" t="s">
        <v>26</v>
      </c>
      <c r="G795">
        <v>5</v>
      </c>
      <c r="H795">
        <v>26352</v>
      </c>
      <c r="I795">
        <v>131760</v>
      </c>
      <c r="J795" t="s">
        <v>36</v>
      </c>
    </row>
    <row r="796" spans="1:10" x14ac:dyDescent="0.25">
      <c r="A796" t="s">
        <v>286</v>
      </c>
      <c r="B796" t="s">
        <v>18</v>
      </c>
      <c r="C796" t="s">
        <v>38</v>
      </c>
      <c r="D796" t="s">
        <v>13</v>
      </c>
      <c r="E796" t="s">
        <v>25</v>
      </c>
      <c r="F796" t="s">
        <v>15</v>
      </c>
      <c r="G796">
        <v>19</v>
      </c>
      <c r="H796">
        <v>37346</v>
      </c>
      <c r="I796">
        <v>709574</v>
      </c>
      <c r="J796" t="s">
        <v>16</v>
      </c>
    </row>
    <row r="797" spans="1:10" x14ac:dyDescent="0.25">
      <c r="A797" t="s">
        <v>84</v>
      </c>
      <c r="B797" t="s">
        <v>42</v>
      </c>
      <c r="C797" t="s">
        <v>23</v>
      </c>
      <c r="D797" t="s">
        <v>48</v>
      </c>
      <c r="E797" t="s">
        <v>35</v>
      </c>
      <c r="F797" t="s">
        <v>15</v>
      </c>
      <c r="G797">
        <v>10</v>
      </c>
      <c r="H797">
        <v>40715</v>
      </c>
      <c r="I797">
        <v>407150</v>
      </c>
      <c r="J797" t="s">
        <v>16</v>
      </c>
    </row>
    <row r="798" spans="1:10" x14ac:dyDescent="0.25">
      <c r="A798" t="s">
        <v>151</v>
      </c>
      <c r="B798" t="s">
        <v>11</v>
      </c>
      <c r="C798" t="s">
        <v>34</v>
      </c>
      <c r="D798" t="s">
        <v>48</v>
      </c>
      <c r="E798" t="s">
        <v>35</v>
      </c>
      <c r="F798" t="s">
        <v>15</v>
      </c>
      <c r="G798">
        <v>12</v>
      </c>
      <c r="H798">
        <v>29285</v>
      </c>
      <c r="I798">
        <v>351420</v>
      </c>
      <c r="J798" t="s">
        <v>36</v>
      </c>
    </row>
    <row r="799" spans="1:10" x14ac:dyDescent="0.25">
      <c r="A799" t="s">
        <v>183</v>
      </c>
      <c r="B799" t="s">
        <v>18</v>
      </c>
      <c r="C799" t="s">
        <v>12</v>
      </c>
      <c r="D799" t="s">
        <v>39</v>
      </c>
      <c r="E799" t="s">
        <v>19</v>
      </c>
      <c r="F799" t="s">
        <v>26</v>
      </c>
      <c r="G799">
        <v>6</v>
      </c>
      <c r="H799">
        <v>27802</v>
      </c>
      <c r="I799">
        <v>166812</v>
      </c>
      <c r="J799" t="s">
        <v>27</v>
      </c>
    </row>
    <row r="800" spans="1:10" x14ac:dyDescent="0.25">
      <c r="A800" t="s">
        <v>120</v>
      </c>
      <c r="B800" t="s">
        <v>18</v>
      </c>
      <c r="C800" t="s">
        <v>12</v>
      </c>
      <c r="D800" t="s">
        <v>48</v>
      </c>
      <c r="E800" t="s">
        <v>14</v>
      </c>
      <c r="F800" t="s">
        <v>15</v>
      </c>
      <c r="G800">
        <v>17</v>
      </c>
      <c r="H800">
        <v>59354</v>
      </c>
      <c r="I800">
        <v>1009018</v>
      </c>
      <c r="J800" t="s">
        <v>27</v>
      </c>
    </row>
    <row r="801" spans="1:10" x14ac:dyDescent="0.25">
      <c r="A801" t="s">
        <v>354</v>
      </c>
      <c r="B801" t="s">
        <v>11</v>
      </c>
      <c r="C801" t="s">
        <v>34</v>
      </c>
      <c r="D801" t="s">
        <v>44</v>
      </c>
      <c r="E801" t="s">
        <v>35</v>
      </c>
      <c r="F801" t="s">
        <v>40</v>
      </c>
      <c r="G801">
        <v>5</v>
      </c>
      <c r="H801">
        <v>53899</v>
      </c>
      <c r="I801">
        <v>269495</v>
      </c>
      <c r="J801" t="s">
        <v>16</v>
      </c>
    </row>
    <row r="802" spans="1:10" x14ac:dyDescent="0.25">
      <c r="A802" t="s">
        <v>330</v>
      </c>
      <c r="B802" t="s">
        <v>33</v>
      </c>
      <c r="C802" t="s">
        <v>34</v>
      </c>
      <c r="D802" t="s">
        <v>48</v>
      </c>
      <c r="E802" t="s">
        <v>14</v>
      </c>
      <c r="F802" t="s">
        <v>26</v>
      </c>
      <c r="G802">
        <v>12</v>
      </c>
      <c r="H802">
        <v>35819</v>
      </c>
      <c r="I802">
        <v>429828</v>
      </c>
      <c r="J802" t="s">
        <v>36</v>
      </c>
    </row>
    <row r="803" spans="1:10" x14ac:dyDescent="0.25">
      <c r="A803" t="s">
        <v>325</v>
      </c>
      <c r="B803" t="s">
        <v>18</v>
      </c>
      <c r="C803" t="s">
        <v>23</v>
      </c>
      <c r="D803" t="s">
        <v>39</v>
      </c>
      <c r="E803" t="s">
        <v>19</v>
      </c>
      <c r="F803" t="s">
        <v>26</v>
      </c>
      <c r="G803">
        <v>7</v>
      </c>
      <c r="H803">
        <v>23856</v>
      </c>
      <c r="I803">
        <v>166992</v>
      </c>
      <c r="J803" t="s">
        <v>20</v>
      </c>
    </row>
    <row r="804" spans="1:10" x14ac:dyDescent="0.25">
      <c r="A804" t="s">
        <v>52</v>
      </c>
      <c r="B804" t="s">
        <v>33</v>
      </c>
      <c r="C804" t="s">
        <v>38</v>
      </c>
      <c r="D804" t="s">
        <v>13</v>
      </c>
      <c r="E804" t="s">
        <v>35</v>
      </c>
      <c r="F804" t="s">
        <v>40</v>
      </c>
      <c r="G804">
        <v>3</v>
      </c>
      <c r="H804">
        <v>29685</v>
      </c>
      <c r="I804">
        <v>89055</v>
      </c>
      <c r="J804" t="s">
        <v>16</v>
      </c>
    </row>
    <row r="805" spans="1:10" x14ac:dyDescent="0.25">
      <c r="A805" t="s">
        <v>229</v>
      </c>
      <c r="B805" t="s">
        <v>18</v>
      </c>
      <c r="C805" t="s">
        <v>23</v>
      </c>
      <c r="D805" t="s">
        <v>44</v>
      </c>
      <c r="E805" t="s">
        <v>35</v>
      </c>
      <c r="F805" t="s">
        <v>40</v>
      </c>
      <c r="G805">
        <v>10</v>
      </c>
      <c r="H805">
        <v>17382</v>
      </c>
      <c r="I805">
        <v>173820</v>
      </c>
      <c r="J805" t="s">
        <v>16</v>
      </c>
    </row>
    <row r="806" spans="1:10" x14ac:dyDescent="0.25">
      <c r="A806" t="s">
        <v>355</v>
      </c>
      <c r="B806" t="s">
        <v>11</v>
      </c>
      <c r="C806" t="s">
        <v>38</v>
      </c>
      <c r="D806" t="s">
        <v>39</v>
      </c>
      <c r="E806" t="s">
        <v>19</v>
      </c>
      <c r="F806" t="s">
        <v>40</v>
      </c>
      <c r="G806">
        <v>1</v>
      </c>
      <c r="H806">
        <v>26934</v>
      </c>
      <c r="I806">
        <v>26934</v>
      </c>
      <c r="J806" t="s">
        <v>20</v>
      </c>
    </row>
    <row r="807" spans="1:10" x14ac:dyDescent="0.25">
      <c r="A807" t="s">
        <v>93</v>
      </c>
      <c r="B807" t="s">
        <v>18</v>
      </c>
      <c r="C807" t="s">
        <v>29</v>
      </c>
      <c r="D807" t="s">
        <v>44</v>
      </c>
      <c r="E807" t="s">
        <v>14</v>
      </c>
      <c r="F807" t="s">
        <v>26</v>
      </c>
      <c r="G807">
        <v>5</v>
      </c>
      <c r="H807">
        <v>33723</v>
      </c>
      <c r="I807">
        <v>168615</v>
      </c>
      <c r="J807" t="s">
        <v>20</v>
      </c>
    </row>
    <row r="808" spans="1:10" x14ac:dyDescent="0.25">
      <c r="A808" t="s">
        <v>133</v>
      </c>
      <c r="B808" t="s">
        <v>33</v>
      </c>
      <c r="C808" t="s">
        <v>12</v>
      </c>
      <c r="D808" t="s">
        <v>48</v>
      </c>
      <c r="E808" t="s">
        <v>14</v>
      </c>
      <c r="F808" t="s">
        <v>40</v>
      </c>
      <c r="G808">
        <v>15</v>
      </c>
      <c r="H808">
        <v>47792</v>
      </c>
      <c r="I808">
        <v>716880</v>
      </c>
      <c r="J808" t="s">
        <v>27</v>
      </c>
    </row>
    <row r="809" spans="1:10" x14ac:dyDescent="0.25">
      <c r="A809" t="s">
        <v>185</v>
      </c>
      <c r="B809" t="s">
        <v>42</v>
      </c>
      <c r="C809" t="s">
        <v>34</v>
      </c>
      <c r="D809" t="s">
        <v>24</v>
      </c>
      <c r="E809" t="s">
        <v>35</v>
      </c>
      <c r="F809" t="s">
        <v>40</v>
      </c>
      <c r="G809">
        <v>16</v>
      </c>
      <c r="H809">
        <v>40664</v>
      </c>
      <c r="I809">
        <v>650624</v>
      </c>
      <c r="J809" t="s">
        <v>36</v>
      </c>
    </row>
    <row r="810" spans="1:10" x14ac:dyDescent="0.25">
      <c r="A810" t="s">
        <v>125</v>
      </c>
      <c r="B810" t="s">
        <v>42</v>
      </c>
      <c r="C810" t="s">
        <v>34</v>
      </c>
      <c r="D810" t="s">
        <v>24</v>
      </c>
      <c r="E810" t="s">
        <v>14</v>
      </c>
      <c r="F810" t="s">
        <v>26</v>
      </c>
      <c r="G810">
        <v>11</v>
      </c>
      <c r="H810">
        <v>47857</v>
      </c>
      <c r="I810">
        <v>526427</v>
      </c>
      <c r="J810" t="s">
        <v>36</v>
      </c>
    </row>
    <row r="811" spans="1:10" x14ac:dyDescent="0.25">
      <c r="A811" t="s">
        <v>281</v>
      </c>
      <c r="B811" t="s">
        <v>22</v>
      </c>
      <c r="C811" t="s">
        <v>34</v>
      </c>
      <c r="D811" t="s">
        <v>39</v>
      </c>
      <c r="E811" t="s">
        <v>30</v>
      </c>
      <c r="F811" t="s">
        <v>26</v>
      </c>
      <c r="G811">
        <v>17</v>
      </c>
      <c r="H811">
        <v>42796</v>
      </c>
      <c r="I811">
        <v>727532</v>
      </c>
      <c r="J811" t="s">
        <v>20</v>
      </c>
    </row>
    <row r="812" spans="1:10" x14ac:dyDescent="0.25">
      <c r="A812" t="s">
        <v>158</v>
      </c>
      <c r="B812" t="s">
        <v>42</v>
      </c>
      <c r="C812" t="s">
        <v>34</v>
      </c>
      <c r="D812" t="s">
        <v>39</v>
      </c>
      <c r="E812" t="s">
        <v>25</v>
      </c>
      <c r="F812" t="s">
        <v>26</v>
      </c>
      <c r="G812">
        <v>19</v>
      </c>
      <c r="H812">
        <v>37199</v>
      </c>
      <c r="I812">
        <v>706781</v>
      </c>
      <c r="J812" t="s">
        <v>27</v>
      </c>
    </row>
    <row r="813" spans="1:10" x14ac:dyDescent="0.25">
      <c r="A813" t="s">
        <v>101</v>
      </c>
      <c r="B813" t="s">
        <v>18</v>
      </c>
      <c r="C813" t="s">
        <v>23</v>
      </c>
      <c r="D813" t="s">
        <v>39</v>
      </c>
      <c r="E813" t="s">
        <v>35</v>
      </c>
      <c r="F813" t="s">
        <v>26</v>
      </c>
      <c r="G813">
        <v>19</v>
      </c>
      <c r="H813">
        <v>59330</v>
      </c>
      <c r="I813">
        <v>1127270</v>
      </c>
      <c r="J813" t="s">
        <v>27</v>
      </c>
    </row>
    <row r="814" spans="1:10" x14ac:dyDescent="0.25">
      <c r="A814" t="s">
        <v>236</v>
      </c>
      <c r="B814" t="s">
        <v>18</v>
      </c>
      <c r="C814" t="s">
        <v>34</v>
      </c>
      <c r="D814" t="s">
        <v>48</v>
      </c>
      <c r="E814" t="s">
        <v>19</v>
      </c>
      <c r="F814" t="s">
        <v>15</v>
      </c>
      <c r="G814">
        <v>8</v>
      </c>
      <c r="H814">
        <v>45822</v>
      </c>
      <c r="I814">
        <v>366576</v>
      </c>
      <c r="J814" t="s">
        <v>36</v>
      </c>
    </row>
    <row r="815" spans="1:10" x14ac:dyDescent="0.25">
      <c r="A815" t="s">
        <v>225</v>
      </c>
      <c r="B815" t="s">
        <v>42</v>
      </c>
      <c r="C815" t="s">
        <v>29</v>
      </c>
      <c r="D815" t="s">
        <v>24</v>
      </c>
      <c r="E815" t="s">
        <v>30</v>
      </c>
      <c r="F815" t="s">
        <v>15</v>
      </c>
      <c r="G815">
        <v>3</v>
      </c>
      <c r="H815">
        <v>26220</v>
      </c>
      <c r="I815">
        <v>78660</v>
      </c>
      <c r="J815" t="s">
        <v>16</v>
      </c>
    </row>
    <row r="816" spans="1:10" x14ac:dyDescent="0.25">
      <c r="A816" t="s">
        <v>279</v>
      </c>
      <c r="B816" t="s">
        <v>18</v>
      </c>
      <c r="C816" t="s">
        <v>23</v>
      </c>
      <c r="D816" t="s">
        <v>44</v>
      </c>
      <c r="E816" t="s">
        <v>19</v>
      </c>
      <c r="F816" t="s">
        <v>40</v>
      </c>
      <c r="G816">
        <v>4</v>
      </c>
      <c r="H816">
        <v>39554</v>
      </c>
      <c r="I816">
        <v>158216</v>
      </c>
      <c r="J816" t="s">
        <v>36</v>
      </c>
    </row>
    <row r="817" spans="1:10" x14ac:dyDescent="0.25">
      <c r="A817" t="s">
        <v>356</v>
      </c>
      <c r="B817" t="s">
        <v>18</v>
      </c>
      <c r="C817" t="s">
        <v>38</v>
      </c>
      <c r="D817" t="s">
        <v>13</v>
      </c>
      <c r="E817" t="s">
        <v>14</v>
      </c>
      <c r="F817" t="s">
        <v>40</v>
      </c>
      <c r="G817">
        <v>18</v>
      </c>
      <c r="H817">
        <v>52229</v>
      </c>
      <c r="I817">
        <v>940122</v>
      </c>
      <c r="J817" t="s">
        <v>36</v>
      </c>
    </row>
    <row r="818" spans="1:10" x14ac:dyDescent="0.25">
      <c r="A818" t="s">
        <v>241</v>
      </c>
      <c r="B818" t="s">
        <v>42</v>
      </c>
      <c r="C818" t="s">
        <v>29</v>
      </c>
      <c r="D818" t="s">
        <v>24</v>
      </c>
      <c r="E818" t="s">
        <v>35</v>
      </c>
      <c r="F818" t="s">
        <v>26</v>
      </c>
      <c r="G818">
        <v>16</v>
      </c>
      <c r="H818">
        <v>53109</v>
      </c>
      <c r="I818">
        <v>849744</v>
      </c>
      <c r="J818" t="s">
        <v>27</v>
      </c>
    </row>
    <row r="819" spans="1:10" x14ac:dyDescent="0.25">
      <c r="A819" t="s">
        <v>125</v>
      </c>
      <c r="B819" t="s">
        <v>18</v>
      </c>
      <c r="C819" t="s">
        <v>23</v>
      </c>
      <c r="D819" t="s">
        <v>13</v>
      </c>
      <c r="E819" t="s">
        <v>35</v>
      </c>
      <c r="F819" t="s">
        <v>40</v>
      </c>
      <c r="G819">
        <v>2</v>
      </c>
      <c r="H819">
        <v>42542</v>
      </c>
      <c r="I819">
        <v>85084</v>
      </c>
      <c r="J819" t="s">
        <v>27</v>
      </c>
    </row>
    <row r="820" spans="1:10" x14ac:dyDescent="0.25">
      <c r="A820" t="s">
        <v>342</v>
      </c>
      <c r="B820" t="s">
        <v>22</v>
      </c>
      <c r="C820" t="s">
        <v>34</v>
      </c>
      <c r="D820" t="s">
        <v>13</v>
      </c>
      <c r="E820" t="s">
        <v>35</v>
      </c>
      <c r="F820" t="s">
        <v>15</v>
      </c>
      <c r="G820">
        <v>20</v>
      </c>
      <c r="H820">
        <v>29779</v>
      </c>
      <c r="I820">
        <v>595580</v>
      </c>
      <c r="J820" t="s">
        <v>20</v>
      </c>
    </row>
    <row r="821" spans="1:10" x14ac:dyDescent="0.25">
      <c r="A821" t="s">
        <v>266</v>
      </c>
      <c r="B821" t="s">
        <v>33</v>
      </c>
      <c r="C821" t="s">
        <v>12</v>
      </c>
      <c r="D821" t="s">
        <v>44</v>
      </c>
      <c r="E821" t="s">
        <v>19</v>
      </c>
      <c r="F821" t="s">
        <v>26</v>
      </c>
      <c r="G821">
        <v>10</v>
      </c>
      <c r="H821">
        <v>23320</v>
      </c>
      <c r="I821">
        <v>233200</v>
      </c>
      <c r="J821" t="s">
        <v>27</v>
      </c>
    </row>
    <row r="822" spans="1:10" x14ac:dyDescent="0.25">
      <c r="A822" t="s">
        <v>256</v>
      </c>
      <c r="B822" t="s">
        <v>42</v>
      </c>
      <c r="C822" t="s">
        <v>12</v>
      </c>
      <c r="D822" t="s">
        <v>48</v>
      </c>
      <c r="E822" t="s">
        <v>35</v>
      </c>
      <c r="F822" t="s">
        <v>15</v>
      </c>
      <c r="G822">
        <v>7</v>
      </c>
      <c r="H822">
        <v>29926</v>
      </c>
      <c r="I822">
        <v>209482</v>
      </c>
      <c r="J822" t="s">
        <v>36</v>
      </c>
    </row>
    <row r="823" spans="1:10" x14ac:dyDescent="0.25">
      <c r="A823" t="s">
        <v>246</v>
      </c>
      <c r="B823" t="s">
        <v>42</v>
      </c>
      <c r="C823" t="s">
        <v>23</v>
      </c>
      <c r="D823" t="s">
        <v>39</v>
      </c>
      <c r="E823" t="s">
        <v>30</v>
      </c>
      <c r="F823" t="s">
        <v>40</v>
      </c>
      <c r="G823">
        <v>13</v>
      </c>
      <c r="H823">
        <v>23157</v>
      </c>
      <c r="I823">
        <v>301041</v>
      </c>
      <c r="J823" t="s">
        <v>16</v>
      </c>
    </row>
    <row r="824" spans="1:10" x14ac:dyDescent="0.25">
      <c r="A824" t="s">
        <v>89</v>
      </c>
      <c r="B824" t="s">
        <v>42</v>
      </c>
      <c r="C824" t="s">
        <v>34</v>
      </c>
      <c r="D824" t="s">
        <v>44</v>
      </c>
      <c r="E824" t="s">
        <v>19</v>
      </c>
      <c r="F824" t="s">
        <v>26</v>
      </c>
      <c r="G824">
        <v>17</v>
      </c>
      <c r="H824">
        <v>28321</v>
      </c>
      <c r="I824">
        <v>481457</v>
      </c>
      <c r="J824" t="s">
        <v>27</v>
      </c>
    </row>
    <row r="825" spans="1:10" x14ac:dyDescent="0.25">
      <c r="A825" t="s">
        <v>345</v>
      </c>
      <c r="B825" t="s">
        <v>11</v>
      </c>
      <c r="C825" t="s">
        <v>12</v>
      </c>
      <c r="D825" t="s">
        <v>48</v>
      </c>
      <c r="E825" t="s">
        <v>30</v>
      </c>
      <c r="F825" t="s">
        <v>26</v>
      </c>
      <c r="G825">
        <v>11</v>
      </c>
      <c r="H825">
        <v>28315</v>
      </c>
      <c r="I825">
        <v>311465</v>
      </c>
      <c r="J825" t="s">
        <v>16</v>
      </c>
    </row>
    <row r="826" spans="1:10" x14ac:dyDescent="0.25">
      <c r="A826" t="s">
        <v>247</v>
      </c>
      <c r="B826" t="s">
        <v>18</v>
      </c>
      <c r="C826" t="s">
        <v>34</v>
      </c>
      <c r="D826" t="s">
        <v>44</v>
      </c>
      <c r="E826" t="s">
        <v>30</v>
      </c>
      <c r="F826" t="s">
        <v>26</v>
      </c>
      <c r="G826">
        <v>1</v>
      </c>
      <c r="H826">
        <v>31785</v>
      </c>
      <c r="I826">
        <v>31785</v>
      </c>
      <c r="J826" t="s">
        <v>20</v>
      </c>
    </row>
    <row r="827" spans="1:10" x14ac:dyDescent="0.25">
      <c r="A827" t="s">
        <v>239</v>
      </c>
      <c r="B827" t="s">
        <v>22</v>
      </c>
      <c r="C827" t="s">
        <v>23</v>
      </c>
      <c r="D827" t="s">
        <v>13</v>
      </c>
      <c r="E827" t="s">
        <v>30</v>
      </c>
      <c r="F827" t="s">
        <v>26</v>
      </c>
      <c r="G827">
        <v>8</v>
      </c>
      <c r="H827">
        <v>46410</v>
      </c>
      <c r="I827">
        <v>371280</v>
      </c>
      <c r="J827" t="s">
        <v>16</v>
      </c>
    </row>
    <row r="828" spans="1:10" x14ac:dyDescent="0.25">
      <c r="A828" t="s">
        <v>357</v>
      </c>
      <c r="B828" t="s">
        <v>11</v>
      </c>
      <c r="C828" t="s">
        <v>12</v>
      </c>
      <c r="D828" t="s">
        <v>44</v>
      </c>
      <c r="E828" t="s">
        <v>19</v>
      </c>
      <c r="F828" t="s">
        <v>15</v>
      </c>
      <c r="G828">
        <v>20</v>
      </c>
      <c r="H828">
        <v>33760</v>
      </c>
      <c r="I828">
        <v>675200</v>
      </c>
      <c r="J828" t="s">
        <v>20</v>
      </c>
    </row>
    <row r="829" spans="1:10" x14ac:dyDescent="0.25">
      <c r="A829" t="s">
        <v>133</v>
      </c>
      <c r="B829" t="s">
        <v>42</v>
      </c>
      <c r="C829" t="s">
        <v>23</v>
      </c>
      <c r="D829" t="s">
        <v>13</v>
      </c>
      <c r="E829" t="s">
        <v>35</v>
      </c>
      <c r="F829" t="s">
        <v>26</v>
      </c>
      <c r="G829">
        <v>1</v>
      </c>
      <c r="H829">
        <v>23038</v>
      </c>
      <c r="I829">
        <v>23038</v>
      </c>
      <c r="J829" t="s">
        <v>20</v>
      </c>
    </row>
    <row r="830" spans="1:10" x14ac:dyDescent="0.25">
      <c r="A830" t="s">
        <v>198</v>
      </c>
      <c r="B830" t="s">
        <v>42</v>
      </c>
      <c r="C830" t="s">
        <v>34</v>
      </c>
      <c r="D830" t="s">
        <v>44</v>
      </c>
      <c r="E830" t="s">
        <v>30</v>
      </c>
      <c r="F830" t="s">
        <v>40</v>
      </c>
      <c r="G830">
        <v>17</v>
      </c>
      <c r="H830">
        <v>50855</v>
      </c>
      <c r="I830">
        <v>864535</v>
      </c>
      <c r="J830" t="s">
        <v>16</v>
      </c>
    </row>
    <row r="831" spans="1:10" x14ac:dyDescent="0.25">
      <c r="A831" t="s">
        <v>110</v>
      </c>
      <c r="B831" t="s">
        <v>33</v>
      </c>
      <c r="C831" t="s">
        <v>29</v>
      </c>
      <c r="D831" t="s">
        <v>48</v>
      </c>
      <c r="E831" t="s">
        <v>19</v>
      </c>
      <c r="F831" t="s">
        <v>15</v>
      </c>
      <c r="G831">
        <v>17</v>
      </c>
      <c r="H831">
        <v>36333</v>
      </c>
      <c r="I831">
        <v>617661</v>
      </c>
      <c r="J831" t="s">
        <v>20</v>
      </c>
    </row>
    <row r="832" spans="1:10" x14ac:dyDescent="0.25">
      <c r="A832" t="s">
        <v>358</v>
      </c>
      <c r="B832" t="s">
        <v>33</v>
      </c>
      <c r="C832" t="s">
        <v>23</v>
      </c>
      <c r="D832" t="s">
        <v>13</v>
      </c>
      <c r="E832" t="s">
        <v>14</v>
      </c>
      <c r="F832" t="s">
        <v>40</v>
      </c>
      <c r="G832">
        <v>17</v>
      </c>
      <c r="H832">
        <v>22335</v>
      </c>
      <c r="I832">
        <v>379695</v>
      </c>
      <c r="J832" t="s">
        <v>16</v>
      </c>
    </row>
    <row r="833" spans="1:10" x14ac:dyDescent="0.25">
      <c r="A833" t="s">
        <v>17</v>
      </c>
      <c r="B833" t="s">
        <v>33</v>
      </c>
      <c r="C833" t="s">
        <v>23</v>
      </c>
      <c r="D833" t="s">
        <v>44</v>
      </c>
      <c r="E833" t="s">
        <v>19</v>
      </c>
      <c r="F833" t="s">
        <v>40</v>
      </c>
      <c r="G833">
        <v>5</v>
      </c>
      <c r="H833">
        <v>34703</v>
      </c>
      <c r="I833">
        <v>173515</v>
      </c>
      <c r="J833" t="s">
        <v>20</v>
      </c>
    </row>
    <row r="834" spans="1:10" x14ac:dyDescent="0.25">
      <c r="A834" t="s">
        <v>359</v>
      </c>
      <c r="B834" t="s">
        <v>33</v>
      </c>
      <c r="C834" t="s">
        <v>23</v>
      </c>
      <c r="D834" t="s">
        <v>44</v>
      </c>
      <c r="E834" t="s">
        <v>25</v>
      </c>
      <c r="F834" t="s">
        <v>15</v>
      </c>
      <c r="G834">
        <v>4</v>
      </c>
      <c r="H834">
        <v>17660</v>
      </c>
      <c r="I834">
        <v>70640</v>
      </c>
      <c r="J834" t="s">
        <v>36</v>
      </c>
    </row>
    <row r="835" spans="1:10" x14ac:dyDescent="0.25">
      <c r="A835" t="s">
        <v>309</v>
      </c>
      <c r="B835" t="s">
        <v>11</v>
      </c>
      <c r="C835" t="s">
        <v>29</v>
      </c>
      <c r="D835" t="s">
        <v>44</v>
      </c>
      <c r="E835" t="s">
        <v>19</v>
      </c>
      <c r="F835" t="s">
        <v>15</v>
      </c>
      <c r="G835">
        <v>17</v>
      </c>
      <c r="H835">
        <v>54607</v>
      </c>
      <c r="I835">
        <v>928319</v>
      </c>
      <c r="J835" t="s">
        <v>20</v>
      </c>
    </row>
    <row r="836" spans="1:10" x14ac:dyDescent="0.25">
      <c r="A836" t="s">
        <v>300</v>
      </c>
      <c r="B836" t="s">
        <v>18</v>
      </c>
      <c r="C836" t="s">
        <v>12</v>
      </c>
      <c r="D836" t="s">
        <v>44</v>
      </c>
      <c r="E836" t="s">
        <v>35</v>
      </c>
      <c r="F836" t="s">
        <v>15</v>
      </c>
      <c r="G836">
        <v>11</v>
      </c>
      <c r="H836">
        <v>40196</v>
      </c>
      <c r="I836">
        <v>442156</v>
      </c>
      <c r="J836" t="s">
        <v>27</v>
      </c>
    </row>
    <row r="837" spans="1:10" x14ac:dyDescent="0.25">
      <c r="A837" t="s">
        <v>147</v>
      </c>
      <c r="B837" t="s">
        <v>33</v>
      </c>
      <c r="C837" t="s">
        <v>38</v>
      </c>
      <c r="D837" t="s">
        <v>39</v>
      </c>
      <c r="E837" t="s">
        <v>30</v>
      </c>
      <c r="F837" t="s">
        <v>40</v>
      </c>
      <c r="G837">
        <v>5</v>
      </c>
      <c r="H837">
        <v>46244</v>
      </c>
      <c r="I837">
        <v>231220</v>
      </c>
      <c r="J837" t="s">
        <v>27</v>
      </c>
    </row>
    <row r="838" spans="1:10" x14ac:dyDescent="0.25">
      <c r="A838" t="s">
        <v>124</v>
      </c>
      <c r="B838" t="s">
        <v>42</v>
      </c>
      <c r="C838" t="s">
        <v>34</v>
      </c>
      <c r="D838" t="s">
        <v>48</v>
      </c>
      <c r="E838" t="s">
        <v>19</v>
      </c>
      <c r="F838" t="s">
        <v>40</v>
      </c>
      <c r="G838">
        <v>10</v>
      </c>
      <c r="H838">
        <v>58318</v>
      </c>
      <c r="I838">
        <v>583180</v>
      </c>
      <c r="J838" t="s">
        <v>20</v>
      </c>
    </row>
    <row r="839" spans="1:10" x14ac:dyDescent="0.25">
      <c r="A839" t="s">
        <v>360</v>
      </c>
      <c r="B839" t="s">
        <v>18</v>
      </c>
      <c r="C839" t="s">
        <v>38</v>
      </c>
      <c r="D839" t="s">
        <v>39</v>
      </c>
      <c r="E839" t="s">
        <v>19</v>
      </c>
      <c r="F839" t="s">
        <v>26</v>
      </c>
      <c r="G839">
        <v>9</v>
      </c>
      <c r="H839">
        <v>16283</v>
      </c>
      <c r="I839">
        <v>146547</v>
      </c>
      <c r="J839" t="s">
        <v>36</v>
      </c>
    </row>
    <row r="840" spans="1:10" x14ac:dyDescent="0.25">
      <c r="A840" t="s">
        <v>203</v>
      </c>
      <c r="B840" t="s">
        <v>33</v>
      </c>
      <c r="C840" t="s">
        <v>23</v>
      </c>
      <c r="D840" t="s">
        <v>48</v>
      </c>
      <c r="E840" t="s">
        <v>30</v>
      </c>
      <c r="F840" t="s">
        <v>40</v>
      </c>
      <c r="G840">
        <v>10</v>
      </c>
      <c r="H840">
        <v>23813</v>
      </c>
      <c r="I840">
        <v>238130</v>
      </c>
      <c r="J840" t="s">
        <v>36</v>
      </c>
    </row>
    <row r="841" spans="1:10" x14ac:dyDescent="0.25">
      <c r="A841" t="s">
        <v>122</v>
      </c>
      <c r="B841" t="s">
        <v>22</v>
      </c>
      <c r="C841" t="s">
        <v>29</v>
      </c>
      <c r="D841" t="s">
        <v>24</v>
      </c>
      <c r="E841" t="s">
        <v>19</v>
      </c>
      <c r="F841" t="s">
        <v>15</v>
      </c>
      <c r="G841">
        <v>7</v>
      </c>
      <c r="H841">
        <v>53800</v>
      </c>
      <c r="I841">
        <v>376600</v>
      </c>
      <c r="J841" t="s">
        <v>16</v>
      </c>
    </row>
    <row r="842" spans="1:10" x14ac:dyDescent="0.25">
      <c r="A842" t="s">
        <v>171</v>
      </c>
      <c r="B842" t="s">
        <v>11</v>
      </c>
      <c r="C842" t="s">
        <v>12</v>
      </c>
      <c r="D842" t="s">
        <v>48</v>
      </c>
      <c r="E842" t="s">
        <v>35</v>
      </c>
      <c r="F842" t="s">
        <v>26</v>
      </c>
      <c r="G842">
        <v>6</v>
      </c>
      <c r="H842">
        <v>24569</v>
      </c>
      <c r="I842">
        <v>147414</v>
      </c>
      <c r="J842" t="s">
        <v>27</v>
      </c>
    </row>
    <row r="843" spans="1:10" x14ac:dyDescent="0.25">
      <c r="A843" t="s">
        <v>227</v>
      </c>
      <c r="B843" t="s">
        <v>11</v>
      </c>
      <c r="C843" t="s">
        <v>34</v>
      </c>
      <c r="D843" t="s">
        <v>48</v>
      </c>
      <c r="E843" t="s">
        <v>19</v>
      </c>
      <c r="F843" t="s">
        <v>15</v>
      </c>
      <c r="G843">
        <v>18</v>
      </c>
      <c r="H843">
        <v>46562</v>
      </c>
      <c r="I843">
        <v>838116</v>
      </c>
      <c r="J843" t="s">
        <v>20</v>
      </c>
    </row>
    <row r="844" spans="1:10" x14ac:dyDescent="0.25">
      <c r="A844" t="s">
        <v>10</v>
      </c>
      <c r="B844" t="s">
        <v>33</v>
      </c>
      <c r="C844" t="s">
        <v>12</v>
      </c>
      <c r="D844" t="s">
        <v>24</v>
      </c>
      <c r="E844" t="s">
        <v>19</v>
      </c>
      <c r="F844" t="s">
        <v>40</v>
      </c>
      <c r="G844">
        <v>18</v>
      </c>
      <c r="H844">
        <v>43965</v>
      </c>
      <c r="I844">
        <v>791370</v>
      </c>
      <c r="J844" t="s">
        <v>20</v>
      </c>
    </row>
    <row r="845" spans="1:10" x14ac:dyDescent="0.25">
      <c r="A845" t="s">
        <v>151</v>
      </c>
      <c r="B845" t="s">
        <v>42</v>
      </c>
      <c r="C845" t="s">
        <v>29</v>
      </c>
      <c r="D845" t="s">
        <v>24</v>
      </c>
      <c r="E845" t="s">
        <v>14</v>
      </c>
      <c r="F845" t="s">
        <v>26</v>
      </c>
      <c r="G845">
        <v>20</v>
      </c>
      <c r="H845">
        <v>54565</v>
      </c>
      <c r="I845">
        <v>1091300</v>
      </c>
      <c r="J845" t="s">
        <v>20</v>
      </c>
    </row>
    <row r="846" spans="1:10" x14ac:dyDescent="0.25">
      <c r="A846" t="s">
        <v>260</v>
      </c>
      <c r="B846" t="s">
        <v>11</v>
      </c>
      <c r="C846" t="s">
        <v>12</v>
      </c>
      <c r="D846" t="s">
        <v>48</v>
      </c>
      <c r="E846" t="s">
        <v>30</v>
      </c>
      <c r="F846" t="s">
        <v>40</v>
      </c>
      <c r="G846">
        <v>8</v>
      </c>
      <c r="H846">
        <v>19371</v>
      </c>
      <c r="I846">
        <v>154968</v>
      </c>
      <c r="J846" t="s">
        <v>27</v>
      </c>
    </row>
    <row r="847" spans="1:10" x14ac:dyDescent="0.25">
      <c r="A847" t="s">
        <v>132</v>
      </c>
      <c r="B847" t="s">
        <v>18</v>
      </c>
      <c r="C847" t="s">
        <v>23</v>
      </c>
      <c r="D847" t="s">
        <v>48</v>
      </c>
      <c r="E847" t="s">
        <v>25</v>
      </c>
      <c r="F847" t="s">
        <v>40</v>
      </c>
      <c r="G847">
        <v>15</v>
      </c>
      <c r="H847">
        <v>20270</v>
      </c>
      <c r="I847">
        <v>304050</v>
      </c>
      <c r="J847" t="s">
        <v>27</v>
      </c>
    </row>
    <row r="848" spans="1:10" x14ac:dyDescent="0.25">
      <c r="A848" t="s">
        <v>117</v>
      </c>
      <c r="B848" t="s">
        <v>42</v>
      </c>
      <c r="C848" t="s">
        <v>34</v>
      </c>
      <c r="D848" t="s">
        <v>24</v>
      </c>
      <c r="E848" t="s">
        <v>14</v>
      </c>
      <c r="F848" t="s">
        <v>40</v>
      </c>
      <c r="G848">
        <v>13</v>
      </c>
      <c r="H848">
        <v>32737</v>
      </c>
      <c r="I848">
        <v>425581</v>
      </c>
      <c r="J848" t="s">
        <v>27</v>
      </c>
    </row>
    <row r="849" spans="1:10" x14ac:dyDescent="0.25">
      <c r="A849" t="s">
        <v>361</v>
      </c>
      <c r="B849" t="s">
        <v>22</v>
      </c>
      <c r="C849" t="s">
        <v>12</v>
      </c>
      <c r="D849" t="s">
        <v>13</v>
      </c>
      <c r="E849" t="s">
        <v>19</v>
      </c>
      <c r="F849" t="s">
        <v>40</v>
      </c>
      <c r="G849">
        <v>7</v>
      </c>
      <c r="H849">
        <v>20274</v>
      </c>
      <c r="I849">
        <v>141918</v>
      </c>
      <c r="J849" t="s">
        <v>27</v>
      </c>
    </row>
    <row r="850" spans="1:10" x14ac:dyDescent="0.25">
      <c r="A850" t="s">
        <v>259</v>
      </c>
      <c r="B850" t="s">
        <v>42</v>
      </c>
      <c r="C850" t="s">
        <v>34</v>
      </c>
      <c r="D850" t="s">
        <v>13</v>
      </c>
      <c r="E850" t="s">
        <v>14</v>
      </c>
      <c r="F850" t="s">
        <v>40</v>
      </c>
      <c r="G850">
        <v>3</v>
      </c>
      <c r="H850">
        <v>59480</v>
      </c>
      <c r="I850">
        <v>178440</v>
      </c>
      <c r="J850" t="s">
        <v>36</v>
      </c>
    </row>
    <row r="851" spans="1:10" x14ac:dyDescent="0.25">
      <c r="A851" t="s">
        <v>166</v>
      </c>
      <c r="B851" t="s">
        <v>33</v>
      </c>
      <c r="C851" t="s">
        <v>29</v>
      </c>
      <c r="D851" t="s">
        <v>39</v>
      </c>
      <c r="E851" t="s">
        <v>25</v>
      </c>
      <c r="F851" t="s">
        <v>26</v>
      </c>
      <c r="G851">
        <v>11</v>
      </c>
      <c r="H851">
        <v>36165</v>
      </c>
      <c r="I851">
        <v>397815</v>
      </c>
      <c r="J851" t="s">
        <v>27</v>
      </c>
    </row>
    <row r="852" spans="1:10" x14ac:dyDescent="0.25">
      <c r="A852" t="s">
        <v>158</v>
      </c>
      <c r="B852" t="s">
        <v>33</v>
      </c>
      <c r="C852" t="s">
        <v>29</v>
      </c>
      <c r="D852" t="s">
        <v>48</v>
      </c>
      <c r="E852" t="s">
        <v>25</v>
      </c>
      <c r="F852" t="s">
        <v>26</v>
      </c>
      <c r="G852">
        <v>15</v>
      </c>
      <c r="H852">
        <v>27294</v>
      </c>
      <c r="I852">
        <v>409410</v>
      </c>
      <c r="J852" t="s">
        <v>16</v>
      </c>
    </row>
    <row r="853" spans="1:10" x14ac:dyDescent="0.25">
      <c r="A853" t="s">
        <v>115</v>
      </c>
      <c r="B853" t="s">
        <v>18</v>
      </c>
      <c r="C853" t="s">
        <v>23</v>
      </c>
      <c r="D853" t="s">
        <v>24</v>
      </c>
      <c r="E853" t="s">
        <v>25</v>
      </c>
      <c r="F853" t="s">
        <v>26</v>
      </c>
      <c r="G853">
        <v>4</v>
      </c>
      <c r="H853">
        <v>16336</v>
      </c>
      <c r="I853">
        <v>65344</v>
      </c>
      <c r="J853" t="s">
        <v>27</v>
      </c>
    </row>
    <row r="854" spans="1:10" x14ac:dyDescent="0.25">
      <c r="A854" t="s">
        <v>362</v>
      </c>
      <c r="B854" t="s">
        <v>33</v>
      </c>
      <c r="C854" t="s">
        <v>23</v>
      </c>
      <c r="D854" t="s">
        <v>13</v>
      </c>
      <c r="E854" t="s">
        <v>19</v>
      </c>
      <c r="F854" t="s">
        <v>15</v>
      </c>
      <c r="G854">
        <v>19</v>
      </c>
      <c r="H854">
        <v>37177</v>
      </c>
      <c r="I854">
        <v>706363</v>
      </c>
      <c r="J854" t="s">
        <v>36</v>
      </c>
    </row>
    <row r="855" spans="1:10" x14ac:dyDescent="0.25">
      <c r="A855" t="s">
        <v>119</v>
      </c>
      <c r="B855" t="s">
        <v>33</v>
      </c>
      <c r="C855" t="s">
        <v>29</v>
      </c>
      <c r="D855" t="s">
        <v>44</v>
      </c>
      <c r="E855" t="s">
        <v>19</v>
      </c>
      <c r="F855" t="s">
        <v>40</v>
      </c>
      <c r="G855">
        <v>17</v>
      </c>
      <c r="H855">
        <v>26960</v>
      </c>
      <c r="I855">
        <v>458320</v>
      </c>
      <c r="J855" t="s">
        <v>16</v>
      </c>
    </row>
    <row r="856" spans="1:10" x14ac:dyDescent="0.25">
      <c r="A856" t="s">
        <v>73</v>
      </c>
      <c r="B856" t="s">
        <v>22</v>
      </c>
      <c r="C856" t="s">
        <v>29</v>
      </c>
      <c r="D856" t="s">
        <v>44</v>
      </c>
      <c r="E856" t="s">
        <v>35</v>
      </c>
      <c r="F856" t="s">
        <v>26</v>
      </c>
      <c r="G856">
        <v>20</v>
      </c>
      <c r="H856">
        <v>30071</v>
      </c>
      <c r="I856">
        <v>601420</v>
      </c>
      <c r="J856" t="s">
        <v>27</v>
      </c>
    </row>
    <row r="857" spans="1:10" x14ac:dyDescent="0.25">
      <c r="A857" t="s">
        <v>37</v>
      </c>
      <c r="B857" t="s">
        <v>22</v>
      </c>
      <c r="C857" t="s">
        <v>12</v>
      </c>
      <c r="D857" t="s">
        <v>39</v>
      </c>
      <c r="E857" t="s">
        <v>14</v>
      </c>
      <c r="F857" t="s">
        <v>15</v>
      </c>
      <c r="G857">
        <v>6</v>
      </c>
      <c r="H857">
        <v>52392</v>
      </c>
      <c r="I857">
        <v>314352</v>
      </c>
      <c r="J857" t="s">
        <v>20</v>
      </c>
    </row>
    <row r="858" spans="1:10" x14ac:dyDescent="0.25">
      <c r="A858" t="s">
        <v>206</v>
      </c>
      <c r="B858" t="s">
        <v>22</v>
      </c>
      <c r="C858" t="s">
        <v>29</v>
      </c>
      <c r="D858" t="s">
        <v>39</v>
      </c>
      <c r="E858" t="s">
        <v>25</v>
      </c>
      <c r="F858" t="s">
        <v>26</v>
      </c>
      <c r="G858">
        <v>7</v>
      </c>
      <c r="H858">
        <v>39605</v>
      </c>
      <c r="I858">
        <v>277235</v>
      </c>
      <c r="J858" t="s">
        <v>20</v>
      </c>
    </row>
    <row r="859" spans="1:10" x14ac:dyDescent="0.25">
      <c r="A859" t="s">
        <v>315</v>
      </c>
      <c r="B859" t="s">
        <v>22</v>
      </c>
      <c r="C859" t="s">
        <v>12</v>
      </c>
      <c r="D859" t="s">
        <v>13</v>
      </c>
      <c r="E859" t="s">
        <v>19</v>
      </c>
      <c r="F859" t="s">
        <v>15</v>
      </c>
      <c r="G859">
        <v>14</v>
      </c>
      <c r="H859">
        <v>17969</v>
      </c>
      <c r="I859">
        <v>251566</v>
      </c>
      <c r="J859" t="s">
        <v>20</v>
      </c>
    </row>
    <row r="860" spans="1:10" x14ac:dyDescent="0.25">
      <c r="A860" t="s">
        <v>363</v>
      </c>
      <c r="B860" t="s">
        <v>11</v>
      </c>
      <c r="C860" t="s">
        <v>23</v>
      </c>
      <c r="D860" t="s">
        <v>48</v>
      </c>
      <c r="E860" t="s">
        <v>19</v>
      </c>
      <c r="F860" t="s">
        <v>26</v>
      </c>
      <c r="G860">
        <v>11</v>
      </c>
      <c r="H860">
        <v>49411</v>
      </c>
      <c r="I860">
        <v>543521</v>
      </c>
      <c r="J860" t="s">
        <v>16</v>
      </c>
    </row>
    <row r="861" spans="1:10" x14ac:dyDescent="0.25">
      <c r="A861" t="s">
        <v>364</v>
      </c>
      <c r="B861" t="s">
        <v>42</v>
      </c>
      <c r="C861" t="s">
        <v>23</v>
      </c>
      <c r="D861" t="s">
        <v>44</v>
      </c>
      <c r="E861" t="s">
        <v>30</v>
      </c>
      <c r="F861" t="s">
        <v>26</v>
      </c>
      <c r="G861">
        <v>13</v>
      </c>
      <c r="H861">
        <v>41983</v>
      </c>
      <c r="I861">
        <v>545779</v>
      </c>
      <c r="J861" t="s">
        <v>20</v>
      </c>
    </row>
    <row r="862" spans="1:10" x14ac:dyDescent="0.25">
      <c r="A862" t="s">
        <v>270</v>
      </c>
      <c r="B862" t="s">
        <v>33</v>
      </c>
      <c r="C862" t="s">
        <v>38</v>
      </c>
      <c r="D862" t="s">
        <v>24</v>
      </c>
      <c r="E862" t="s">
        <v>35</v>
      </c>
      <c r="F862" t="s">
        <v>26</v>
      </c>
      <c r="G862">
        <v>12</v>
      </c>
      <c r="H862">
        <v>18309</v>
      </c>
      <c r="I862">
        <v>219708</v>
      </c>
      <c r="J862" t="s">
        <v>36</v>
      </c>
    </row>
    <row r="863" spans="1:10" x14ac:dyDescent="0.25">
      <c r="A863" t="s">
        <v>301</v>
      </c>
      <c r="B863" t="s">
        <v>33</v>
      </c>
      <c r="C863" t="s">
        <v>12</v>
      </c>
      <c r="D863" t="s">
        <v>39</v>
      </c>
      <c r="E863" t="s">
        <v>14</v>
      </c>
      <c r="F863" t="s">
        <v>26</v>
      </c>
      <c r="G863">
        <v>15</v>
      </c>
      <c r="H863">
        <v>48274</v>
      </c>
      <c r="I863">
        <v>724110</v>
      </c>
      <c r="J863" t="s">
        <v>36</v>
      </c>
    </row>
    <row r="864" spans="1:10" x14ac:dyDescent="0.25">
      <c r="A864" t="s">
        <v>247</v>
      </c>
      <c r="B864" t="s">
        <v>42</v>
      </c>
      <c r="C864" t="s">
        <v>38</v>
      </c>
      <c r="D864" t="s">
        <v>39</v>
      </c>
      <c r="E864" t="s">
        <v>30</v>
      </c>
      <c r="F864" t="s">
        <v>26</v>
      </c>
      <c r="G864">
        <v>8</v>
      </c>
      <c r="H864">
        <v>42125</v>
      </c>
      <c r="I864">
        <v>337000</v>
      </c>
      <c r="J864" t="s">
        <v>27</v>
      </c>
    </row>
    <row r="865" spans="1:10" x14ac:dyDescent="0.25">
      <c r="A865" t="s">
        <v>191</v>
      </c>
      <c r="B865" t="s">
        <v>42</v>
      </c>
      <c r="C865" t="s">
        <v>38</v>
      </c>
      <c r="D865" t="s">
        <v>39</v>
      </c>
      <c r="E865" t="s">
        <v>35</v>
      </c>
      <c r="F865" t="s">
        <v>40</v>
      </c>
      <c r="G865">
        <v>2</v>
      </c>
      <c r="H865">
        <v>42404</v>
      </c>
      <c r="I865">
        <v>84808</v>
      </c>
      <c r="J865" t="s">
        <v>16</v>
      </c>
    </row>
    <row r="866" spans="1:10" x14ac:dyDescent="0.25">
      <c r="A866" t="s">
        <v>89</v>
      </c>
      <c r="B866" t="s">
        <v>33</v>
      </c>
      <c r="C866" t="s">
        <v>23</v>
      </c>
      <c r="D866" t="s">
        <v>39</v>
      </c>
      <c r="E866" t="s">
        <v>19</v>
      </c>
      <c r="F866" t="s">
        <v>40</v>
      </c>
      <c r="G866">
        <v>20</v>
      </c>
      <c r="H866">
        <v>28971</v>
      </c>
      <c r="I866">
        <v>579420</v>
      </c>
      <c r="J866" t="s">
        <v>27</v>
      </c>
    </row>
    <row r="867" spans="1:10" x14ac:dyDescent="0.25">
      <c r="A867" t="s">
        <v>168</v>
      </c>
      <c r="B867" t="s">
        <v>18</v>
      </c>
      <c r="C867" t="s">
        <v>34</v>
      </c>
      <c r="D867" t="s">
        <v>13</v>
      </c>
      <c r="E867" t="s">
        <v>19</v>
      </c>
      <c r="F867" t="s">
        <v>40</v>
      </c>
      <c r="G867">
        <v>5</v>
      </c>
      <c r="H867">
        <v>24654</v>
      </c>
      <c r="I867">
        <v>123270</v>
      </c>
      <c r="J867" t="s">
        <v>36</v>
      </c>
    </row>
    <row r="868" spans="1:10" x14ac:dyDescent="0.25">
      <c r="A868" t="s">
        <v>89</v>
      </c>
      <c r="B868" t="s">
        <v>18</v>
      </c>
      <c r="C868" t="s">
        <v>29</v>
      </c>
      <c r="D868" t="s">
        <v>39</v>
      </c>
      <c r="E868" t="s">
        <v>35</v>
      </c>
      <c r="F868" t="s">
        <v>15</v>
      </c>
      <c r="G868">
        <v>2</v>
      </c>
      <c r="H868">
        <v>50289</v>
      </c>
      <c r="I868">
        <v>100578</v>
      </c>
      <c r="J868" t="s">
        <v>16</v>
      </c>
    </row>
    <row r="869" spans="1:10" x14ac:dyDescent="0.25">
      <c r="A869" t="s">
        <v>361</v>
      </c>
      <c r="B869" t="s">
        <v>22</v>
      </c>
      <c r="C869" t="s">
        <v>38</v>
      </c>
      <c r="D869" t="s">
        <v>13</v>
      </c>
      <c r="E869" t="s">
        <v>14</v>
      </c>
      <c r="F869" t="s">
        <v>40</v>
      </c>
      <c r="G869">
        <v>4</v>
      </c>
      <c r="H869">
        <v>21995</v>
      </c>
      <c r="I869">
        <v>87980</v>
      </c>
      <c r="J869" t="s">
        <v>20</v>
      </c>
    </row>
    <row r="870" spans="1:10" x14ac:dyDescent="0.25">
      <c r="A870" t="s">
        <v>275</v>
      </c>
      <c r="B870" t="s">
        <v>11</v>
      </c>
      <c r="C870" t="s">
        <v>23</v>
      </c>
      <c r="D870" t="s">
        <v>44</v>
      </c>
      <c r="E870" t="s">
        <v>35</v>
      </c>
      <c r="F870" t="s">
        <v>15</v>
      </c>
      <c r="G870">
        <v>5</v>
      </c>
      <c r="H870">
        <v>25949</v>
      </c>
      <c r="I870">
        <v>129745</v>
      </c>
      <c r="J870" t="s">
        <v>27</v>
      </c>
    </row>
    <row r="871" spans="1:10" x14ac:dyDescent="0.25">
      <c r="A871" t="s">
        <v>231</v>
      </c>
      <c r="B871" t="s">
        <v>42</v>
      </c>
      <c r="C871" t="s">
        <v>29</v>
      </c>
      <c r="D871" t="s">
        <v>44</v>
      </c>
      <c r="E871" t="s">
        <v>19</v>
      </c>
      <c r="F871" t="s">
        <v>40</v>
      </c>
      <c r="G871">
        <v>9</v>
      </c>
      <c r="H871">
        <v>35827</v>
      </c>
      <c r="I871">
        <v>322443</v>
      </c>
      <c r="J871" t="s">
        <v>36</v>
      </c>
    </row>
    <row r="872" spans="1:10" x14ac:dyDescent="0.25">
      <c r="A872" t="s">
        <v>315</v>
      </c>
      <c r="B872" t="s">
        <v>33</v>
      </c>
      <c r="C872" t="s">
        <v>12</v>
      </c>
      <c r="D872" t="s">
        <v>24</v>
      </c>
      <c r="E872" t="s">
        <v>25</v>
      </c>
      <c r="F872" t="s">
        <v>40</v>
      </c>
      <c r="G872">
        <v>6</v>
      </c>
      <c r="H872">
        <v>30882</v>
      </c>
      <c r="I872">
        <v>185292</v>
      </c>
      <c r="J872" t="s">
        <v>20</v>
      </c>
    </row>
    <row r="873" spans="1:10" x14ac:dyDescent="0.25">
      <c r="A873" t="s">
        <v>28</v>
      </c>
      <c r="B873" t="s">
        <v>18</v>
      </c>
      <c r="C873" t="s">
        <v>38</v>
      </c>
      <c r="D873" t="s">
        <v>24</v>
      </c>
      <c r="E873" t="s">
        <v>30</v>
      </c>
      <c r="F873" t="s">
        <v>15</v>
      </c>
      <c r="G873">
        <v>2</v>
      </c>
      <c r="H873">
        <v>39674</v>
      </c>
      <c r="I873">
        <v>79348</v>
      </c>
      <c r="J873" t="s">
        <v>36</v>
      </c>
    </row>
    <row r="874" spans="1:10" x14ac:dyDescent="0.25">
      <c r="A874" t="s">
        <v>346</v>
      </c>
      <c r="B874" t="s">
        <v>22</v>
      </c>
      <c r="C874" t="s">
        <v>12</v>
      </c>
      <c r="D874" t="s">
        <v>39</v>
      </c>
      <c r="E874" t="s">
        <v>35</v>
      </c>
      <c r="F874" t="s">
        <v>26</v>
      </c>
      <c r="G874">
        <v>4</v>
      </c>
      <c r="H874">
        <v>44252</v>
      </c>
      <c r="I874">
        <v>177008</v>
      </c>
      <c r="J874" t="s">
        <v>20</v>
      </c>
    </row>
    <row r="875" spans="1:10" x14ac:dyDescent="0.25">
      <c r="A875" t="s">
        <v>222</v>
      </c>
      <c r="B875" t="s">
        <v>42</v>
      </c>
      <c r="C875" t="s">
        <v>34</v>
      </c>
      <c r="D875" t="s">
        <v>44</v>
      </c>
      <c r="E875" t="s">
        <v>14</v>
      </c>
      <c r="F875" t="s">
        <v>26</v>
      </c>
      <c r="G875">
        <v>14</v>
      </c>
      <c r="H875">
        <v>46213</v>
      </c>
      <c r="I875">
        <v>646982</v>
      </c>
      <c r="J875" t="s">
        <v>27</v>
      </c>
    </row>
    <row r="876" spans="1:10" x14ac:dyDescent="0.25">
      <c r="A876" t="s">
        <v>329</v>
      </c>
      <c r="B876" t="s">
        <v>42</v>
      </c>
      <c r="C876" t="s">
        <v>29</v>
      </c>
      <c r="D876" t="s">
        <v>24</v>
      </c>
      <c r="E876" t="s">
        <v>25</v>
      </c>
      <c r="F876" t="s">
        <v>26</v>
      </c>
      <c r="G876">
        <v>11</v>
      </c>
      <c r="H876">
        <v>28950</v>
      </c>
      <c r="I876">
        <v>318450</v>
      </c>
      <c r="J876" t="s">
        <v>27</v>
      </c>
    </row>
    <row r="877" spans="1:10" x14ac:dyDescent="0.25">
      <c r="A877" t="s">
        <v>159</v>
      </c>
      <c r="B877" t="s">
        <v>18</v>
      </c>
      <c r="C877" t="s">
        <v>29</v>
      </c>
      <c r="D877" t="s">
        <v>44</v>
      </c>
      <c r="E877" t="s">
        <v>19</v>
      </c>
      <c r="F877" t="s">
        <v>15</v>
      </c>
      <c r="G877">
        <v>15</v>
      </c>
      <c r="H877">
        <v>51198</v>
      </c>
      <c r="I877">
        <v>767970</v>
      </c>
      <c r="J877" t="s">
        <v>16</v>
      </c>
    </row>
    <row r="878" spans="1:10" x14ac:dyDescent="0.25">
      <c r="A878" t="s">
        <v>277</v>
      </c>
      <c r="B878" t="s">
        <v>18</v>
      </c>
      <c r="C878" t="s">
        <v>38</v>
      </c>
      <c r="D878" t="s">
        <v>39</v>
      </c>
      <c r="E878" t="s">
        <v>19</v>
      </c>
      <c r="F878" t="s">
        <v>40</v>
      </c>
      <c r="G878">
        <v>13</v>
      </c>
      <c r="H878">
        <v>35685</v>
      </c>
      <c r="I878">
        <v>463905</v>
      </c>
      <c r="J878" t="s">
        <v>27</v>
      </c>
    </row>
    <row r="879" spans="1:10" x14ac:dyDescent="0.25">
      <c r="A879" t="s">
        <v>351</v>
      </c>
      <c r="B879" t="s">
        <v>11</v>
      </c>
      <c r="C879" t="s">
        <v>23</v>
      </c>
      <c r="D879" t="s">
        <v>44</v>
      </c>
      <c r="E879" t="s">
        <v>30</v>
      </c>
      <c r="F879" t="s">
        <v>40</v>
      </c>
      <c r="G879">
        <v>2</v>
      </c>
      <c r="H879">
        <v>50002</v>
      </c>
      <c r="I879">
        <v>100004</v>
      </c>
      <c r="J879" t="s">
        <v>36</v>
      </c>
    </row>
    <row r="880" spans="1:10" x14ac:dyDescent="0.25">
      <c r="A880" t="s">
        <v>253</v>
      </c>
      <c r="B880" t="s">
        <v>22</v>
      </c>
      <c r="C880" t="s">
        <v>34</v>
      </c>
      <c r="D880" t="s">
        <v>44</v>
      </c>
      <c r="E880" t="s">
        <v>35</v>
      </c>
      <c r="F880" t="s">
        <v>26</v>
      </c>
      <c r="G880">
        <v>3</v>
      </c>
      <c r="H880">
        <v>52961</v>
      </c>
      <c r="I880">
        <v>158883</v>
      </c>
      <c r="J880" t="s">
        <v>36</v>
      </c>
    </row>
    <row r="881" spans="1:10" x14ac:dyDescent="0.25">
      <c r="A881" t="s">
        <v>235</v>
      </c>
      <c r="B881" t="s">
        <v>22</v>
      </c>
      <c r="C881" t="s">
        <v>34</v>
      </c>
      <c r="D881" t="s">
        <v>48</v>
      </c>
      <c r="E881" t="s">
        <v>30</v>
      </c>
      <c r="F881" t="s">
        <v>15</v>
      </c>
      <c r="G881">
        <v>6</v>
      </c>
      <c r="H881">
        <v>55535</v>
      </c>
      <c r="I881">
        <v>333210</v>
      </c>
      <c r="J881" t="s">
        <v>16</v>
      </c>
    </row>
    <row r="882" spans="1:10" x14ac:dyDescent="0.25">
      <c r="A882" t="s">
        <v>129</v>
      </c>
      <c r="B882" t="s">
        <v>42</v>
      </c>
      <c r="C882" t="s">
        <v>23</v>
      </c>
      <c r="D882" t="s">
        <v>24</v>
      </c>
      <c r="E882" t="s">
        <v>30</v>
      </c>
      <c r="F882" t="s">
        <v>40</v>
      </c>
      <c r="G882">
        <v>15</v>
      </c>
      <c r="H882">
        <v>52249</v>
      </c>
      <c r="I882">
        <v>783735</v>
      </c>
      <c r="J882" t="s">
        <v>16</v>
      </c>
    </row>
    <row r="883" spans="1:10" x14ac:dyDescent="0.25">
      <c r="A883" t="s">
        <v>333</v>
      </c>
      <c r="B883" t="s">
        <v>18</v>
      </c>
      <c r="C883" t="s">
        <v>12</v>
      </c>
      <c r="D883" t="s">
        <v>44</v>
      </c>
      <c r="E883" t="s">
        <v>25</v>
      </c>
      <c r="F883" t="s">
        <v>40</v>
      </c>
      <c r="G883">
        <v>5</v>
      </c>
      <c r="H883">
        <v>46603</v>
      </c>
      <c r="I883">
        <v>233015</v>
      </c>
      <c r="J883" t="s">
        <v>36</v>
      </c>
    </row>
    <row r="884" spans="1:10" x14ac:dyDescent="0.25">
      <c r="A884" t="s">
        <v>299</v>
      </c>
      <c r="B884" t="s">
        <v>33</v>
      </c>
      <c r="C884" t="s">
        <v>38</v>
      </c>
      <c r="D884" t="s">
        <v>13</v>
      </c>
      <c r="E884" t="s">
        <v>19</v>
      </c>
      <c r="F884" t="s">
        <v>40</v>
      </c>
      <c r="G884">
        <v>12</v>
      </c>
      <c r="H884">
        <v>20205</v>
      </c>
      <c r="I884">
        <v>242460</v>
      </c>
      <c r="J884" t="s">
        <v>27</v>
      </c>
    </row>
    <row r="885" spans="1:10" x14ac:dyDescent="0.25">
      <c r="A885" t="s">
        <v>62</v>
      </c>
      <c r="B885" t="s">
        <v>22</v>
      </c>
      <c r="C885" t="s">
        <v>38</v>
      </c>
      <c r="D885" t="s">
        <v>48</v>
      </c>
      <c r="E885" t="s">
        <v>35</v>
      </c>
      <c r="F885" t="s">
        <v>40</v>
      </c>
      <c r="G885">
        <v>16</v>
      </c>
      <c r="H885">
        <v>58006</v>
      </c>
      <c r="I885">
        <v>928096</v>
      </c>
      <c r="J885" t="s">
        <v>20</v>
      </c>
    </row>
    <row r="886" spans="1:10" x14ac:dyDescent="0.25">
      <c r="A886" t="s">
        <v>310</v>
      </c>
      <c r="B886" t="s">
        <v>22</v>
      </c>
      <c r="C886" t="s">
        <v>38</v>
      </c>
      <c r="D886" t="s">
        <v>48</v>
      </c>
      <c r="E886" t="s">
        <v>30</v>
      </c>
      <c r="F886" t="s">
        <v>15</v>
      </c>
      <c r="G886">
        <v>4</v>
      </c>
      <c r="H886">
        <v>58844</v>
      </c>
      <c r="I886">
        <v>235376</v>
      </c>
      <c r="J886" t="s">
        <v>36</v>
      </c>
    </row>
    <row r="887" spans="1:10" x14ac:dyDescent="0.25">
      <c r="A887" t="s">
        <v>126</v>
      </c>
      <c r="B887" t="s">
        <v>22</v>
      </c>
      <c r="C887" t="s">
        <v>23</v>
      </c>
      <c r="D887" t="s">
        <v>44</v>
      </c>
      <c r="E887" t="s">
        <v>14</v>
      </c>
      <c r="F887" t="s">
        <v>40</v>
      </c>
      <c r="G887">
        <v>16</v>
      </c>
      <c r="H887">
        <v>21712</v>
      </c>
      <c r="I887">
        <v>347392</v>
      </c>
      <c r="J887" t="s">
        <v>20</v>
      </c>
    </row>
    <row r="888" spans="1:10" x14ac:dyDescent="0.25">
      <c r="A888" t="s">
        <v>89</v>
      </c>
      <c r="B888" t="s">
        <v>33</v>
      </c>
      <c r="C888" t="s">
        <v>29</v>
      </c>
      <c r="D888" t="s">
        <v>44</v>
      </c>
      <c r="E888" t="s">
        <v>25</v>
      </c>
      <c r="F888" t="s">
        <v>26</v>
      </c>
      <c r="G888">
        <v>11</v>
      </c>
      <c r="H888">
        <v>24469</v>
      </c>
      <c r="I888">
        <v>269159</v>
      </c>
      <c r="J888" t="s">
        <v>36</v>
      </c>
    </row>
    <row r="889" spans="1:10" x14ac:dyDescent="0.25">
      <c r="A889" t="s">
        <v>277</v>
      </c>
      <c r="B889" t="s">
        <v>18</v>
      </c>
      <c r="C889" t="s">
        <v>34</v>
      </c>
      <c r="D889" t="s">
        <v>13</v>
      </c>
      <c r="E889" t="s">
        <v>35</v>
      </c>
      <c r="F889" t="s">
        <v>40</v>
      </c>
      <c r="G889">
        <v>6</v>
      </c>
      <c r="H889">
        <v>51627</v>
      </c>
      <c r="I889">
        <v>309762</v>
      </c>
      <c r="J889" t="s">
        <v>36</v>
      </c>
    </row>
    <row r="890" spans="1:10" x14ac:dyDescent="0.25">
      <c r="A890" t="s">
        <v>76</v>
      </c>
      <c r="B890" t="s">
        <v>18</v>
      </c>
      <c r="C890" t="s">
        <v>38</v>
      </c>
      <c r="D890" t="s">
        <v>39</v>
      </c>
      <c r="E890" t="s">
        <v>25</v>
      </c>
      <c r="F890" t="s">
        <v>40</v>
      </c>
      <c r="G890">
        <v>19</v>
      </c>
      <c r="H890">
        <v>36457</v>
      </c>
      <c r="I890">
        <v>692683</v>
      </c>
      <c r="J890" t="s">
        <v>16</v>
      </c>
    </row>
    <row r="891" spans="1:10" x14ac:dyDescent="0.25">
      <c r="A891" t="s">
        <v>81</v>
      </c>
      <c r="B891" t="s">
        <v>11</v>
      </c>
      <c r="C891" t="s">
        <v>29</v>
      </c>
      <c r="D891" t="s">
        <v>24</v>
      </c>
      <c r="E891" t="s">
        <v>30</v>
      </c>
      <c r="F891" t="s">
        <v>40</v>
      </c>
      <c r="G891">
        <v>18</v>
      </c>
      <c r="H891">
        <v>55152</v>
      </c>
      <c r="I891">
        <v>992736</v>
      </c>
      <c r="J891" t="s">
        <v>36</v>
      </c>
    </row>
    <row r="892" spans="1:10" x14ac:dyDescent="0.25">
      <c r="A892" t="s">
        <v>251</v>
      </c>
      <c r="B892" t="s">
        <v>22</v>
      </c>
      <c r="C892" t="s">
        <v>29</v>
      </c>
      <c r="D892" t="s">
        <v>48</v>
      </c>
      <c r="E892" t="s">
        <v>14</v>
      </c>
      <c r="F892" t="s">
        <v>26</v>
      </c>
      <c r="G892">
        <v>10</v>
      </c>
      <c r="H892">
        <v>18823</v>
      </c>
      <c r="I892">
        <v>188230</v>
      </c>
      <c r="J892" t="s">
        <v>20</v>
      </c>
    </row>
    <row r="893" spans="1:10" x14ac:dyDescent="0.25">
      <c r="A893" t="s">
        <v>54</v>
      </c>
      <c r="B893" t="s">
        <v>33</v>
      </c>
      <c r="C893" t="s">
        <v>34</v>
      </c>
      <c r="D893" t="s">
        <v>39</v>
      </c>
      <c r="E893" t="s">
        <v>25</v>
      </c>
      <c r="F893" t="s">
        <v>15</v>
      </c>
      <c r="G893">
        <v>8</v>
      </c>
      <c r="H893">
        <v>29258</v>
      </c>
      <c r="I893">
        <v>234064</v>
      </c>
      <c r="J893" t="s">
        <v>20</v>
      </c>
    </row>
    <row r="894" spans="1:10" x14ac:dyDescent="0.25">
      <c r="A894" t="s">
        <v>266</v>
      </c>
      <c r="B894" t="s">
        <v>18</v>
      </c>
      <c r="C894" t="s">
        <v>34</v>
      </c>
      <c r="D894" t="s">
        <v>13</v>
      </c>
      <c r="E894" t="s">
        <v>25</v>
      </c>
      <c r="F894" t="s">
        <v>26</v>
      </c>
      <c r="G894">
        <v>1</v>
      </c>
      <c r="H894">
        <v>43798</v>
      </c>
      <c r="I894">
        <v>43798</v>
      </c>
      <c r="J894" t="s">
        <v>16</v>
      </c>
    </row>
    <row r="895" spans="1:10" x14ac:dyDescent="0.25">
      <c r="A895" t="s">
        <v>317</v>
      </c>
      <c r="B895" t="s">
        <v>22</v>
      </c>
      <c r="C895" t="s">
        <v>38</v>
      </c>
      <c r="D895" t="s">
        <v>39</v>
      </c>
      <c r="E895" t="s">
        <v>35</v>
      </c>
      <c r="F895" t="s">
        <v>40</v>
      </c>
      <c r="G895">
        <v>6</v>
      </c>
      <c r="H895">
        <v>29270</v>
      </c>
      <c r="I895">
        <v>175620</v>
      </c>
      <c r="J895" t="s">
        <v>20</v>
      </c>
    </row>
    <row r="896" spans="1:10" x14ac:dyDescent="0.25">
      <c r="A896" t="s">
        <v>128</v>
      </c>
      <c r="B896" t="s">
        <v>22</v>
      </c>
      <c r="C896" t="s">
        <v>34</v>
      </c>
      <c r="D896" t="s">
        <v>39</v>
      </c>
      <c r="E896" t="s">
        <v>14</v>
      </c>
      <c r="F896" t="s">
        <v>26</v>
      </c>
      <c r="G896">
        <v>16</v>
      </c>
      <c r="H896">
        <v>49720</v>
      </c>
      <c r="I896">
        <v>795520</v>
      </c>
      <c r="J896" t="s">
        <v>16</v>
      </c>
    </row>
    <row r="897" spans="1:10" x14ac:dyDescent="0.25">
      <c r="A897" t="s">
        <v>125</v>
      </c>
      <c r="B897" t="s">
        <v>11</v>
      </c>
      <c r="C897" t="s">
        <v>34</v>
      </c>
      <c r="D897" t="s">
        <v>13</v>
      </c>
      <c r="E897" t="s">
        <v>19</v>
      </c>
      <c r="F897" t="s">
        <v>15</v>
      </c>
      <c r="G897">
        <v>3</v>
      </c>
      <c r="H897">
        <v>28920</v>
      </c>
      <c r="I897">
        <v>86760</v>
      </c>
      <c r="J897" t="s">
        <v>16</v>
      </c>
    </row>
    <row r="898" spans="1:10" x14ac:dyDescent="0.25">
      <c r="A898" t="s">
        <v>301</v>
      </c>
      <c r="B898" t="s">
        <v>33</v>
      </c>
      <c r="C898" t="s">
        <v>29</v>
      </c>
      <c r="D898" t="s">
        <v>44</v>
      </c>
      <c r="E898" t="s">
        <v>14</v>
      </c>
      <c r="F898" t="s">
        <v>40</v>
      </c>
      <c r="G898">
        <v>2</v>
      </c>
      <c r="H898">
        <v>35746</v>
      </c>
      <c r="I898">
        <v>71492</v>
      </c>
      <c r="J898" t="s">
        <v>27</v>
      </c>
    </row>
    <row r="899" spans="1:10" x14ac:dyDescent="0.25">
      <c r="A899" t="s">
        <v>94</v>
      </c>
      <c r="B899" t="s">
        <v>18</v>
      </c>
      <c r="C899" t="s">
        <v>29</v>
      </c>
      <c r="D899" t="s">
        <v>44</v>
      </c>
      <c r="E899" t="s">
        <v>25</v>
      </c>
      <c r="F899" t="s">
        <v>26</v>
      </c>
      <c r="G899">
        <v>20</v>
      </c>
      <c r="H899">
        <v>46484</v>
      </c>
      <c r="I899">
        <v>929680</v>
      </c>
      <c r="J899" t="s">
        <v>20</v>
      </c>
    </row>
    <row r="900" spans="1:10" x14ac:dyDescent="0.25">
      <c r="A900" t="s">
        <v>350</v>
      </c>
      <c r="B900" t="s">
        <v>22</v>
      </c>
      <c r="C900" t="s">
        <v>38</v>
      </c>
      <c r="D900" t="s">
        <v>48</v>
      </c>
      <c r="E900" t="s">
        <v>35</v>
      </c>
      <c r="F900" t="s">
        <v>40</v>
      </c>
      <c r="G900">
        <v>10</v>
      </c>
      <c r="H900">
        <v>59848</v>
      </c>
      <c r="I900">
        <v>598480</v>
      </c>
      <c r="J900" t="s">
        <v>27</v>
      </c>
    </row>
    <row r="901" spans="1:10" x14ac:dyDescent="0.25">
      <c r="A901" t="s">
        <v>358</v>
      </c>
      <c r="B901" t="s">
        <v>42</v>
      </c>
      <c r="C901" t="s">
        <v>12</v>
      </c>
      <c r="D901" t="s">
        <v>39</v>
      </c>
      <c r="E901" t="s">
        <v>30</v>
      </c>
      <c r="F901" t="s">
        <v>26</v>
      </c>
      <c r="G901">
        <v>5</v>
      </c>
      <c r="H901">
        <v>56732</v>
      </c>
      <c r="I901">
        <v>283660</v>
      </c>
      <c r="J901" t="s">
        <v>20</v>
      </c>
    </row>
    <row r="902" spans="1:10" x14ac:dyDescent="0.25">
      <c r="A902" t="s">
        <v>245</v>
      </c>
      <c r="B902" t="s">
        <v>22</v>
      </c>
      <c r="C902" t="s">
        <v>29</v>
      </c>
      <c r="D902" t="s">
        <v>44</v>
      </c>
      <c r="E902" t="s">
        <v>14</v>
      </c>
      <c r="F902" t="s">
        <v>15</v>
      </c>
      <c r="G902">
        <v>3</v>
      </c>
      <c r="H902">
        <v>57457</v>
      </c>
      <c r="I902">
        <v>172371</v>
      </c>
      <c r="J902" t="s">
        <v>16</v>
      </c>
    </row>
    <row r="903" spans="1:10" x14ac:dyDescent="0.25">
      <c r="A903" t="s">
        <v>86</v>
      </c>
      <c r="B903" t="s">
        <v>42</v>
      </c>
      <c r="C903" t="s">
        <v>34</v>
      </c>
      <c r="D903" t="s">
        <v>48</v>
      </c>
      <c r="E903" t="s">
        <v>35</v>
      </c>
      <c r="F903" t="s">
        <v>15</v>
      </c>
      <c r="G903">
        <v>19</v>
      </c>
      <c r="H903">
        <v>36508</v>
      </c>
      <c r="I903">
        <v>693652</v>
      </c>
      <c r="J903" t="s">
        <v>36</v>
      </c>
    </row>
    <row r="904" spans="1:10" x14ac:dyDescent="0.25">
      <c r="A904" t="s">
        <v>307</v>
      </c>
      <c r="B904" t="s">
        <v>18</v>
      </c>
      <c r="C904" t="s">
        <v>34</v>
      </c>
      <c r="D904" t="s">
        <v>48</v>
      </c>
      <c r="E904" t="s">
        <v>25</v>
      </c>
      <c r="F904" t="s">
        <v>40</v>
      </c>
      <c r="G904">
        <v>3</v>
      </c>
      <c r="H904">
        <v>19978</v>
      </c>
      <c r="I904">
        <v>59934</v>
      </c>
      <c r="J904" t="s">
        <v>27</v>
      </c>
    </row>
    <row r="905" spans="1:10" x14ac:dyDescent="0.25">
      <c r="A905" t="s">
        <v>297</v>
      </c>
      <c r="B905" t="s">
        <v>22</v>
      </c>
      <c r="C905" t="s">
        <v>23</v>
      </c>
      <c r="D905" t="s">
        <v>39</v>
      </c>
      <c r="E905" t="s">
        <v>25</v>
      </c>
      <c r="F905" t="s">
        <v>15</v>
      </c>
      <c r="G905">
        <v>3</v>
      </c>
      <c r="H905">
        <v>49699</v>
      </c>
      <c r="I905">
        <v>149097</v>
      </c>
      <c r="J905" t="s">
        <v>27</v>
      </c>
    </row>
    <row r="906" spans="1:10" x14ac:dyDescent="0.25">
      <c r="A906" t="s">
        <v>186</v>
      </c>
      <c r="B906" t="s">
        <v>33</v>
      </c>
      <c r="C906" t="s">
        <v>38</v>
      </c>
      <c r="D906" t="s">
        <v>13</v>
      </c>
      <c r="E906" t="s">
        <v>35</v>
      </c>
      <c r="F906" t="s">
        <v>40</v>
      </c>
      <c r="G906">
        <v>2</v>
      </c>
      <c r="H906">
        <v>19211</v>
      </c>
      <c r="I906">
        <v>38422</v>
      </c>
      <c r="J906" t="s">
        <v>16</v>
      </c>
    </row>
    <row r="907" spans="1:10" x14ac:dyDescent="0.25">
      <c r="A907" t="s">
        <v>365</v>
      </c>
      <c r="B907" t="s">
        <v>22</v>
      </c>
      <c r="C907" t="s">
        <v>29</v>
      </c>
      <c r="D907" t="s">
        <v>24</v>
      </c>
      <c r="E907" t="s">
        <v>25</v>
      </c>
      <c r="F907" t="s">
        <v>15</v>
      </c>
      <c r="G907">
        <v>4</v>
      </c>
      <c r="H907">
        <v>53274</v>
      </c>
      <c r="I907">
        <v>213096</v>
      </c>
      <c r="J907" t="s">
        <v>27</v>
      </c>
    </row>
    <row r="908" spans="1:10" x14ac:dyDescent="0.25">
      <c r="A908" t="s">
        <v>152</v>
      </c>
      <c r="B908" t="s">
        <v>18</v>
      </c>
      <c r="C908" t="s">
        <v>23</v>
      </c>
      <c r="D908" t="s">
        <v>44</v>
      </c>
      <c r="E908" t="s">
        <v>25</v>
      </c>
      <c r="F908" t="s">
        <v>15</v>
      </c>
      <c r="G908">
        <v>13</v>
      </c>
      <c r="H908">
        <v>48904</v>
      </c>
      <c r="I908">
        <v>635752</v>
      </c>
      <c r="J908" t="s">
        <v>20</v>
      </c>
    </row>
    <row r="909" spans="1:10" x14ac:dyDescent="0.25">
      <c r="A909" t="s">
        <v>126</v>
      </c>
      <c r="B909" t="s">
        <v>33</v>
      </c>
      <c r="C909" t="s">
        <v>23</v>
      </c>
      <c r="D909" t="s">
        <v>48</v>
      </c>
      <c r="E909" t="s">
        <v>35</v>
      </c>
      <c r="F909" t="s">
        <v>26</v>
      </c>
      <c r="G909">
        <v>14</v>
      </c>
      <c r="H909">
        <v>39339</v>
      </c>
      <c r="I909">
        <v>550746</v>
      </c>
      <c r="J909" t="s">
        <v>20</v>
      </c>
    </row>
    <row r="910" spans="1:10" x14ac:dyDescent="0.25">
      <c r="A910" t="s">
        <v>218</v>
      </c>
      <c r="B910" t="s">
        <v>18</v>
      </c>
      <c r="C910" t="s">
        <v>12</v>
      </c>
      <c r="D910" t="s">
        <v>24</v>
      </c>
      <c r="E910" t="s">
        <v>25</v>
      </c>
      <c r="F910" t="s">
        <v>40</v>
      </c>
      <c r="G910">
        <v>12</v>
      </c>
      <c r="H910">
        <v>19604</v>
      </c>
      <c r="I910">
        <v>235248</v>
      </c>
      <c r="J910" t="s">
        <v>20</v>
      </c>
    </row>
    <row r="911" spans="1:10" x14ac:dyDescent="0.25">
      <c r="A911" t="s">
        <v>321</v>
      </c>
      <c r="B911" t="s">
        <v>33</v>
      </c>
      <c r="C911" t="s">
        <v>34</v>
      </c>
      <c r="D911" t="s">
        <v>39</v>
      </c>
      <c r="E911" t="s">
        <v>25</v>
      </c>
      <c r="F911" t="s">
        <v>40</v>
      </c>
      <c r="G911">
        <v>11</v>
      </c>
      <c r="H911">
        <v>26499</v>
      </c>
      <c r="I911">
        <v>291489</v>
      </c>
      <c r="J911" t="s">
        <v>27</v>
      </c>
    </row>
    <row r="912" spans="1:10" x14ac:dyDescent="0.25">
      <c r="A912" t="s">
        <v>303</v>
      </c>
      <c r="B912" t="s">
        <v>33</v>
      </c>
      <c r="C912" t="s">
        <v>29</v>
      </c>
      <c r="D912" t="s">
        <v>44</v>
      </c>
      <c r="E912" t="s">
        <v>30</v>
      </c>
      <c r="F912" t="s">
        <v>26</v>
      </c>
      <c r="G912">
        <v>6</v>
      </c>
      <c r="H912">
        <v>29692</v>
      </c>
      <c r="I912">
        <v>178152</v>
      </c>
      <c r="J912" t="s">
        <v>27</v>
      </c>
    </row>
    <row r="913" spans="1:10" x14ac:dyDescent="0.25">
      <c r="A913" t="s">
        <v>366</v>
      </c>
      <c r="B913" t="s">
        <v>11</v>
      </c>
      <c r="C913" t="s">
        <v>12</v>
      </c>
      <c r="D913" t="s">
        <v>44</v>
      </c>
      <c r="E913" t="s">
        <v>35</v>
      </c>
      <c r="F913" t="s">
        <v>15</v>
      </c>
      <c r="G913">
        <v>4</v>
      </c>
      <c r="H913">
        <v>38244</v>
      </c>
      <c r="I913">
        <v>152976</v>
      </c>
      <c r="J913" t="s">
        <v>36</v>
      </c>
    </row>
    <row r="914" spans="1:10" x14ac:dyDescent="0.25">
      <c r="A914" t="s">
        <v>267</v>
      </c>
      <c r="B914" t="s">
        <v>22</v>
      </c>
      <c r="C914" t="s">
        <v>29</v>
      </c>
      <c r="D914" t="s">
        <v>13</v>
      </c>
      <c r="E914" t="s">
        <v>19</v>
      </c>
      <c r="F914" t="s">
        <v>40</v>
      </c>
      <c r="G914">
        <v>2</v>
      </c>
      <c r="H914">
        <v>41769</v>
      </c>
      <c r="I914">
        <v>83538</v>
      </c>
      <c r="J914" t="s">
        <v>27</v>
      </c>
    </row>
    <row r="915" spans="1:10" x14ac:dyDescent="0.25">
      <c r="A915" t="s">
        <v>82</v>
      </c>
      <c r="B915" t="s">
        <v>22</v>
      </c>
      <c r="C915" t="s">
        <v>29</v>
      </c>
      <c r="D915" t="s">
        <v>13</v>
      </c>
      <c r="E915" t="s">
        <v>14</v>
      </c>
      <c r="F915" t="s">
        <v>26</v>
      </c>
      <c r="G915">
        <v>18</v>
      </c>
      <c r="H915">
        <v>56124</v>
      </c>
      <c r="I915">
        <v>1010232</v>
      </c>
      <c r="J915" t="s">
        <v>27</v>
      </c>
    </row>
    <row r="916" spans="1:10" x14ac:dyDescent="0.25">
      <c r="A916" t="s">
        <v>118</v>
      </c>
      <c r="B916" t="s">
        <v>22</v>
      </c>
      <c r="C916" t="s">
        <v>38</v>
      </c>
      <c r="D916" t="s">
        <v>44</v>
      </c>
      <c r="E916" t="s">
        <v>35</v>
      </c>
      <c r="F916" t="s">
        <v>40</v>
      </c>
      <c r="G916">
        <v>9</v>
      </c>
      <c r="H916">
        <v>28770</v>
      </c>
      <c r="I916">
        <v>258930</v>
      </c>
      <c r="J916" t="s">
        <v>36</v>
      </c>
    </row>
    <row r="917" spans="1:10" x14ac:dyDescent="0.25">
      <c r="A917" t="s">
        <v>249</v>
      </c>
      <c r="B917" t="s">
        <v>42</v>
      </c>
      <c r="C917" t="s">
        <v>38</v>
      </c>
      <c r="D917" t="s">
        <v>39</v>
      </c>
      <c r="E917" t="s">
        <v>35</v>
      </c>
      <c r="F917" t="s">
        <v>40</v>
      </c>
      <c r="G917">
        <v>10</v>
      </c>
      <c r="H917">
        <v>38089</v>
      </c>
      <c r="I917">
        <v>380890</v>
      </c>
      <c r="J917" t="s">
        <v>20</v>
      </c>
    </row>
    <row r="918" spans="1:10" x14ac:dyDescent="0.25">
      <c r="A918" t="s">
        <v>266</v>
      </c>
      <c r="B918" t="s">
        <v>22</v>
      </c>
      <c r="C918" t="s">
        <v>38</v>
      </c>
      <c r="D918" t="s">
        <v>44</v>
      </c>
      <c r="E918" t="s">
        <v>30</v>
      </c>
      <c r="F918" t="s">
        <v>26</v>
      </c>
      <c r="G918">
        <v>2</v>
      </c>
      <c r="H918">
        <v>28715</v>
      </c>
      <c r="I918">
        <v>57430</v>
      </c>
      <c r="J918" t="s">
        <v>16</v>
      </c>
    </row>
    <row r="919" spans="1:10" x14ac:dyDescent="0.25">
      <c r="A919" t="s">
        <v>298</v>
      </c>
      <c r="B919" t="s">
        <v>33</v>
      </c>
      <c r="C919" t="s">
        <v>23</v>
      </c>
      <c r="D919" t="s">
        <v>39</v>
      </c>
      <c r="E919" t="s">
        <v>14</v>
      </c>
      <c r="F919" t="s">
        <v>40</v>
      </c>
      <c r="G919">
        <v>12</v>
      </c>
      <c r="H919">
        <v>58537</v>
      </c>
      <c r="I919">
        <v>702444</v>
      </c>
      <c r="J919" t="s">
        <v>36</v>
      </c>
    </row>
    <row r="920" spans="1:10" x14ac:dyDescent="0.25">
      <c r="A920" t="s">
        <v>220</v>
      </c>
      <c r="B920" t="s">
        <v>18</v>
      </c>
      <c r="C920" t="s">
        <v>34</v>
      </c>
      <c r="D920" t="s">
        <v>24</v>
      </c>
      <c r="E920" t="s">
        <v>14</v>
      </c>
      <c r="F920" t="s">
        <v>15</v>
      </c>
      <c r="G920">
        <v>20</v>
      </c>
      <c r="H920">
        <v>19703</v>
      </c>
      <c r="I920">
        <v>394060</v>
      </c>
      <c r="J920" t="s">
        <v>27</v>
      </c>
    </row>
    <row r="921" spans="1:10" x14ac:dyDescent="0.25">
      <c r="A921" t="s">
        <v>320</v>
      </c>
      <c r="B921" t="s">
        <v>42</v>
      </c>
      <c r="C921" t="s">
        <v>34</v>
      </c>
      <c r="D921" t="s">
        <v>48</v>
      </c>
      <c r="E921" t="s">
        <v>25</v>
      </c>
      <c r="F921" t="s">
        <v>26</v>
      </c>
      <c r="G921">
        <v>18</v>
      </c>
      <c r="H921">
        <v>27230</v>
      </c>
      <c r="I921">
        <v>490140</v>
      </c>
      <c r="J921" t="s">
        <v>36</v>
      </c>
    </row>
    <row r="922" spans="1:10" x14ac:dyDescent="0.25">
      <c r="A922" t="s">
        <v>308</v>
      </c>
      <c r="B922" t="s">
        <v>22</v>
      </c>
      <c r="C922" t="s">
        <v>38</v>
      </c>
      <c r="D922" t="s">
        <v>24</v>
      </c>
      <c r="E922" t="s">
        <v>19</v>
      </c>
      <c r="F922" t="s">
        <v>26</v>
      </c>
      <c r="G922">
        <v>9</v>
      </c>
      <c r="H922">
        <v>43294</v>
      </c>
      <c r="I922">
        <v>389646</v>
      </c>
      <c r="J922" t="s">
        <v>20</v>
      </c>
    </row>
    <row r="923" spans="1:10" x14ac:dyDescent="0.25">
      <c r="A923" t="s">
        <v>325</v>
      </c>
      <c r="B923" t="s">
        <v>22</v>
      </c>
      <c r="C923" t="s">
        <v>29</v>
      </c>
      <c r="D923" t="s">
        <v>44</v>
      </c>
      <c r="E923" t="s">
        <v>14</v>
      </c>
      <c r="F923" t="s">
        <v>15</v>
      </c>
      <c r="G923">
        <v>15</v>
      </c>
      <c r="H923">
        <v>33874</v>
      </c>
      <c r="I923">
        <v>508110</v>
      </c>
      <c r="J923" t="s">
        <v>20</v>
      </c>
    </row>
    <row r="924" spans="1:10" x14ac:dyDescent="0.25">
      <c r="A924" t="s">
        <v>336</v>
      </c>
      <c r="B924" t="s">
        <v>22</v>
      </c>
      <c r="C924" t="s">
        <v>34</v>
      </c>
      <c r="D924" t="s">
        <v>24</v>
      </c>
      <c r="E924" t="s">
        <v>19</v>
      </c>
      <c r="F924" t="s">
        <v>40</v>
      </c>
      <c r="G924">
        <v>18</v>
      </c>
      <c r="H924">
        <v>39943</v>
      </c>
      <c r="I924">
        <v>718974</v>
      </c>
      <c r="J924" t="s">
        <v>27</v>
      </c>
    </row>
    <row r="925" spans="1:10" x14ac:dyDescent="0.25">
      <c r="A925" t="s">
        <v>331</v>
      </c>
      <c r="B925" t="s">
        <v>42</v>
      </c>
      <c r="C925" t="s">
        <v>29</v>
      </c>
      <c r="D925" t="s">
        <v>44</v>
      </c>
      <c r="E925" t="s">
        <v>35</v>
      </c>
      <c r="F925" t="s">
        <v>15</v>
      </c>
      <c r="G925">
        <v>5</v>
      </c>
      <c r="H925">
        <v>52264</v>
      </c>
      <c r="I925">
        <v>261320</v>
      </c>
      <c r="J925" t="s">
        <v>20</v>
      </c>
    </row>
    <row r="926" spans="1:10" x14ac:dyDescent="0.25">
      <c r="A926" t="s">
        <v>60</v>
      </c>
      <c r="B926" t="s">
        <v>33</v>
      </c>
      <c r="C926" t="s">
        <v>23</v>
      </c>
      <c r="D926" t="s">
        <v>24</v>
      </c>
      <c r="E926" t="s">
        <v>19</v>
      </c>
      <c r="F926" t="s">
        <v>26</v>
      </c>
      <c r="G926">
        <v>16</v>
      </c>
      <c r="H926">
        <v>46048</v>
      </c>
      <c r="I926">
        <v>736768</v>
      </c>
      <c r="J926" t="s">
        <v>20</v>
      </c>
    </row>
    <row r="927" spans="1:10" x14ac:dyDescent="0.25">
      <c r="A927" t="s">
        <v>47</v>
      </c>
      <c r="B927" t="s">
        <v>22</v>
      </c>
      <c r="C927" t="s">
        <v>23</v>
      </c>
      <c r="D927" t="s">
        <v>48</v>
      </c>
      <c r="E927" t="s">
        <v>30</v>
      </c>
      <c r="F927" t="s">
        <v>40</v>
      </c>
      <c r="G927">
        <v>20</v>
      </c>
      <c r="H927">
        <v>21625</v>
      </c>
      <c r="I927">
        <v>432500</v>
      </c>
      <c r="J927" t="s">
        <v>36</v>
      </c>
    </row>
    <row r="928" spans="1:10" x14ac:dyDescent="0.25">
      <c r="A928" t="s">
        <v>88</v>
      </c>
      <c r="B928" t="s">
        <v>33</v>
      </c>
      <c r="C928" t="s">
        <v>23</v>
      </c>
      <c r="D928" t="s">
        <v>13</v>
      </c>
      <c r="E928" t="s">
        <v>19</v>
      </c>
      <c r="F928" t="s">
        <v>40</v>
      </c>
      <c r="G928">
        <v>3</v>
      </c>
      <c r="H928">
        <v>51324</v>
      </c>
      <c r="I928">
        <v>153972</v>
      </c>
      <c r="J928" t="s">
        <v>16</v>
      </c>
    </row>
    <row r="929" spans="1:10" x14ac:dyDescent="0.25">
      <c r="A929" t="s">
        <v>99</v>
      </c>
      <c r="B929" t="s">
        <v>22</v>
      </c>
      <c r="C929" t="s">
        <v>12</v>
      </c>
      <c r="D929" t="s">
        <v>13</v>
      </c>
      <c r="E929" t="s">
        <v>19</v>
      </c>
      <c r="F929" t="s">
        <v>26</v>
      </c>
      <c r="G929">
        <v>18</v>
      </c>
      <c r="H929">
        <v>28265</v>
      </c>
      <c r="I929">
        <v>508770</v>
      </c>
      <c r="J929" t="s">
        <v>36</v>
      </c>
    </row>
    <row r="930" spans="1:10" x14ac:dyDescent="0.25">
      <c r="A930" t="s">
        <v>60</v>
      </c>
      <c r="B930" t="s">
        <v>11</v>
      </c>
      <c r="C930" t="s">
        <v>23</v>
      </c>
      <c r="D930" t="s">
        <v>13</v>
      </c>
      <c r="E930" t="s">
        <v>25</v>
      </c>
      <c r="F930" t="s">
        <v>15</v>
      </c>
      <c r="G930">
        <v>18</v>
      </c>
      <c r="H930">
        <v>18859</v>
      </c>
      <c r="I930">
        <v>339462</v>
      </c>
      <c r="J930" t="s">
        <v>16</v>
      </c>
    </row>
    <row r="931" spans="1:10" x14ac:dyDescent="0.25">
      <c r="A931" t="s">
        <v>125</v>
      </c>
      <c r="B931" t="s">
        <v>18</v>
      </c>
      <c r="C931" t="s">
        <v>23</v>
      </c>
      <c r="D931" t="s">
        <v>48</v>
      </c>
      <c r="E931" t="s">
        <v>25</v>
      </c>
      <c r="F931" t="s">
        <v>40</v>
      </c>
      <c r="G931">
        <v>14</v>
      </c>
      <c r="H931">
        <v>31182</v>
      </c>
      <c r="I931">
        <v>436548</v>
      </c>
      <c r="J931" t="s">
        <v>36</v>
      </c>
    </row>
    <row r="932" spans="1:10" x14ac:dyDescent="0.25">
      <c r="A932" t="s">
        <v>72</v>
      </c>
      <c r="B932" t="s">
        <v>42</v>
      </c>
      <c r="C932" t="s">
        <v>38</v>
      </c>
      <c r="D932" t="s">
        <v>24</v>
      </c>
      <c r="E932" t="s">
        <v>35</v>
      </c>
      <c r="F932" t="s">
        <v>26</v>
      </c>
      <c r="G932">
        <v>15</v>
      </c>
      <c r="H932">
        <v>53499</v>
      </c>
      <c r="I932">
        <v>802485</v>
      </c>
      <c r="J932" t="s">
        <v>20</v>
      </c>
    </row>
    <row r="933" spans="1:10" x14ac:dyDescent="0.25">
      <c r="A933" t="s">
        <v>367</v>
      </c>
      <c r="B933" t="s">
        <v>18</v>
      </c>
      <c r="C933" t="s">
        <v>34</v>
      </c>
      <c r="D933" t="s">
        <v>44</v>
      </c>
      <c r="E933" t="s">
        <v>19</v>
      </c>
      <c r="F933" t="s">
        <v>26</v>
      </c>
      <c r="G933">
        <v>1</v>
      </c>
      <c r="H933">
        <v>59560</v>
      </c>
      <c r="I933">
        <v>59560</v>
      </c>
      <c r="J933" t="s">
        <v>16</v>
      </c>
    </row>
    <row r="934" spans="1:10" x14ac:dyDescent="0.25">
      <c r="A934" t="s">
        <v>46</v>
      </c>
      <c r="B934" t="s">
        <v>42</v>
      </c>
      <c r="C934" t="s">
        <v>38</v>
      </c>
      <c r="D934" t="s">
        <v>39</v>
      </c>
      <c r="E934" t="s">
        <v>19</v>
      </c>
      <c r="F934" t="s">
        <v>15</v>
      </c>
      <c r="G934">
        <v>14</v>
      </c>
      <c r="H934">
        <v>27823</v>
      </c>
      <c r="I934">
        <v>389522</v>
      </c>
      <c r="J934" t="s">
        <v>16</v>
      </c>
    </row>
    <row r="935" spans="1:10" x14ac:dyDescent="0.25">
      <c r="A935" t="s">
        <v>273</v>
      </c>
      <c r="B935" t="s">
        <v>18</v>
      </c>
      <c r="C935" t="s">
        <v>38</v>
      </c>
      <c r="D935" t="s">
        <v>24</v>
      </c>
      <c r="E935" t="s">
        <v>35</v>
      </c>
      <c r="F935" t="s">
        <v>26</v>
      </c>
      <c r="G935">
        <v>3</v>
      </c>
      <c r="H935">
        <v>47120</v>
      </c>
      <c r="I935">
        <v>141360</v>
      </c>
      <c r="J935" t="s">
        <v>27</v>
      </c>
    </row>
    <row r="936" spans="1:10" x14ac:dyDescent="0.25">
      <c r="A936" t="s">
        <v>90</v>
      </c>
      <c r="B936" t="s">
        <v>11</v>
      </c>
      <c r="C936" t="s">
        <v>12</v>
      </c>
      <c r="D936" t="s">
        <v>39</v>
      </c>
      <c r="E936" t="s">
        <v>14</v>
      </c>
      <c r="F936" t="s">
        <v>26</v>
      </c>
      <c r="G936">
        <v>16</v>
      </c>
      <c r="H936">
        <v>47003</v>
      </c>
      <c r="I936">
        <v>752048</v>
      </c>
      <c r="J936" t="s">
        <v>36</v>
      </c>
    </row>
    <row r="937" spans="1:10" x14ac:dyDescent="0.25">
      <c r="A937" t="s">
        <v>329</v>
      </c>
      <c r="B937" t="s">
        <v>11</v>
      </c>
      <c r="C937" t="s">
        <v>38</v>
      </c>
      <c r="D937" t="s">
        <v>13</v>
      </c>
      <c r="E937" t="s">
        <v>30</v>
      </c>
      <c r="F937" t="s">
        <v>15</v>
      </c>
      <c r="G937">
        <v>6</v>
      </c>
      <c r="H937">
        <v>47074</v>
      </c>
      <c r="I937">
        <v>282444</v>
      </c>
      <c r="J937" t="s">
        <v>27</v>
      </c>
    </row>
    <row r="938" spans="1:10" x14ac:dyDescent="0.25">
      <c r="A938" t="s">
        <v>121</v>
      </c>
      <c r="B938" t="s">
        <v>11</v>
      </c>
      <c r="C938" t="s">
        <v>38</v>
      </c>
      <c r="D938" t="s">
        <v>39</v>
      </c>
      <c r="E938" t="s">
        <v>30</v>
      </c>
      <c r="F938" t="s">
        <v>26</v>
      </c>
      <c r="G938">
        <v>19</v>
      </c>
      <c r="H938">
        <v>44527</v>
      </c>
      <c r="I938">
        <v>846013</v>
      </c>
      <c r="J938" t="s">
        <v>16</v>
      </c>
    </row>
    <row r="939" spans="1:10" x14ac:dyDescent="0.25">
      <c r="A939" t="s">
        <v>206</v>
      </c>
      <c r="B939" t="s">
        <v>22</v>
      </c>
      <c r="C939" t="s">
        <v>38</v>
      </c>
      <c r="D939" t="s">
        <v>13</v>
      </c>
      <c r="E939" t="s">
        <v>30</v>
      </c>
      <c r="F939" t="s">
        <v>15</v>
      </c>
      <c r="G939">
        <v>9</v>
      </c>
      <c r="H939">
        <v>41441</v>
      </c>
      <c r="I939">
        <v>372969</v>
      </c>
      <c r="J939" t="s">
        <v>36</v>
      </c>
    </row>
    <row r="940" spans="1:10" x14ac:dyDescent="0.25">
      <c r="A940" t="s">
        <v>123</v>
      </c>
      <c r="B940" t="s">
        <v>18</v>
      </c>
      <c r="C940" t="s">
        <v>29</v>
      </c>
      <c r="D940" t="s">
        <v>13</v>
      </c>
      <c r="E940" t="s">
        <v>19</v>
      </c>
      <c r="F940" t="s">
        <v>40</v>
      </c>
      <c r="G940">
        <v>19</v>
      </c>
      <c r="H940">
        <v>39002</v>
      </c>
      <c r="I940">
        <v>741038</v>
      </c>
      <c r="J940" t="s">
        <v>27</v>
      </c>
    </row>
    <row r="941" spans="1:10" x14ac:dyDescent="0.25">
      <c r="A941" t="s">
        <v>249</v>
      </c>
      <c r="B941" t="s">
        <v>33</v>
      </c>
      <c r="C941" t="s">
        <v>23</v>
      </c>
      <c r="D941" t="s">
        <v>44</v>
      </c>
      <c r="E941" t="s">
        <v>25</v>
      </c>
      <c r="F941" t="s">
        <v>26</v>
      </c>
      <c r="G941">
        <v>18</v>
      </c>
      <c r="H941">
        <v>19162</v>
      </c>
      <c r="I941">
        <v>344916</v>
      </c>
      <c r="J941" t="s">
        <v>16</v>
      </c>
    </row>
    <row r="942" spans="1:10" x14ac:dyDescent="0.25">
      <c r="A942" t="s">
        <v>161</v>
      </c>
      <c r="B942" t="s">
        <v>22</v>
      </c>
      <c r="C942" t="s">
        <v>12</v>
      </c>
      <c r="D942" t="s">
        <v>39</v>
      </c>
      <c r="E942" t="s">
        <v>19</v>
      </c>
      <c r="F942" t="s">
        <v>40</v>
      </c>
      <c r="G942">
        <v>20</v>
      </c>
      <c r="H942">
        <v>36838</v>
      </c>
      <c r="I942">
        <v>736760</v>
      </c>
      <c r="J942" t="s">
        <v>16</v>
      </c>
    </row>
    <row r="943" spans="1:10" x14ac:dyDescent="0.25">
      <c r="A943" t="s">
        <v>363</v>
      </c>
      <c r="B943" t="s">
        <v>11</v>
      </c>
      <c r="C943" t="s">
        <v>38</v>
      </c>
      <c r="D943" t="s">
        <v>48</v>
      </c>
      <c r="E943" t="s">
        <v>19</v>
      </c>
      <c r="F943" t="s">
        <v>15</v>
      </c>
      <c r="G943">
        <v>10</v>
      </c>
      <c r="H943">
        <v>15694</v>
      </c>
      <c r="I943">
        <v>156940</v>
      </c>
      <c r="J943" t="s">
        <v>16</v>
      </c>
    </row>
    <row r="944" spans="1:10" x14ac:dyDescent="0.25">
      <c r="A944" t="s">
        <v>242</v>
      </c>
      <c r="B944" t="s">
        <v>18</v>
      </c>
      <c r="C944" t="s">
        <v>29</v>
      </c>
      <c r="D944" t="s">
        <v>24</v>
      </c>
      <c r="E944" t="s">
        <v>14</v>
      </c>
      <c r="F944" t="s">
        <v>15</v>
      </c>
      <c r="G944">
        <v>6</v>
      </c>
      <c r="H944">
        <v>52004</v>
      </c>
      <c r="I944">
        <v>312024</v>
      </c>
      <c r="J944" t="s">
        <v>16</v>
      </c>
    </row>
    <row r="945" spans="1:10" x14ac:dyDescent="0.25">
      <c r="A945" t="s">
        <v>17</v>
      </c>
      <c r="B945" t="s">
        <v>33</v>
      </c>
      <c r="C945" t="s">
        <v>23</v>
      </c>
      <c r="D945" t="s">
        <v>44</v>
      </c>
      <c r="E945" t="s">
        <v>14</v>
      </c>
      <c r="F945" t="s">
        <v>26</v>
      </c>
      <c r="G945">
        <v>1</v>
      </c>
      <c r="H945">
        <v>21782</v>
      </c>
      <c r="I945">
        <v>21782</v>
      </c>
      <c r="J945" t="s">
        <v>16</v>
      </c>
    </row>
    <row r="946" spans="1:10" x14ac:dyDescent="0.25">
      <c r="A946" t="s">
        <v>251</v>
      </c>
      <c r="B946" t="s">
        <v>42</v>
      </c>
      <c r="C946" t="s">
        <v>29</v>
      </c>
      <c r="D946" t="s">
        <v>44</v>
      </c>
      <c r="E946" t="s">
        <v>30</v>
      </c>
      <c r="F946" t="s">
        <v>26</v>
      </c>
      <c r="G946">
        <v>12</v>
      </c>
      <c r="H946">
        <v>35227</v>
      </c>
      <c r="I946">
        <v>422724</v>
      </c>
      <c r="J946" t="s">
        <v>20</v>
      </c>
    </row>
    <row r="947" spans="1:10" x14ac:dyDescent="0.25">
      <c r="A947" t="s">
        <v>215</v>
      </c>
      <c r="B947" t="s">
        <v>18</v>
      </c>
      <c r="C947" t="s">
        <v>34</v>
      </c>
      <c r="D947" t="s">
        <v>39</v>
      </c>
      <c r="E947" t="s">
        <v>35</v>
      </c>
      <c r="F947" t="s">
        <v>40</v>
      </c>
      <c r="G947">
        <v>18</v>
      </c>
      <c r="H947">
        <v>50138</v>
      </c>
      <c r="I947">
        <v>902484</v>
      </c>
      <c r="J947" t="s">
        <v>36</v>
      </c>
    </row>
    <row r="948" spans="1:10" x14ac:dyDescent="0.25">
      <c r="A948" t="s">
        <v>237</v>
      </c>
      <c r="B948" t="s">
        <v>11</v>
      </c>
      <c r="C948" t="s">
        <v>23</v>
      </c>
      <c r="D948" t="s">
        <v>44</v>
      </c>
      <c r="E948" t="s">
        <v>14</v>
      </c>
      <c r="F948" t="s">
        <v>26</v>
      </c>
      <c r="G948">
        <v>19</v>
      </c>
      <c r="H948">
        <v>47224</v>
      </c>
      <c r="I948">
        <v>897256</v>
      </c>
      <c r="J948" t="s">
        <v>27</v>
      </c>
    </row>
    <row r="949" spans="1:10" x14ac:dyDescent="0.25">
      <c r="A949" t="s">
        <v>103</v>
      </c>
      <c r="B949" t="s">
        <v>33</v>
      </c>
      <c r="C949" t="s">
        <v>29</v>
      </c>
      <c r="D949" t="s">
        <v>39</v>
      </c>
      <c r="E949" t="s">
        <v>14</v>
      </c>
      <c r="F949" t="s">
        <v>40</v>
      </c>
      <c r="G949">
        <v>1</v>
      </c>
      <c r="H949">
        <v>56842</v>
      </c>
      <c r="I949">
        <v>56842</v>
      </c>
      <c r="J949" t="s">
        <v>16</v>
      </c>
    </row>
    <row r="950" spans="1:10" x14ac:dyDescent="0.25">
      <c r="A950" t="s">
        <v>90</v>
      </c>
      <c r="B950" t="s">
        <v>18</v>
      </c>
      <c r="C950" t="s">
        <v>29</v>
      </c>
      <c r="D950" t="s">
        <v>48</v>
      </c>
      <c r="E950" t="s">
        <v>25</v>
      </c>
      <c r="F950" t="s">
        <v>40</v>
      </c>
      <c r="G950">
        <v>12</v>
      </c>
      <c r="H950">
        <v>37549</v>
      </c>
      <c r="I950">
        <v>450588</v>
      </c>
      <c r="J950" t="s">
        <v>20</v>
      </c>
    </row>
    <row r="951" spans="1:10" x14ac:dyDescent="0.25">
      <c r="A951" t="s">
        <v>350</v>
      </c>
      <c r="B951" t="s">
        <v>22</v>
      </c>
      <c r="C951" t="s">
        <v>23</v>
      </c>
      <c r="D951" t="s">
        <v>24</v>
      </c>
      <c r="E951" t="s">
        <v>30</v>
      </c>
      <c r="F951" t="s">
        <v>40</v>
      </c>
      <c r="G951">
        <v>9</v>
      </c>
      <c r="H951">
        <v>32683</v>
      </c>
      <c r="I951">
        <v>294147</v>
      </c>
      <c r="J951" t="s">
        <v>36</v>
      </c>
    </row>
    <row r="952" spans="1:10" x14ac:dyDescent="0.25">
      <c r="A952" t="s">
        <v>184</v>
      </c>
      <c r="B952" t="s">
        <v>42</v>
      </c>
      <c r="C952" t="s">
        <v>23</v>
      </c>
      <c r="D952" t="s">
        <v>24</v>
      </c>
      <c r="E952" t="s">
        <v>25</v>
      </c>
      <c r="F952" t="s">
        <v>15</v>
      </c>
      <c r="G952">
        <v>1</v>
      </c>
      <c r="H952">
        <v>47995</v>
      </c>
      <c r="I952">
        <v>47995</v>
      </c>
      <c r="J952" t="s">
        <v>36</v>
      </c>
    </row>
    <row r="953" spans="1:10" x14ac:dyDescent="0.25">
      <c r="A953" t="s">
        <v>147</v>
      </c>
      <c r="B953" t="s">
        <v>42</v>
      </c>
      <c r="C953" t="s">
        <v>29</v>
      </c>
      <c r="D953" t="s">
        <v>48</v>
      </c>
      <c r="E953" t="s">
        <v>30</v>
      </c>
      <c r="F953" t="s">
        <v>40</v>
      </c>
      <c r="G953">
        <v>9</v>
      </c>
      <c r="H953">
        <v>51984</v>
      </c>
      <c r="I953">
        <v>467856</v>
      </c>
      <c r="J953" t="s">
        <v>27</v>
      </c>
    </row>
    <row r="954" spans="1:10" x14ac:dyDescent="0.25">
      <c r="A954" t="s">
        <v>368</v>
      </c>
      <c r="B954" t="s">
        <v>11</v>
      </c>
      <c r="C954" t="s">
        <v>34</v>
      </c>
      <c r="D954" t="s">
        <v>44</v>
      </c>
      <c r="E954" t="s">
        <v>14</v>
      </c>
      <c r="F954" t="s">
        <v>40</v>
      </c>
      <c r="G954">
        <v>20</v>
      </c>
      <c r="H954">
        <v>20866</v>
      </c>
      <c r="I954">
        <v>417320</v>
      </c>
      <c r="J954" t="s">
        <v>36</v>
      </c>
    </row>
    <row r="955" spans="1:10" x14ac:dyDescent="0.25">
      <c r="A955" t="s">
        <v>237</v>
      </c>
      <c r="B955" t="s">
        <v>42</v>
      </c>
      <c r="C955" t="s">
        <v>29</v>
      </c>
      <c r="D955" t="s">
        <v>48</v>
      </c>
      <c r="E955" t="s">
        <v>35</v>
      </c>
      <c r="F955" t="s">
        <v>15</v>
      </c>
      <c r="G955">
        <v>19</v>
      </c>
      <c r="H955">
        <v>49287</v>
      </c>
      <c r="I955">
        <v>936453</v>
      </c>
      <c r="J955" t="s">
        <v>16</v>
      </c>
    </row>
    <row r="956" spans="1:10" x14ac:dyDescent="0.25">
      <c r="A956" t="s">
        <v>295</v>
      </c>
      <c r="B956" t="s">
        <v>22</v>
      </c>
      <c r="C956" t="s">
        <v>29</v>
      </c>
      <c r="D956" t="s">
        <v>39</v>
      </c>
      <c r="E956" t="s">
        <v>19</v>
      </c>
      <c r="F956" t="s">
        <v>15</v>
      </c>
      <c r="G956">
        <v>9</v>
      </c>
      <c r="H956">
        <v>55801</v>
      </c>
      <c r="I956">
        <v>502209</v>
      </c>
      <c r="J956" t="s">
        <v>20</v>
      </c>
    </row>
    <row r="957" spans="1:10" x14ac:dyDescent="0.25">
      <c r="A957" t="s">
        <v>369</v>
      </c>
      <c r="B957" t="s">
        <v>11</v>
      </c>
      <c r="C957" t="s">
        <v>12</v>
      </c>
      <c r="D957" t="s">
        <v>48</v>
      </c>
      <c r="E957" t="s">
        <v>30</v>
      </c>
      <c r="F957" t="s">
        <v>40</v>
      </c>
      <c r="G957">
        <v>19</v>
      </c>
      <c r="H957">
        <v>45521</v>
      </c>
      <c r="I957">
        <v>864899</v>
      </c>
      <c r="J957" t="s">
        <v>20</v>
      </c>
    </row>
    <row r="958" spans="1:10" x14ac:dyDescent="0.25">
      <c r="A958" t="s">
        <v>343</v>
      </c>
      <c r="B958" t="s">
        <v>22</v>
      </c>
      <c r="C958" t="s">
        <v>34</v>
      </c>
      <c r="D958" t="s">
        <v>44</v>
      </c>
      <c r="E958" t="s">
        <v>35</v>
      </c>
      <c r="F958" t="s">
        <v>26</v>
      </c>
      <c r="G958">
        <v>15</v>
      </c>
      <c r="H958">
        <v>24394</v>
      </c>
      <c r="I958">
        <v>365910</v>
      </c>
      <c r="J958" t="s">
        <v>27</v>
      </c>
    </row>
    <row r="959" spans="1:10" x14ac:dyDescent="0.25">
      <c r="A959" t="s">
        <v>370</v>
      </c>
      <c r="B959" t="s">
        <v>22</v>
      </c>
      <c r="C959" t="s">
        <v>34</v>
      </c>
      <c r="D959" t="s">
        <v>48</v>
      </c>
      <c r="E959" t="s">
        <v>30</v>
      </c>
      <c r="F959" t="s">
        <v>15</v>
      </c>
      <c r="G959">
        <v>14</v>
      </c>
      <c r="H959">
        <v>51049</v>
      </c>
      <c r="I959">
        <v>714686</v>
      </c>
      <c r="J959" t="s">
        <v>36</v>
      </c>
    </row>
    <row r="960" spans="1:10" x14ac:dyDescent="0.25">
      <c r="A960" t="s">
        <v>62</v>
      </c>
      <c r="B960" t="s">
        <v>42</v>
      </c>
      <c r="C960" t="s">
        <v>34</v>
      </c>
      <c r="D960" t="s">
        <v>24</v>
      </c>
      <c r="E960" t="s">
        <v>14</v>
      </c>
      <c r="F960" t="s">
        <v>15</v>
      </c>
      <c r="G960">
        <v>10</v>
      </c>
      <c r="H960">
        <v>38931</v>
      </c>
      <c r="I960">
        <v>389310</v>
      </c>
      <c r="J960" t="s">
        <v>27</v>
      </c>
    </row>
    <row r="961" spans="1:10" x14ac:dyDescent="0.25">
      <c r="A961" t="s">
        <v>343</v>
      </c>
      <c r="B961" t="s">
        <v>22</v>
      </c>
      <c r="C961" t="s">
        <v>23</v>
      </c>
      <c r="D961" t="s">
        <v>24</v>
      </c>
      <c r="E961" t="s">
        <v>19</v>
      </c>
      <c r="F961" t="s">
        <v>15</v>
      </c>
      <c r="G961">
        <v>18</v>
      </c>
      <c r="H961">
        <v>28632</v>
      </c>
      <c r="I961">
        <v>515376</v>
      </c>
      <c r="J961" t="s">
        <v>36</v>
      </c>
    </row>
    <row r="962" spans="1:10" x14ac:dyDescent="0.25">
      <c r="A962" t="s">
        <v>257</v>
      </c>
      <c r="B962" t="s">
        <v>22</v>
      </c>
      <c r="C962" t="s">
        <v>38</v>
      </c>
      <c r="D962" t="s">
        <v>44</v>
      </c>
      <c r="E962" t="s">
        <v>14</v>
      </c>
      <c r="F962" t="s">
        <v>15</v>
      </c>
      <c r="G962">
        <v>6</v>
      </c>
      <c r="H962">
        <v>48578</v>
      </c>
      <c r="I962">
        <v>291468</v>
      </c>
      <c r="J962" t="s">
        <v>16</v>
      </c>
    </row>
    <row r="963" spans="1:10" x14ac:dyDescent="0.25">
      <c r="A963" t="s">
        <v>371</v>
      </c>
      <c r="B963" t="s">
        <v>11</v>
      </c>
      <c r="C963" t="s">
        <v>34</v>
      </c>
      <c r="D963" t="s">
        <v>39</v>
      </c>
      <c r="E963" t="s">
        <v>30</v>
      </c>
      <c r="F963" t="s">
        <v>15</v>
      </c>
      <c r="G963">
        <v>19</v>
      </c>
      <c r="H963">
        <v>20091</v>
      </c>
      <c r="I963">
        <v>381729</v>
      </c>
      <c r="J963" t="s">
        <v>36</v>
      </c>
    </row>
    <row r="964" spans="1:10" x14ac:dyDescent="0.25">
      <c r="A964" t="s">
        <v>249</v>
      </c>
      <c r="B964" t="s">
        <v>18</v>
      </c>
      <c r="C964" t="s">
        <v>38</v>
      </c>
      <c r="D964" t="s">
        <v>48</v>
      </c>
      <c r="E964" t="s">
        <v>14</v>
      </c>
      <c r="F964" t="s">
        <v>15</v>
      </c>
      <c r="G964">
        <v>3</v>
      </c>
      <c r="H964">
        <v>31477</v>
      </c>
      <c r="I964">
        <v>94431</v>
      </c>
      <c r="J964" t="s">
        <v>16</v>
      </c>
    </row>
    <row r="965" spans="1:10" x14ac:dyDescent="0.25">
      <c r="A965" t="s">
        <v>185</v>
      </c>
      <c r="B965" t="s">
        <v>18</v>
      </c>
      <c r="C965" t="s">
        <v>29</v>
      </c>
      <c r="D965" t="s">
        <v>44</v>
      </c>
      <c r="E965" t="s">
        <v>25</v>
      </c>
      <c r="F965" t="s">
        <v>40</v>
      </c>
      <c r="G965">
        <v>9</v>
      </c>
      <c r="H965">
        <v>26153</v>
      </c>
      <c r="I965">
        <v>235377</v>
      </c>
      <c r="J965" t="s">
        <v>16</v>
      </c>
    </row>
    <row r="966" spans="1:10" x14ac:dyDescent="0.25">
      <c r="A966" t="s">
        <v>151</v>
      </c>
      <c r="B966" t="s">
        <v>18</v>
      </c>
      <c r="C966" t="s">
        <v>29</v>
      </c>
      <c r="D966" t="s">
        <v>44</v>
      </c>
      <c r="E966" t="s">
        <v>14</v>
      </c>
      <c r="F966" t="s">
        <v>15</v>
      </c>
      <c r="G966">
        <v>17</v>
      </c>
      <c r="H966">
        <v>59635</v>
      </c>
      <c r="I966">
        <v>1013795</v>
      </c>
      <c r="J966" t="s">
        <v>16</v>
      </c>
    </row>
    <row r="967" spans="1:10" x14ac:dyDescent="0.25">
      <c r="A967" t="s">
        <v>241</v>
      </c>
      <c r="B967" t="s">
        <v>33</v>
      </c>
      <c r="C967" t="s">
        <v>38</v>
      </c>
      <c r="D967" t="s">
        <v>39</v>
      </c>
      <c r="E967" t="s">
        <v>35</v>
      </c>
      <c r="F967" t="s">
        <v>26</v>
      </c>
      <c r="G967">
        <v>16</v>
      </c>
      <c r="H967">
        <v>19570</v>
      </c>
      <c r="I967">
        <v>313120</v>
      </c>
      <c r="J967" t="s">
        <v>36</v>
      </c>
    </row>
    <row r="968" spans="1:10" x14ac:dyDescent="0.25">
      <c r="A968" t="s">
        <v>372</v>
      </c>
      <c r="B968" t="s">
        <v>11</v>
      </c>
      <c r="C968" t="s">
        <v>12</v>
      </c>
      <c r="D968" t="s">
        <v>44</v>
      </c>
      <c r="E968" t="s">
        <v>25</v>
      </c>
      <c r="F968" t="s">
        <v>40</v>
      </c>
      <c r="G968">
        <v>4</v>
      </c>
      <c r="H968">
        <v>53844</v>
      </c>
      <c r="I968">
        <v>215376</v>
      </c>
      <c r="J968" t="s">
        <v>27</v>
      </c>
    </row>
    <row r="969" spans="1:10" x14ac:dyDescent="0.25">
      <c r="A969" t="s">
        <v>67</v>
      </c>
      <c r="B969" t="s">
        <v>22</v>
      </c>
      <c r="C969" t="s">
        <v>29</v>
      </c>
      <c r="D969" t="s">
        <v>44</v>
      </c>
      <c r="E969" t="s">
        <v>14</v>
      </c>
      <c r="F969" t="s">
        <v>40</v>
      </c>
      <c r="G969">
        <v>13</v>
      </c>
      <c r="H969">
        <v>23226</v>
      </c>
      <c r="I969">
        <v>301938</v>
      </c>
      <c r="J969" t="s">
        <v>36</v>
      </c>
    </row>
    <row r="970" spans="1:10" x14ac:dyDescent="0.25">
      <c r="A970" t="s">
        <v>180</v>
      </c>
      <c r="B970" t="s">
        <v>22</v>
      </c>
      <c r="C970" t="s">
        <v>12</v>
      </c>
      <c r="D970" t="s">
        <v>44</v>
      </c>
      <c r="E970" t="s">
        <v>35</v>
      </c>
      <c r="F970" t="s">
        <v>40</v>
      </c>
      <c r="G970">
        <v>16</v>
      </c>
      <c r="H970">
        <v>23191</v>
      </c>
      <c r="I970">
        <v>371056</v>
      </c>
      <c r="J970" t="s">
        <v>27</v>
      </c>
    </row>
    <row r="971" spans="1:10" x14ac:dyDescent="0.25">
      <c r="A971" t="s">
        <v>272</v>
      </c>
      <c r="B971" t="s">
        <v>33</v>
      </c>
      <c r="C971" t="s">
        <v>12</v>
      </c>
      <c r="D971" t="s">
        <v>13</v>
      </c>
      <c r="E971" t="s">
        <v>19</v>
      </c>
      <c r="F971" t="s">
        <v>40</v>
      </c>
      <c r="G971">
        <v>8</v>
      </c>
      <c r="H971">
        <v>24904</v>
      </c>
      <c r="I971">
        <v>199232</v>
      </c>
      <c r="J971" t="s">
        <v>27</v>
      </c>
    </row>
    <row r="972" spans="1:10" x14ac:dyDescent="0.25">
      <c r="A972" t="s">
        <v>348</v>
      </c>
      <c r="B972" t="s">
        <v>42</v>
      </c>
      <c r="C972" t="s">
        <v>38</v>
      </c>
      <c r="D972" t="s">
        <v>44</v>
      </c>
      <c r="E972" t="s">
        <v>14</v>
      </c>
      <c r="F972" t="s">
        <v>26</v>
      </c>
      <c r="G972">
        <v>1</v>
      </c>
      <c r="H972">
        <v>42548</v>
      </c>
      <c r="I972">
        <v>42548</v>
      </c>
      <c r="J972" t="s">
        <v>20</v>
      </c>
    </row>
    <row r="973" spans="1:10" x14ac:dyDescent="0.25">
      <c r="A973" t="s">
        <v>186</v>
      </c>
      <c r="B973" t="s">
        <v>18</v>
      </c>
      <c r="C973" t="s">
        <v>12</v>
      </c>
      <c r="D973" t="s">
        <v>13</v>
      </c>
      <c r="E973" t="s">
        <v>35</v>
      </c>
      <c r="F973" t="s">
        <v>40</v>
      </c>
      <c r="G973">
        <v>11</v>
      </c>
      <c r="H973">
        <v>39613</v>
      </c>
      <c r="I973">
        <v>435743</v>
      </c>
      <c r="J973" t="s">
        <v>16</v>
      </c>
    </row>
    <row r="974" spans="1:10" x14ac:dyDescent="0.25">
      <c r="A974" t="s">
        <v>348</v>
      </c>
      <c r="B974" t="s">
        <v>18</v>
      </c>
      <c r="C974" t="s">
        <v>23</v>
      </c>
      <c r="D974" t="s">
        <v>44</v>
      </c>
      <c r="E974" t="s">
        <v>30</v>
      </c>
      <c r="F974" t="s">
        <v>40</v>
      </c>
      <c r="G974">
        <v>12</v>
      </c>
      <c r="H974">
        <v>16323</v>
      </c>
      <c r="I974">
        <v>195876</v>
      </c>
      <c r="J974" t="s">
        <v>16</v>
      </c>
    </row>
    <row r="975" spans="1:10" x14ac:dyDescent="0.25">
      <c r="A975" t="s">
        <v>334</v>
      </c>
      <c r="B975" t="s">
        <v>33</v>
      </c>
      <c r="C975" t="s">
        <v>12</v>
      </c>
      <c r="D975" t="s">
        <v>44</v>
      </c>
      <c r="E975" t="s">
        <v>30</v>
      </c>
      <c r="F975" t="s">
        <v>26</v>
      </c>
      <c r="G975">
        <v>15</v>
      </c>
      <c r="H975">
        <v>59690</v>
      </c>
      <c r="I975">
        <v>895350</v>
      </c>
      <c r="J975" t="s">
        <v>16</v>
      </c>
    </row>
    <row r="976" spans="1:10" x14ac:dyDescent="0.25">
      <c r="A976" t="s">
        <v>295</v>
      </c>
      <c r="B976" t="s">
        <v>18</v>
      </c>
      <c r="C976" t="s">
        <v>23</v>
      </c>
      <c r="D976" t="s">
        <v>48</v>
      </c>
      <c r="E976" t="s">
        <v>25</v>
      </c>
      <c r="F976" t="s">
        <v>15</v>
      </c>
      <c r="G976">
        <v>4</v>
      </c>
      <c r="H976">
        <v>20854</v>
      </c>
      <c r="I976">
        <v>83416</v>
      </c>
      <c r="J976" t="s">
        <v>20</v>
      </c>
    </row>
    <row r="977" spans="1:10" x14ac:dyDescent="0.25">
      <c r="A977" t="s">
        <v>137</v>
      </c>
      <c r="B977" t="s">
        <v>33</v>
      </c>
      <c r="C977" t="s">
        <v>12</v>
      </c>
      <c r="D977" t="s">
        <v>44</v>
      </c>
      <c r="E977" t="s">
        <v>30</v>
      </c>
      <c r="F977" t="s">
        <v>40</v>
      </c>
      <c r="G977">
        <v>17</v>
      </c>
      <c r="H977">
        <v>18853</v>
      </c>
      <c r="I977">
        <v>320501</v>
      </c>
      <c r="J977" t="s">
        <v>16</v>
      </c>
    </row>
    <row r="978" spans="1:10" x14ac:dyDescent="0.25">
      <c r="A978" t="s">
        <v>112</v>
      </c>
      <c r="B978" t="s">
        <v>18</v>
      </c>
      <c r="C978" t="s">
        <v>12</v>
      </c>
      <c r="D978" t="s">
        <v>39</v>
      </c>
      <c r="E978" t="s">
        <v>30</v>
      </c>
      <c r="F978" t="s">
        <v>40</v>
      </c>
      <c r="G978">
        <v>7</v>
      </c>
      <c r="H978">
        <v>56584</v>
      </c>
      <c r="I978">
        <v>396088</v>
      </c>
      <c r="J978" t="s">
        <v>20</v>
      </c>
    </row>
    <row r="979" spans="1:10" x14ac:dyDescent="0.25">
      <c r="A979" t="s">
        <v>215</v>
      </c>
      <c r="B979" t="s">
        <v>22</v>
      </c>
      <c r="C979" t="s">
        <v>12</v>
      </c>
      <c r="D979" t="s">
        <v>48</v>
      </c>
      <c r="E979" t="s">
        <v>14</v>
      </c>
      <c r="F979" t="s">
        <v>15</v>
      </c>
      <c r="G979">
        <v>9</v>
      </c>
      <c r="H979">
        <v>43844</v>
      </c>
      <c r="I979">
        <v>394596</v>
      </c>
      <c r="J979" t="s">
        <v>16</v>
      </c>
    </row>
    <row r="980" spans="1:10" x14ac:dyDescent="0.25">
      <c r="A980" t="s">
        <v>203</v>
      </c>
      <c r="B980" t="s">
        <v>11</v>
      </c>
      <c r="C980" t="s">
        <v>23</v>
      </c>
      <c r="D980" t="s">
        <v>24</v>
      </c>
      <c r="E980" t="s">
        <v>14</v>
      </c>
      <c r="F980" t="s">
        <v>40</v>
      </c>
      <c r="G980">
        <v>11</v>
      </c>
      <c r="H980">
        <v>48399</v>
      </c>
      <c r="I980">
        <v>532389</v>
      </c>
      <c r="J980" t="s">
        <v>16</v>
      </c>
    </row>
    <row r="981" spans="1:10" x14ac:dyDescent="0.25">
      <c r="A981" t="s">
        <v>373</v>
      </c>
      <c r="B981" t="s">
        <v>22</v>
      </c>
      <c r="C981" t="s">
        <v>12</v>
      </c>
      <c r="D981" t="s">
        <v>13</v>
      </c>
      <c r="E981" t="s">
        <v>19</v>
      </c>
      <c r="F981" t="s">
        <v>15</v>
      </c>
      <c r="G981">
        <v>1</v>
      </c>
      <c r="H981">
        <v>37499</v>
      </c>
      <c r="I981">
        <v>37499</v>
      </c>
      <c r="J981" t="s">
        <v>36</v>
      </c>
    </row>
    <row r="982" spans="1:10" x14ac:dyDescent="0.25">
      <c r="A982" t="s">
        <v>250</v>
      </c>
      <c r="B982" t="s">
        <v>33</v>
      </c>
      <c r="C982" t="s">
        <v>12</v>
      </c>
      <c r="D982" t="s">
        <v>24</v>
      </c>
      <c r="E982" t="s">
        <v>19</v>
      </c>
      <c r="F982" t="s">
        <v>15</v>
      </c>
      <c r="G982">
        <v>18</v>
      </c>
      <c r="H982">
        <v>22092</v>
      </c>
      <c r="I982">
        <v>397656</v>
      </c>
      <c r="J982" t="s">
        <v>20</v>
      </c>
    </row>
    <row r="983" spans="1:10" x14ac:dyDescent="0.25">
      <c r="A983" t="s">
        <v>324</v>
      </c>
      <c r="B983" t="s">
        <v>11</v>
      </c>
      <c r="C983" t="s">
        <v>12</v>
      </c>
      <c r="D983" t="s">
        <v>48</v>
      </c>
      <c r="E983" t="s">
        <v>19</v>
      </c>
      <c r="F983" t="s">
        <v>26</v>
      </c>
      <c r="G983">
        <v>13</v>
      </c>
      <c r="H983">
        <v>31539</v>
      </c>
      <c r="I983">
        <v>410007</v>
      </c>
      <c r="J983" t="s">
        <v>16</v>
      </c>
    </row>
    <row r="984" spans="1:10" x14ac:dyDescent="0.25">
      <c r="A984" t="s">
        <v>278</v>
      </c>
      <c r="B984" t="s">
        <v>18</v>
      </c>
      <c r="C984" t="s">
        <v>34</v>
      </c>
      <c r="D984" t="s">
        <v>39</v>
      </c>
      <c r="E984" t="s">
        <v>14</v>
      </c>
      <c r="F984" t="s">
        <v>15</v>
      </c>
      <c r="G984">
        <v>5</v>
      </c>
      <c r="H984">
        <v>20078</v>
      </c>
      <c r="I984">
        <v>100390</v>
      </c>
      <c r="J984" t="s">
        <v>16</v>
      </c>
    </row>
    <row r="985" spans="1:10" x14ac:dyDescent="0.25">
      <c r="A985" t="s">
        <v>361</v>
      </c>
      <c r="B985" t="s">
        <v>42</v>
      </c>
      <c r="C985" t="s">
        <v>38</v>
      </c>
      <c r="D985" t="s">
        <v>44</v>
      </c>
      <c r="E985" t="s">
        <v>30</v>
      </c>
      <c r="F985" t="s">
        <v>15</v>
      </c>
      <c r="G985">
        <v>14</v>
      </c>
      <c r="H985">
        <v>36418</v>
      </c>
      <c r="I985">
        <v>509852</v>
      </c>
      <c r="J985" t="s">
        <v>16</v>
      </c>
    </row>
    <row r="986" spans="1:10" x14ac:dyDescent="0.25">
      <c r="A986" t="s">
        <v>31</v>
      </c>
      <c r="B986" t="s">
        <v>42</v>
      </c>
      <c r="C986" t="s">
        <v>12</v>
      </c>
      <c r="D986" t="s">
        <v>44</v>
      </c>
      <c r="E986" t="s">
        <v>25</v>
      </c>
      <c r="F986" t="s">
        <v>40</v>
      </c>
      <c r="G986">
        <v>19</v>
      </c>
      <c r="H986">
        <v>44815</v>
      </c>
      <c r="I986">
        <v>851485</v>
      </c>
      <c r="J986" t="s">
        <v>16</v>
      </c>
    </row>
    <row r="987" spans="1:10" x14ac:dyDescent="0.25">
      <c r="A987" t="s">
        <v>262</v>
      </c>
      <c r="B987" t="s">
        <v>42</v>
      </c>
      <c r="C987" t="s">
        <v>34</v>
      </c>
      <c r="D987" t="s">
        <v>39</v>
      </c>
      <c r="E987" t="s">
        <v>25</v>
      </c>
      <c r="F987" t="s">
        <v>15</v>
      </c>
      <c r="G987">
        <v>19</v>
      </c>
      <c r="H987">
        <v>38234</v>
      </c>
      <c r="I987">
        <v>726446</v>
      </c>
      <c r="J987" t="s">
        <v>36</v>
      </c>
    </row>
    <row r="988" spans="1:10" x14ac:dyDescent="0.25">
      <c r="A988" t="s">
        <v>351</v>
      </c>
      <c r="B988" t="s">
        <v>22</v>
      </c>
      <c r="C988" t="s">
        <v>29</v>
      </c>
      <c r="D988" t="s">
        <v>44</v>
      </c>
      <c r="E988" t="s">
        <v>25</v>
      </c>
      <c r="F988" t="s">
        <v>26</v>
      </c>
      <c r="G988">
        <v>2</v>
      </c>
      <c r="H988">
        <v>27689</v>
      </c>
      <c r="I988">
        <v>55378</v>
      </c>
      <c r="J988" t="s">
        <v>16</v>
      </c>
    </row>
    <row r="989" spans="1:10" x14ac:dyDescent="0.25">
      <c r="A989" t="s">
        <v>279</v>
      </c>
      <c r="B989" t="s">
        <v>33</v>
      </c>
      <c r="C989" t="s">
        <v>12</v>
      </c>
      <c r="D989" t="s">
        <v>39</v>
      </c>
      <c r="E989" t="s">
        <v>25</v>
      </c>
      <c r="F989" t="s">
        <v>40</v>
      </c>
      <c r="G989">
        <v>7</v>
      </c>
      <c r="H989">
        <v>56681</v>
      </c>
      <c r="I989">
        <v>396767</v>
      </c>
      <c r="J989" t="s">
        <v>27</v>
      </c>
    </row>
    <row r="990" spans="1:10" x14ac:dyDescent="0.25">
      <c r="A990" t="s">
        <v>72</v>
      </c>
      <c r="B990" t="s">
        <v>33</v>
      </c>
      <c r="C990" t="s">
        <v>23</v>
      </c>
      <c r="D990" t="s">
        <v>48</v>
      </c>
      <c r="E990" t="s">
        <v>25</v>
      </c>
      <c r="F990" t="s">
        <v>15</v>
      </c>
      <c r="G990">
        <v>3</v>
      </c>
      <c r="H990">
        <v>32701</v>
      </c>
      <c r="I990">
        <v>98103</v>
      </c>
      <c r="J990" t="s">
        <v>27</v>
      </c>
    </row>
    <row r="991" spans="1:10" x14ac:dyDescent="0.25">
      <c r="A991" t="s">
        <v>58</v>
      </c>
      <c r="B991" t="s">
        <v>11</v>
      </c>
      <c r="C991" t="s">
        <v>12</v>
      </c>
      <c r="D991" t="s">
        <v>39</v>
      </c>
      <c r="E991" t="s">
        <v>30</v>
      </c>
      <c r="F991" t="s">
        <v>15</v>
      </c>
      <c r="G991">
        <v>15</v>
      </c>
      <c r="H991">
        <v>16943</v>
      </c>
      <c r="I991">
        <v>254145</v>
      </c>
      <c r="J991" t="s">
        <v>36</v>
      </c>
    </row>
    <row r="992" spans="1:10" x14ac:dyDescent="0.25">
      <c r="A992" t="s">
        <v>126</v>
      </c>
      <c r="B992" t="s">
        <v>11</v>
      </c>
      <c r="C992" t="s">
        <v>12</v>
      </c>
      <c r="D992" t="s">
        <v>44</v>
      </c>
      <c r="E992" t="s">
        <v>19</v>
      </c>
      <c r="F992" t="s">
        <v>40</v>
      </c>
      <c r="G992">
        <v>19</v>
      </c>
      <c r="H992">
        <v>24079</v>
      </c>
      <c r="I992">
        <v>457501</v>
      </c>
      <c r="J992" t="s">
        <v>27</v>
      </c>
    </row>
    <row r="993" spans="1:10" x14ac:dyDescent="0.25">
      <c r="A993" t="s">
        <v>316</v>
      </c>
      <c r="B993" t="s">
        <v>22</v>
      </c>
      <c r="C993" t="s">
        <v>23</v>
      </c>
      <c r="D993" t="s">
        <v>44</v>
      </c>
      <c r="E993" t="s">
        <v>35</v>
      </c>
      <c r="F993" t="s">
        <v>40</v>
      </c>
      <c r="G993">
        <v>12</v>
      </c>
      <c r="H993">
        <v>44797</v>
      </c>
      <c r="I993">
        <v>537564</v>
      </c>
      <c r="J993" t="s">
        <v>36</v>
      </c>
    </row>
    <row r="994" spans="1:10" x14ac:dyDescent="0.25">
      <c r="A994" t="s">
        <v>203</v>
      </c>
      <c r="B994" t="s">
        <v>22</v>
      </c>
      <c r="C994" t="s">
        <v>23</v>
      </c>
      <c r="D994" t="s">
        <v>39</v>
      </c>
      <c r="E994" t="s">
        <v>14</v>
      </c>
      <c r="F994" t="s">
        <v>15</v>
      </c>
      <c r="G994">
        <v>17</v>
      </c>
      <c r="H994">
        <v>39662</v>
      </c>
      <c r="I994">
        <v>674254</v>
      </c>
      <c r="J994" t="s">
        <v>36</v>
      </c>
    </row>
    <row r="995" spans="1:10" x14ac:dyDescent="0.25">
      <c r="A995" t="s">
        <v>124</v>
      </c>
      <c r="B995" t="s">
        <v>11</v>
      </c>
      <c r="C995" t="s">
        <v>12</v>
      </c>
      <c r="D995" t="s">
        <v>48</v>
      </c>
      <c r="E995" t="s">
        <v>25</v>
      </c>
      <c r="F995" t="s">
        <v>40</v>
      </c>
      <c r="G995">
        <v>16</v>
      </c>
      <c r="H995">
        <v>45846</v>
      </c>
      <c r="I995">
        <v>733536</v>
      </c>
      <c r="J995" t="s">
        <v>20</v>
      </c>
    </row>
    <row r="996" spans="1:10" x14ac:dyDescent="0.25">
      <c r="A996" t="s">
        <v>290</v>
      </c>
      <c r="B996" t="s">
        <v>22</v>
      </c>
      <c r="C996" t="s">
        <v>29</v>
      </c>
      <c r="D996" t="s">
        <v>24</v>
      </c>
      <c r="E996" t="s">
        <v>19</v>
      </c>
      <c r="F996" t="s">
        <v>15</v>
      </c>
      <c r="G996">
        <v>3</v>
      </c>
      <c r="H996">
        <v>19009</v>
      </c>
      <c r="I996">
        <v>57027</v>
      </c>
      <c r="J996" t="s">
        <v>27</v>
      </c>
    </row>
    <row r="997" spans="1:10" x14ac:dyDescent="0.25">
      <c r="A997" t="s">
        <v>332</v>
      </c>
      <c r="B997" t="s">
        <v>18</v>
      </c>
      <c r="C997" t="s">
        <v>12</v>
      </c>
      <c r="D997" t="s">
        <v>39</v>
      </c>
      <c r="E997" t="s">
        <v>30</v>
      </c>
      <c r="F997" t="s">
        <v>15</v>
      </c>
      <c r="G997">
        <v>1</v>
      </c>
      <c r="H997">
        <v>59790</v>
      </c>
      <c r="I997">
        <v>59790</v>
      </c>
      <c r="J997" t="s">
        <v>27</v>
      </c>
    </row>
    <row r="998" spans="1:10" x14ac:dyDescent="0.25">
      <c r="A998" t="s">
        <v>233</v>
      </c>
      <c r="B998" t="s">
        <v>42</v>
      </c>
      <c r="C998" t="s">
        <v>34</v>
      </c>
      <c r="D998" t="s">
        <v>24</v>
      </c>
      <c r="E998" t="s">
        <v>30</v>
      </c>
      <c r="F998" t="s">
        <v>40</v>
      </c>
      <c r="G998">
        <v>1</v>
      </c>
      <c r="H998">
        <v>57236</v>
      </c>
      <c r="I998">
        <v>57236</v>
      </c>
      <c r="J998" t="s">
        <v>16</v>
      </c>
    </row>
    <row r="999" spans="1:10" x14ac:dyDescent="0.25">
      <c r="A999" t="s">
        <v>374</v>
      </c>
      <c r="B999" t="s">
        <v>18</v>
      </c>
      <c r="C999" t="s">
        <v>23</v>
      </c>
      <c r="D999" t="s">
        <v>39</v>
      </c>
      <c r="E999" t="s">
        <v>14</v>
      </c>
      <c r="F999" t="s">
        <v>40</v>
      </c>
      <c r="G999">
        <v>2</v>
      </c>
      <c r="H999">
        <v>45234</v>
      </c>
      <c r="I999">
        <v>90468</v>
      </c>
      <c r="J999" t="s">
        <v>16</v>
      </c>
    </row>
    <row r="1000" spans="1:10" x14ac:dyDescent="0.25">
      <c r="A1000" t="s">
        <v>300</v>
      </c>
      <c r="B1000" t="s">
        <v>22</v>
      </c>
      <c r="C1000" t="s">
        <v>29</v>
      </c>
      <c r="D1000" t="s">
        <v>39</v>
      </c>
      <c r="E1000" t="s">
        <v>19</v>
      </c>
      <c r="F1000" t="s">
        <v>15</v>
      </c>
      <c r="G1000">
        <v>7</v>
      </c>
      <c r="H1000">
        <v>20376</v>
      </c>
      <c r="I1000">
        <v>142632</v>
      </c>
      <c r="J1000" t="s">
        <v>36</v>
      </c>
    </row>
    <row r="1001" spans="1:10" x14ac:dyDescent="0.25">
      <c r="A1001" t="s">
        <v>78</v>
      </c>
      <c r="B1001" t="s">
        <v>22</v>
      </c>
      <c r="C1001" t="s">
        <v>38</v>
      </c>
      <c r="D1001" t="s">
        <v>44</v>
      </c>
      <c r="E1001" t="s">
        <v>35</v>
      </c>
      <c r="F1001" t="s">
        <v>26</v>
      </c>
      <c r="G1001">
        <v>17</v>
      </c>
      <c r="H1001">
        <v>19400</v>
      </c>
      <c r="I1001">
        <v>329800</v>
      </c>
      <c r="J1001" t="s">
        <v>20</v>
      </c>
    </row>
    <row r="1002" spans="1:10" x14ac:dyDescent="0.25">
      <c r="A1002" t="s">
        <v>134</v>
      </c>
      <c r="B1002" t="s">
        <v>33</v>
      </c>
      <c r="C1002" t="s">
        <v>38</v>
      </c>
      <c r="D1002" t="s">
        <v>13</v>
      </c>
      <c r="E1002" t="s">
        <v>25</v>
      </c>
      <c r="F1002" t="s">
        <v>26</v>
      </c>
      <c r="G1002">
        <v>15</v>
      </c>
      <c r="H1002">
        <v>26580</v>
      </c>
      <c r="I1002">
        <v>398700</v>
      </c>
      <c r="J1002" t="s">
        <v>20</v>
      </c>
    </row>
    <row r="1003" spans="1:10" x14ac:dyDescent="0.25">
      <c r="A1003" t="s">
        <v>126</v>
      </c>
      <c r="B1003" t="s">
        <v>42</v>
      </c>
      <c r="C1003" t="s">
        <v>12</v>
      </c>
      <c r="D1003" t="s">
        <v>24</v>
      </c>
      <c r="E1003" t="s">
        <v>14</v>
      </c>
      <c r="F1003" t="s">
        <v>40</v>
      </c>
      <c r="G1003">
        <v>7</v>
      </c>
      <c r="H1003">
        <v>54155</v>
      </c>
      <c r="I1003">
        <v>379085</v>
      </c>
      <c r="J1003" t="s">
        <v>36</v>
      </c>
    </row>
    <row r="1004" spans="1:10" x14ac:dyDescent="0.25">
      <c r="A1004" t="s">
        <v>243</v>
      </c>
      <c r="B1004" t="s">
        <v>42</v>
      </c>
      <c r="C1004" t="s">
        <v>34</v>
      </c>
      <c r="D1004" t="s">
        <v>48</v>
      </c>
      <c r="E1004" t="s">
        <v>25</v>
      </c>
      <c r="F1004" t="s">
        <v>26</v>
      </c>
      <c r="G1004">
        <v>10</v>
      </c>
      <c r="H1004">
        <v>48254</v>
      </c>
      <c r="I1004">
        <v>482540</v>
      </c>
      <c r="J1004" t="s">
        <v>20</v>
      </c>
    </row>
    <row r="1005" spans="1:10" x14ac:dyDescent="0.25">
      <c r="A1005" t="s">
        <v>37</v>
      </c>
      <c r="B1005" t="s">
        <v>18</v>
      </c>
      <c r="C1005" t="s">
        <v>23</v>
      </c>
      <c r="D1005" t="s">
        <v>48</v>
      </c>
      <c r="E1005" t="s">
        <v>14</v>
      </c>
      <c r="F1005" t="s">
        <v>40</v>
      </c>
      <c r="G1005">
        <v>20</v>
      </c>
      <c r="H1005">
        <v>43175</v>
      </c>
      <c r="I1005">
        <v>863500</v>
      </c>
      <c r="J1005" t="s">
        <v>27</v>
      </c>
    </row>
    <row r="1006" spans="1:10" x14ac:dyDescent="0.25">
      <c r="A1006" t="s">
        <v>240</v>
      </c>
      <c r="B1006" t="s">
        <v>33</v>
      </c>
      <c r="C1006" t="s">
        <v>29</v>
      </c>
      <c r="D1006" t="s">
        <v>39</v>
      </c>
      <c r="E1006" t="s">
        <v>25</v>
      </c>
      <c r="F1006" t="s">
        <v>26</v>
      </c>
      <c r="G1006">
        <v>15</v>
      </c>
      <c r="H1006">
        <v>49444</v>
      </c>
      <c r="I1006">
        <v>741660</v>
      </c>
      <c r="J1006" t="s">
        <v>36</v>
      </c>
    </row>
    <row r="1007" spans="1:10" x14ac:dyDescent="0.25">
      <c r="A1007" t="s">
        <v>211</v>
      </c>
      <c r="B1007" t="s">
        <v>42</v>
      </c>
      <c r="C1007" t="s">
        <v>23</v>
      </c>
      <c r="D1007" t="s">
        <v>24</v>
      </c>
      <c r="E1007" t="s">
        <v>19</v>
      </c>
      <c r="F1007" t="s">
        <v>26</v>
      </c>
      <c r="G1007">
        <v>16</v>
      </c>
      <c r="H1007">
        <v>42935</v>
      </c>
      <c r="I1007">
        <v>686960</v>
      </c>
      <c r="J1007" t="s">
        <v>36</v>
      </c>
    </row>
    <row r="1008" spans="1:10" x14ac:dyDescent="0.25">
      <c r="A1008" t="s">
        <v>103</v>
      </c>
      <c r="B1008" t="s">
        <v>42</v>
      </c>
      <c r="C1008" t="s">
        <v>23</v>
      </c>
      <c r="D1008" t="s">
        <v>13</v>
      </c>
      <c r="E1008" t="s">
        <v>35</v>
      </c>
      <c r="F1008" t="s">
        <v>40</v>
      </c>
      <c r="G1008">
        <v>16</v>
      </c>
      <c r="H1008">
        <v>55433</v>
      </c>
      <c r="I1008">
        <v>886928</v>
      </c>
      <c r="J1008" t="s">
        <v>36</v>
      </c>
    </row>
    <row r="1009" spans="1:10" x14ac:dyDescent="0.25">
      <c r="A1009" t="s">
        <v>181</v>
      </c>
      <c r="B1009" t="s">
        <v>33</v>
      </c>
      <c r="C1009" t="s">
        <v>23</v>
      </c>
      <c r="D1009" t="s">
        <v>39</v>
      </c>
      <c r="E1009" t="s">
        <v>14</v>
      </c>
      <c r="F1009" t="s">
        <v>40</v>
      </c>
      <c r="G1009">
        <v>3</v>
      </c>
      <c r="H1009">
        <v>17925</v>
      </c>
      <c r="I1009">
        <v>53775</v>
      </c>
      <c r="J1009" t="s">
        <v>36</v>
      </c>
    </row>
    <row r="1010" spans="1:10" x14ac:dyDescent="0.25">
      <c r="A1010" t="s">
        <v>182</v>
      </c>
      <c r="B1010" t="s">
        <v>42</v>
      </c>
      <c r="C1010" t="s">
        <v>34</v>
      </c>
      <c r="D1010" t="s">
        <v>13</v>
      </c>
      <c r="E1010" t="s">
        <v>25</v>
      </c>
      <c r="F1010" t="s">
        <v>26</v>
      </c>
      <c r="G1010">
        <v>6</v>
      </c>
      <c r="H1010">
        <v>18406</v>
      </c>
      <c r="I1010">
        <v>110436</v>
      </c>
      <c r="J1010" t="s">
        <v>20</v>
      </c>
    </row>
    <row r="1011" spans="1:10" x14ac:dyDescent="0.25">
      <c r="A1011" t="s">
        <v>282</v>
      </c>
      <c r="B1011" t="s">
        <v>22</v>
      </c>
      <c r="C1011" t="s">
        <v>23</v>
      </c>
      <c r="D1011" t="s">
        <v>24</v>
      </c>
      <c r="E1011" t="s">
        <v>25</v>
      </c>
      <c r="F1011" t="s">
        <v>15</v>
      </c>
      <c r="G1011">
        <v>1</v>
      </c>
      <c r="H1011">
        <v>21961</v>
      </c>
      <c r="I1011">
        <v>21961</v>
      </c>
      <c r="J1011" t="s">
        <v>27</v>
      </c>
    </row>
    <row r="1012" spans="1:10" x14ac:dyDescent="0.25">
      <c r="A1012" t="s">
        <v>80</v>
      </c>
      <c r="B1012" t="s">
        <v>42</v>
      </c>
      <c r="C1012" t="s">
        <v>23</v>
      </c>
      <c r="D1012" t="s">
        <v>48</v>
      </c>
      <c r="E1012" t="s">
        <v>30</v>
      </c>
      <c r="F1012" t="s">
        <v>40</v>
      </c>
      <c r="G1012">
        <v>11</v>
      </c>
      <c r="H1012">
        <v>21318</v>
      </c>
      <c r="I1012">
        <v>234498</v>
      </c>
      <c r="J1012" t="s">
        <v>27</v>
      </c>
    </row>
    <row r="1013" spans="1:10" x14ac:dyDescent="0.25">
      <c r="A1013" t="s">
        <v>150</v>
      </c>
      <c r="B1013" t="s">
        <v>42</v>
      </c>
      <c r="C1013" t="s">
        <v>23</v>
      </c>
      <c r="D1013" t="s">
        <v>13</v>
      </c>
      <c r="E1013" t="s">
        <v>25</v>
      </c>
      <c r="F1013" t="s">
        <v>26</v>
      </c>
      <c r="G1013">
        <v>10</v>
      </c>
      <c r="H1013">
        <v>25532</v>
      </c>
      <c r="I1013">
        <v>255320</v>
      </c>
      <c r="J1013" t="s">
        <v>27</v>
      </c>
    </row>
    <row r="1014" spans="1:10" x14ac:dyDescent="0.25">
      <c r="A1014" t="s">
        <v>60</v>
      </c>
      <c r="B1014" t="s">
        <v>22</v>
      </c>
      <c r="C1014" t="s">
        <v>38</v>
      </c>
      <c r="D1014" t="s">
        <v>24</v>
      </c>
      <c r="E1014" t="s">
        <v>35</v>
      </c>
      <c r="F1014" t="s">
        <v>26</v>
      </c>
      <c r="G1014">
        <v>13</v>
      </c>
      <c r="H1014">
        <v>53147</v>
      </c>
      <c r="I1014">
        <v>690911</v>
      </c>
      <c r="J1014" t="s">
        <v>27</v>
      </c>
    </row>
    <row r="1015" spans="1:10" x14ac:dyDescent="0.25">
      <c r="A1015" t="s">
        <v>346</v>
      </c>
      <c r="B1015" t="s">
        <v>22</v>
      </c>
      <c r="C1015" t="s">
        <v>23</v>
      </c>
      <c r="D1015" t="s">
        <v>39</v>
      </c>
      <c r="E1015" t="s">
        <v>14</v>
      </c>
      <c r="F1015" t="s">
        <v>15</v>
      </c>
      <c r="G1015">
        <v>11</v>
      </c>
      <c r="H1015">
        <v>44104</v>
      </c>
      <c r="I1015">
        <v>485144</v>
      </c>
      <c r="J1015" t="s">
        <v>27</v>
      </c>
    </row>
    <row r="1016" spans="1:10" x14ac:dyDescent="0.25">
      <c r="A1016" t="s">
        <v>168</v>
      </c>
      <c r="B1016" t="s">
        <v>33</v>
      </c>
      <c r="C1016" t="s">
        <v>34</v>
      </c>
      <c r="D1016" t="s">
        <v>13</v>
      </c>
      <c r="E1016" t="s">
        <v>30</v>
      </c>
      <c r="F1016" t="s">
        <v>26</v>
      </c>
      <c r="G1016">
        <v>1</v>
      </c>
      <c r="H1016">
        <v>47358</v>
      </c>
      <c r="I1016">
        <v>47358</v>
      </c>
      <c r="J1016" t="s">
        <v>36</v>
      </c>
    </row>
    <row r="1017" spans="1:10" x14ac:dyDescent="0.25">
      <c r="A1017" t="s">
        <v>293</v>
      </c>
      <c r="B1017" t="s">
        <v>22</v>
      </c>
      <c r="C1017" t="s">
        <v>34</v>
      </c>
      <c r="D1017" t="s">
        <v>44</v>
      </c>
      <c r="E1017" t="s">
        <v>14</v>
      </c>
      <c r="F1017" t="s">
        <v>26</v>
      </c>
      <c r="G1017">
        <v>18</v>
      </c>
      <c r="H1017">
        <v>37818</v>
      </c>
      <c r="I1017">
        <v>680724</v>
      </c>
      <c r="J1017" t="s">
        <v>20</v>
      </c>
    </row>
    <row r="1018" spans="1:10" x14ac:dyDescent="0.25">
      <c r="A1018" t="s">
        <v>196</v>
      </c>
      <c r="B1018" t="s">
        <v>22</v>
      </c>
      <c r="C1018" t="s">
        <v>23</v>
      </c>
      <c r="D1018" t="s">
        <v>44</v>
      </c>
      <c r="E1018" t="s">
        <v>25</v>
      </c>
      <c r="F1018" t="s">
        <v>26</v>
      </c>
      <c r="G1018">
        <v>8</v>
      </c>
      <c r="H1018">
        <v>34758</v>
      </c>
      <c r="I1018">
        <v>278064</v>
      </c>
      <c r="J1018" t="s">
        <v>27</v>
      </c>
    </row>
    <row r="1019" spans="1:10" x14ac:dyDescent="0.25">
      <c r="A1019" t="s">
        <v>345</v>
      </c>
      <c r="B1019" t="s">
        <v>18</v>
      </c>
      <c r="C1019" t="s">
        <v>12</v>
      </c>
      <c r="D1019" t="s">
        <v>13</v>
      </c>
      <c r="E1019" t="s">
        <v>14</v>
      </c>
      <c r="F1019" t="s">
        <v>26</v>
      </c>
      <c r="G1019">
        <v>19</v>
      </c>
      <c r="H1019">
        <v>32944</v>
      </c>
      <c r="I1019">
        <v>625936</v>
      </c>
      <c r="J1019" t="s">
        <v>27</v>
      </c>
    </row>
    <row r="1020" spans="1:10" x14ac:dyDescent="0.25">
      <c r="A1020" t="s">
        <v>117</v>
      </c>
      <c r="B1020" t="s">
        <v>33</v>
      </c>
      <c r="C1020" t="s">
        <v>34</v>
      </c>
      <c r="D1020" t="s">
        <v>39</v>
      </c>
      <c r="E1020" t="s">
        <v>35</v>
      </c>
      <c r="F1020" t="s">
        <v>15</v>
      </c>
      <c r="G1020">
        <v>15</v>
      </c>
      <c r="H1020">
        <v>30118</v>
      </c>
      <c r="I1020">
        <v>451770</v>
      </c>
      <c r="J1020" t="s">
        <v>36</v>
      </c>
    </row>
    <row r="1021" spans="1:10" x14ac:dyDescent="0.25">
      <c r="A1021" t="s">
        <v>358</v>
      </c>
      <c r="B1021" t="s">
        <v>18</v>
      </c>
      <c r="C1021" t="s">
        <v>23</v>
      </c>
      <c r="D1021" t="s">
        <v>48</v>
      </c>
      <c r="E1021" t="s">
        <v>30</v>
      </c>
      <c r="F1021" t="s">
        <v>26</v>
      </c>
      <c r="G1021">
        <v>6</v>
      </c>
      <c r="H1021">
        <v>53102</v>
      </c>
      <c r="I1021">
        <v>318612</v>
      </c>
      <c r="J1021" t="s">
        <v>36</v>
      </c>
    </row>
    <row r="1022" spans="1:10" x14ac:dyDescent="0.25">
      <c r="A1022" t="s">
        <v>323</v>
      </c>
      <c r="B1022" t="s">
        <v>42</v>
      </c>
      <c r="C1022" t="s">
        <v>38</v>
      </c>
      <c r="D1022" t="s">
        <v>44</v>
      </c>
      <c r="E1022" t="s">
        <v>14</v>
      </c>
      <c r="F1022" t="s">
        <v>15</v>
      </c>
      <c r="G1022">
        <v>20</v>
      </c>
      <c r="H1022">
        <v>17524</v>
      </c>
      <c r="I1022">
        <v>350480</v>
      </c>
      <c r="J1022" t="s">
        <v>16</v>
      </c>
    </row>
    <row r="1023" spans="1:10" x14ac:dyDescent="0.25">
      <c r="A1023" t="s">
        <v>355</v>
      </c>
      <c r="B1023" t="s">
        <v>33</v>
      </c>
      <c r="C1023" t="s">
        <v>38</v>
      </c>
      <c r="D1023" t="s">
        <v>44</v>
      </c>
      <c r="E1023" t="s">
        <v>19</v>
      </c>
      <c r="F1023" t="s">
        <v>26</v>
      </c>
      <c r="G1023">
        <v>12</v>
      </c>
      <c r="H1023">
        <v>19449</v>
      </c>
      <c r="I1023">
        <v>233388</v>
      </c>
      <c r="J1023" t="s">
        <v>36</v>
      </c>
    </row>
    <row r="1024" spans="1:10" x14ac:dyDescent="0.25">
      <c r="A1024" t="s">
        <v>375</v>
      </c>
      <c r="B1024" t="s">
        <v>18</v>
      </c>
      <c r="C1024" t="s">
        <v>34</v>
      </c>
      <c r="D1024" t="s">
        <v>48</v>
      </c>
      <c r="E1024" t="s">
        <v>30</v>
      </c>
      <c r="F1024" t="s">
        <v>26</v>
      </c>
      <c r="G1024">
        <v>14</v>
      </c>
      <c r="H1024">
        <v>42700</v>
      </c>
      <c r="I1024">
        <v>597800</v>
      </c>
      <c r="J1024" t="s">
        <v>16</v>
      </c>
    </row>
    <row r="1025" spans="1:10" x14ac:dyDescent="0.25">
      <c r="A1025" t="s">
        <v>301</v>
      </c>
      <c r="B1025" t="s">
        <v>33</v>
      </c>
      <c r="C1025" t="s">
        <v>12</v>
      </c>
      <c r="D1025" t="s">
        <v>48</v>
      </c>
      <c r="E1025" t="s">
        <v>30</v>
      </c>
      <c r="F1025" t="s">
        <v>26</v>
      </c>
      <c r="G1025">
        <v>16</v>
      </c>
      <c r="H1025">
        <v>51025</v>
      </c>
      <c r="I1025">
        <v>816400</v>
      </c>
      <c r="J1025" t="s">
        <v>16</v>
      </c>
    </row>
    <row r="1026" spans="1:10" x14ac:dyDescent="0.25">
      <c r="A1026" t="s">
        <v>222</v>
      </c>
      <c r="B1026" t="s">
        <v>22</v>
      </c>
      <c r="C1026" t="s">
        <v>12</v>
      </c>
      <c r="D1026" t="s">
        <v>13</v>
      </c>
      <c r="E1026" t="s">
        <v>30</v>
      </c>
      <c r="F1026" t="s">
        <v>40</v>
      </c>
      <c r="G1026">
        <v>18</v>
      </c>
      <c r="H1026">
        <v>25963</v>
      </c>
      <c r="I1026">
        <v>467334</v>
      </c>
      <c r="J1026" t="s">
        <v>20</v>
      </c>
    </row>
    <row r="1027" spans="1:10" x14ac:dyDescent="0.25">
      <c r="A1027" t="s">
        <v>262</v>
      </c>
      <c r="B1027" t="s">
        <v>22</v>
      </c>
      <c r="C1027" t="s">
        <v>38</v>
      </c>
      <c r="D1027" t="s">
        <v>24</v>
      </c>
      <c r="E1027" t="s">
        <v>19</v>
      </c>
      <c r="F1027" t="s">
        <v>26</v>
      </c>
      <c r="G1027">
        <v>13</v>
      </c>
      <c r="H1027">
        <v>24910</v>
      </c>
      <c r="I1027">
        <v>323830</v>
      </c>
      <c r="J1027" t="s">
        <v>16</v>
      </c>
    </row>
    <row r="1028" spans="1:10" x14ac:dyDescent="0.25">
      <c r="A1028" t="s">
        <v>323</v>
      </c>
      <c r="B1028" t="s">
        <v>11</v>
      </c>
      <c r="C1028" t="s">
        <v>23</v>
      </c>
      <c r="D1028" t="s">
        <v>39</v>
      </c>
      <c r="E1028" t="s">
        <v>14</v>
      </c>
      <c r="F1028" t="s">
        <v>40</v>
      </c>
      <c r="G1028">
        <v>3</v>
      </c>
      <c r="H1028">
        <v>51375</v>
      </c>
      <c r="I1028">
        <v>154125</v>
      </c>
      <c r="J1028" t="s">
        <v>27</v>
      </c>
    </row>
    <row r="1029" spans="1:10" x14ac:dyDescent="0.25">
      <c r="A1029" t="s">
        <v>218</v>
      </c>
      <c r="B1029" t="s">
        <v>22</v>
      </c>
      <c r="C1029" t="s">
        <v>23</v>
      </c>
      <c r="D1029" t="s">
        <v>48</v>
      </c>
      <c r="E1029" t="s">
        <v>19</v>
      </c>
      <c r="F1029" t="s">
        <v>40</v>
      </c>
      <c r="G1029">
        <v>16</v>
      </c>
      <c r="H1029">
        <v>15349</v>
      </c>
      <c r="I1029">
        <v>245584</v>
      </c>
      <c r="J1029" t="s">
        <v>27</v>
      </c>
    </row>
    <row r="1030" spans="1:10" x14ac:dyDescent="0.25">
      <c r="A1030" t="s">
        <v>250</v>
      </c>
      <c r="B1030" t="s">
        <v>18</v>
      </c>
      <c r="C1030" t="s">
        <v>12</v>
      </c>
      <c r="D1030" t="s">
        <v>44</v>
      </c>
      <c r="E1030" t="s">
        <v>30</v>
      </c>
      <c r="F1030" t="s">
        <v>40</v>
      </c>
      <c r="G1030">
        <v>3</v>
      </c>
      <c r="H1030">
        <v>54646</v>
      </c>
      <c r="I1030">
        <v>163938</v>
      </c>
      <c r="J1030" t="s">
        <v>36</v>
      </c>
    </row>
    <row r="1031" spans="1:10" x14ac:dyDescent="0.25">
      <c r="A1031" t="s">
        <v>342</v>
      </c>
      <c r="B1031" t="s">
        <v>18</v>
      </c>
      <c r="C1031" t="s">
        <v>12</v>
      </c>
      <c r="D1031" t="s">
        <v>13</v>
      </c>
      <c r="E1031" t="s">
        <v>30</v>
      </c>
      <c r="F1031" t="s">
        <v>26</v>
      </c>
      <c r="G1031">
        <v>2</v>
      </c>
      <c r="H1031">
        <v>55961</v>
      </c>
      <c r="I1031">
        <v>111922</v>
      </c>
      <c r="J1031" t="s">
        <v>20</v>
      </c>
    </row>
    <row r="1032" spans="1:10" x14ac:dyDescent="0.25">
      <c r="A1032" t="s">
        <v>335</v>
      </c>
      <c r="B1032" t="s">
        <v>18</v>
      </c>
      <c r="C1032" t="s">
        <v>34</v>
      </c>
      <c r="D1032" t="s">
        <v>48</v>
      </c>
      <c r="E1032" t="s">
        <v>35</v>
      </c>
      <c r="F1032" t="s">
        <v>15</v>
      </c>
      <c r="G1032">
        <v>7</v>
      </c>
      <c r="H1032">
        <v>51559</v>
      </c>
      <c r="I1032">
        <v>360913</v>
      </c>
      <c r="J1032" t="s">
        <v>27</v>
      </c>
    </row>
    <row r="1033" spans="1:10" x14ac:dyDescent="0.25">
      <c r="A1033" t="s">
        <v>376</v>
      </c>
      <c r="B1033" t="s">
        <v>22</v>
      </c>
      <c r="C1033" t="s">
        <v>23</v>
      </c>
      <c r="D1033" t="s">
        <v>48</v>
      </c>
      <c r="E1033" t="s">
        <v>35</v>
      </c>
      <c r="F1033" t="s">
        <v>15</v>
      </c>
      <c r="G1033">
        <v>16</v>
      </c>
      <c r="H1033">
        <v>37007</v>
      </c>
      <c r="I1033">
        <v>592112</v>
      </c>
      <c r="J1033" t="s">
        <v>27</v>
      </c>
    </row>
    <row r="1034" spans="1:10" x14ac:dyDescent="0.25">
      <c r="A1034" t="s">
        <v>214</v>
      </c>
      <c r="B1034" t="s">
        <v>22</v>
      </c>
      <c r="C1034" t="s">
        <v>34</v>
      </c>
      <c r="D1034" t="s">
        <v>24</v>
      </c>
      <c r="E1034" t="s">
        <v>35</v>
      </c>
      <c r="F1034" t="s">
        <v>26</v>
      </c>
      <c r="G1034">
        <v>18</v>
      </c>
      <c r="H1034">
        <v>54676</v>
      </c>
      <c r="I1034">
        <v>984168</v>
      </c>
      <c r="J1034" t="s">
        <v>36</v>
      </c>
    </row>
    <row r="1035" spans="1:10" x14ac:dyDescent="0.25">
      <c r="A1035" t="s">
        <v>186</v>
      </c>
      <c r="B1035" t="s">
        <v>33</v>
      </c>
      <c r="C1035" t="s">
        <v>12</v>
      </c>
      <c r="D1035" t="s">
        <v>48</v>
      </c>
      <c r="E1035" t="s">
        <v>14</v>
      </c>
      <c r="F1035" t="s">
        <v>40</v>
      </c>
      <c r="G1035">
        <v>12</v>
      </c>
      <c r="H1035">
        <v>23505</v>
      </c>
      <c r="I1035">
        <v>282060</v>
      </c>
      <c r="J1035" t="s">
        <v>20</v>
      </c>
    </row>
    <row r="1036" spans="1:10" x14ac:dyDescent="0.25">
      <c r="A1036" t="s">
        <v>79</v>
      </c>
      <c r="B1036" t="s">
        <v>22</v>
      </c>
      <c r="C1036" t="s">
        <v>38</v>
      </c>
      <c r="D1036" t="s">
        <v>13</v>
      </c>
      <c r="E1036" t="s">
        <v>25</v>
      </c>
      <c r="F1036" t="s">
        <v>15</v>
      </c>
      <c r="G1036">
        <v>7</v>
      </c>
      <c r="H1036">
        <v>32094</v>
      </c>
      <c r="I1036">
        <v>224658</v>
      </c>
      <c r="J1036" t="s">
        <v>16</v>
      </c>
    </row>
    <row r="1037" spans="1:10" x14ac:dyDescent="0.25">
      <c r="A1037" t="s">
        <v>116</v>
      </c>
      <c r="B1037" t="s">
        <v>11</v>
      </c>
      <c r="C1037" t="s">
        <v>38</v>
      </c>
      <c r="D1037" t="s">
        <v>48</v>
      </c>
      <c r="E1037" t="s">
        <v>14</v>
      </c>
      <c r="F1037" t="s">
        <v>15</v>
      </c>
      <c r="G1037">
        <v>15</v>
      </c>
      <c r="H1037">
        <v>19489</v>
      </c>
      <c r="I1037">
        <v>292335</v>
      </c>
      <c r="J1037" t="s">
        <v>20</v>
      </c>
    </row>
    <row r="1038" spans="1:10" x14ac:dyDescent="0.25">
      <c r="A1038" t="s">
        <v>278</v>
      </c>
      <c r="B1038" t="s">
        <v>11</v>
      </c>
      <c r="C1038" t="s">
        <v>29</v>
      </c>
      <c r="D1038" t="s">
        <v>24</v>
      </c>
      <c r="E1038" t="s">
        <v>14</v>
      </c>
      <c r="F1038" t="s">
        <v>15</v>
      </c>
      <c r="G1038">
        <v>8</v>
      </c>
      <c r="H1038">
        <v>40102</v>
      </c>
      <c r="I1038">
        <v>320816</v>
      </c>
      <c r="J1038" t="s">
        <v>27</v>
      </c>
    </row>
    <row r="1039" spans="1:10" x14ac:dyDescent="0.25">
      <c r="A1039" t="s">
        <v>230</v>
      </c>
      <c r="B1039" t="s">
        <v>18</v>
      </c>
      <c r="C1039" t="s">
        <v>29</v>
      </c>
      <c r="D1039" t="s">
        <v>48</v>
      </c>
      <c r="E1039" t="s">
        <v>35</v>
      </c>
      <c r="F1039" t="s">
        <v>40</v>
      </c>
      <c r="G1039">
        <v>8</v>
      </c>
      <c r="H1039">
        <v>39400</v>
      </c>
      <c r="I1039">
        <v>315200</v>
      </c>
      <c r="J1039" t="s">
        <v>16</v>
      </c>
    </row>
    <row r="1040" spans="1:10" x14ac:dyDescent="0.25">
      <c r="A1040" t="s">
        <v>71</v>
      </c>
      <c r="B1040" t="s">
        <v>22</v>
      </c>
      <c r="C1040" t="s">
        <v>34</v>
      </c>
      <c r="D1040" t="s">
        <v>13</v>
      </c>
      <c r="E1040" t="s">
        <v>25</v>
      </c>
      <c r="F1040" t="s">
        <v>40</v>
      </c>
      <c r="G1040">
        <v>13</v>
      </c>
      <c r="H1040">
        <v>39861</v>
      </c>
      <c r="I1040">
        <v>518193</v>
      </c>
      <c r="J1040" t="s">
        <v>16</v>
      </c>
    </row>
    <row r="1041" spans="1:10" x14ac:dyDescent="0.25">
      <c r="A1041" t="s">
        <v>227</v>
      </c>
      <c r="B1041" t="s">
        <v>11</v>
      </c>
      <c r="C1041" t="s">
        <v>12</v>
      </c>
      <c r="D1041" t="s">
        <v>24</v>
      </c>
      <c r="E1041" t="s">
        <v>30</v>
      </c>
      <c r="F1041" t="s">
        <v>40</v>
      </c>
      <c r="G1041">
        <v>4</v>
      </c>
      <c r="H1041">
        <v>44931</v>
      </c>
      <c r="I1041">
        <v>179724</v>
      </c>
      <c r="J1041" t="s">
        <v>27</v>
      </c>
    </row>
    <row r="1042" spans="1:10" x14ac:dyDescent="0.25">
      <c r="A1042" t="s">
        <v>213</v>
      </c>
      <c r="B1042" t="s">
        <v>42</v>
      </c>
      <c r="C1042" t="s">
        <v>34</v>
      </c>
      <c r="D1042" t="s">
        <v>39</v>
      </c>
      <c r="E1042" t="s">
        <v>19</v>
      </c>
      <c r="F1042" t="s">
        <v>15</v>
      </c>
      <c r="G1042">
        <v>9</v>
      </c>
      <c r="H1042">
        <v>21550</v>
      </c>
      <c r="I1042">
        <v>193950</v>
      </c>
      <c r="J1042" t="s">
        <v>16</v>
      </c>
    </row>
    <row r="1043" spans="1:10" x14ac:dyDescent="0.25">
      <c r="A1043" t="s">
        <v>43</v>
      </c>
      <c r="B1043" t="s">
        <v>18</v>
      </c>
      <c r="C1043" t="s">
        <v>12</v>
      </c>
      <c r="D1043" t="s">
        <v>44</v>
      </c>
      <c r="E1043" t="s">
        <v>30</v>
      </c>
      <c r="F1043" t="s">
        <v>40</v>
      </c>
      <c r="G1043">
        <v>14</v>
      </c>
      <c r="H1043">
        <v>53625</v>
      </c>
      <c r="I1043">
        <v>750750</v>
      </c>
      <c r="J1043" t="s">
        <v>16</v>
      </c>
    </row>
    <row r="1044" spans="1:10" x14ac:dyDescent="0.25">
      <c r="A1044" t="s">
        <v>196</v>
      </c>
      <c r="B1044" t="s">
        <v>22</v>
      </c>
      <c r="C1044" t="s">
        <v>38</v>
      </c>
      <c r="D1044" t="s">
        <v>44</v>
      </c>
      <c r="E1044" t="s">
        <v>25</v>
      </c>
      <c r="F1044" t="s">
        <v>15</v>
      </c>
      <c r="G1044">
        <v>14</v>
      </c>
      <c r="H1044">
        <v>41912</v>
      </c>
      <c r="I1044">
        <v>586768</v>
      </c>
      <c r="J1044" t="s">
        <v>20</v>
      </c>
    </row>
    <row r="1045" spans="1:10" x14ac:dyDescent="0.25">
      <c r="A1045" t="s">
        <v>290</v>
      </c>
      <c r="B1045" t="s">
        <v>33</v>
      </c>
      <c r="C1045" t="s">
        <v>12</v>
      </c>
      <c r="D1045" t="s">
        <v>44</v>
      </c>
      <c r="E1045" t="s">
        <v>14</v>
      </c>
      <c r="F1045" t="s">
        <v>40</v>
      </c>
      <c r="G1045">
        <v>5</v>
      </c>
      <c r="H1045">
        <v>41032</v>
      </c>
      <c r="I1045">
        <v>205160</v>
      </c>
      <c r="J1045" t="s">
        <v>27</v>
      </c>
    </row>
    <row r="1046" spans="1:10" x14ac:dyDescent="0.25">
      <c r="A1046" t="s">
        <v>230</v>
      </c>
      <c r="B1046" t="s">
        <v>18</v>
      </c>
      <c r="C1046" t="s">
        <v>23</v>
      </c>
      <c r="D1046" t="s">
        <v>44</v>
      </c>
      <c r="E1046" t="s">
        <v>14</v>
      </c>
      <c r="F1046" t="s">
        <v>40</v>
      </c>
      <c r="G1046">
        <v>6</v>
      </c>
      <c r="H1046">
        <v>23895</v>
      </c>
      <c r="I1046">
        <v>143370</v>
      </c>
      <c r="J1046" t="s">
        <v>16</v>
      </c>
    </row>
    <row r="1047" spans="1:10" x14ac:dyDescent="0.25">
      <c r="A1047" t="s">
        <v>342</v>
      </c>
      <c r="B1047" t="s">
        <v>33</v>
      </c>
      <c r="C1047" t="s">
        <v>34</v>
      </c>
      <c r="D1047" t="s">
        <v>13</v>
      </c>
      <c r="E1047" t="s">
        <v>14</v>
      </c>
      <c r="F1047" t="s">
        <v>40</v>
      </c>
      <c r="G1047">
        <v>16</v>
      </c>
      <c r="H1047">
        <v>49021</v>
      </c>
      <c r="I1047">
        <v>784336</v>
      </c>
      <c r="J1047" t="s">
        <v>16</v>
      </c>
    </row>
    <row r="1048" spans="1:10" x14ac:dyDescent="0.25">
      <c r="A1048" t="s">
        <v>257</v>
      </c>
      <c r="B1048" t="s">
        <v>22</v>
      </c>
      <c r="C1048" t="s">
        <v>34</v>
      </c>
      <c r="D1048" t="s">
        <v>24</v>
      </c>
      <c r="E1048" t="s">
        <v>19</v>
      </c>
      <c r="F1048" t="s">
        <v>15</v>
      </c>
      <c r="G1048">
        <v>18</v>
      </c>
      <c r="H1048">
        <v>27211</v>
      </c>
      <c r="I1048">
        <v>489798</v>
      </c>
      <c r="J1048" t="s">
        <v>16</v>
      </c>
    </row>
    <row r="1049" spans="1:10" x14ac:dyDescent="0.25">
      <c r="A1049" t="s">
        <v>127</v>
      </c>
      <c r="B1049" t="s">
        <v>22</v>
      </c>
      <c r="C1049" t="s">
        <v>29</v>
      </c>
      <c r="D1049" t="s">
        <v>44</v>
      </c>
      <c r="E1049" t="s">
        <v>19</v>
      </c>
      <c r="F1049" t="s">
        <v>26</v>
      </c>
      <c r="G1049">
        <v>6</v>
      </c>
      <c r="H1049">
        <v>17097</v>
      </c>
      <c r="I1049">
        <v>102582</v>
      </c>
      <c r="J1049" t="s">
        <v>20</v>
      </c>
    </row>
    <row r="1050" spans="1:10" x14ac:dyDescent="0.25">
      <c r="A1050" t="s">
        <v>85</v>
      </c>
      <c r="B1050" t="s">
        <v>22</v>
      </c>
      <c r="C1050" t="s">
        <v>38</v>
      </c>
      <c r="D1050" t="s">
        <v>24</v>
      </c>
      <c r="E1050" t="s">
        <v>30</v>
      </c>
      <c r="F1050" t="s">
        <v>40</v>
      </c>
      <c r="G1050">
        <v>9</v>
      </c>
      <c r="H1050">
        <v>58073</v>
      </c>
      <c r="I1050">
        <v>522657</v>
      </c>
      <c r="J1050" t="s">
        <v>36</v>
      </c>
    </row>
    <row r="1051" spans="1:10" x14ac:dyDescent="0.25">
      <c r="A1051" t="s">
        <v>219</v>
      </c>
      <c r="B1051" t="s">
        <v>18</v>
      </c>
      <c r="C1051" t="s">
        <v>29</v>
      </c>
      <c r="D1051" t="s">
        <v>48</v>
      </c>
      <c r="E1051" t="s">
        <v>19</v>
      </c>
      <c r="F1051" t="s">
        <v>15</v>
      </c>
      <c r="G1051">
        <v>15</v>
      </c>
      <c r="H1051">
        <v>55662</v>
      </c>
      <c r="I1051">
        <v>834930</v>
      </c>
      <c r="J1051" t="s">
        <v>27</v>
      </c>
    </row>
    <row r="1052" spans="1:10" x14ac:dyDescent="0.25">
      <c r="A1052" t="s">
        <v>176</v>
      </c>
      <c r="B1052" t="s">
        <v>33</v>
      </c>
      <c r="C1052" t="s">
        <v>12</v>
      </c>
      <c r="D1052" t="s">
        <v>39</v>
      </c>
      <c r="E1052" t="s">
        <v>19</v>
      </c>
      <c r="F1052" t="s">
        <v>26</v>
      </c>
      <c r="G1052">
        <v>1</v>
      </c>
      <c r="H1052">
        <v>38639</v>
      </c>
      <c r="I1052">
        <v>38639</v>
      </c>
      <c r="J1052" t="s">
        <v>20</v>
      </c>
    </row>
    <row r="1053" spans="1:10" x14ac:dyDescent="0.25">
      <c r="A1053" t="s">
        <v>322</v>
      </c>
      <c r="B1053" t="s">
        <v>33</v>
      </c>
      <c r="C1053" t="s">
        <v>29</v>
      </c>
      <c r="D1053" t="s">
        <v>24</v>
      </c>
      <c r="E1053" t="s">
        <v>35</v>
      </c>
      <c r="F1053" t="s">
        <v>40</v>
      </c>
      <c r="G1053">
        <v>16</v>
      </c>
      <c r="H1053">
        <v>34105</v>
      </c>
      <c r="I1053">
        <v>545680</v>
      </c>
      <c r="J1053" t="s">
        <v>20</v>
      </c>
    </row>
    <row r="1054" spans="1:10" x14ac:dyDescent="0.25">
      <c r="A1054" t="s">
        <v>196</v>
      </c>
      <c r="B1054" t="s">
        <v>42</v>
      </c>
      <c r="C1054" t="s">
        <v>23</v>
      </c>
      <c r="D1054" t="s">
        <v>39</v>
      </c>
      <c r="E1054" t="s">
        <v>35</v>
      </c>
      <c r="F1054" t="s">
        <v>40</v>
      </c>
      <c r="G1054">
        <v>16</v>
      </c>
      <c r="H1054">
        <v>37048</v>
      </c>
      <c r="I1054">
        <v>592768</v>
      </c>
      <c r="J1054" t="s">
        <v>36</v>
      </c>
    </row>
    <row r="1055" spans="1:10" x14ac:dyDescent="0.25">
      <c r="A1055" t="s">
        <v>262</v>
      </c>
      <c r="B1055" t="s">
        <v>33</v>
      </c>
      <c r="C1055" t="s">
        <v>23</v>
      </c>
      <c r="D1055" t="s">
        <v>48</v>
      </c>
      <c r="E1055" t="s">
        <v>30</v>
      </c>
      <c r="F1055" t="s">
        <v>40</v>
      </c>
      <c r="G1055">
        <v>12</v>
      </c>
      <c r="H1055">
        <v>37088</v>
      </c>
      <c r="I1055">
        <v>445056</v>
      </c>
      <c r="J1055" t="s">
        <v>20</v>
      </c>
    </row>
    <row r="1056" spans="1:10" x14ac:dyDescent="0.25">
      <c r="A1056" t="s">
        <v>359</v>
      </c>
      <c r="B1056" t="s">
        <v>33</v>
      </c>
      <c r="C1056" t="s">
        <v>38</v>
      </c>
      <c r="D1056" t="s">
        <v>44</v>
      </c>
      <c r="E1056" t="s">
        <v>19</v>
      </c>
      <c r="F1056" t="s">
        <v>15</v>
      </c>
      <c r="G1056">
        <v>3</v>
      </c>
      <c r="H1056">
        <v>44001</v>
      </c>
      <c r="I1056">
        <v>132003</v>
      </c>
      <c r="J1056" t="s">
        <v>20</v>
      </c>
    </row>
    <row r="1057" spans="1:10" x14ac:dyDescent="0.25">
      <c r="A1057" t="s">
        <v>133</v>
      </c>
      <c r="B1057" t="s">
        <v>22</v>
      </c>
      <c r="C1057" t="s">
        <v>12</v>
      </c>
      <c r="D1057" t="s">
        <v>48</v>
      </c>
      <c r="E1057" t="s">
        <v>25</v>
      </c>
      <c r="F1057" t="s">
        <v>40</v>
      </c>
      <c r="G1057">
        <v>11</v>
      </c>
      <c r="H1057">
        <v>35502</v>
      </c>
      <c r="I1057">
        <v>390522</v>
      </c>
      <c r="J1057" t="s">
        <v>16</v>
      </c>
    </row>
    <row r="1058" spans="1:10" x14ac:dyDescent="0.25">
      <c r="A1058" t="s">
        <v>358</v>
      </c>
      <c r="B1058" t="s">
        <v>22</v>
      </c>
      <c r="C1058" t="s">
        <v>12</v>
      </c>
      <c r="D1058" t="s">
        <v>48</v>
      </c>
      <c r="E1058" t="s">
        <v>14</v>
      </c>
      <c r="F1058" t="s">
        <v>40</v>
      </c>
      <c r="G1058">
        <v>10</v>
      </c>
      <c r="H1058">
        <v>52887</v>
      </c>
      <c r="I1058">
        <v>528870</v>
      </c>
      <c r="J1058" t="s">
        <v>36</v>
      </c>
    </row>
    <row r="1059" spans="1:10" x14ac:dyDescent="0.25">
      <c r="A1059" t="s">
        <v>305</v>
      </c>
      <c r="B1059" t="s">
        <v>11</v>
      </c>
      <c r="C1059" t="s">
        <v>34</v>
      </c>
      <c r="D1059" t="s">
        <v>24</v>
      </c>
      <c r="E1059" t="s">
        <v>25</v>
      </c>
      <c r="F1059" t="s">
        <v>40</v>
      </c>
      <c r="G1059">
        <v>16</v>
      </c>
      <c r="H1059">
        <v>28744</v>
      </c>
      <c r="I1059">
        <v>459904</v>
      </c>
      <c r="J1059" t="s">
        <v>20</v>
      </c>
    </row>
    <row r="1060" spans="1:10" x14ac:dyDescent="0.25">
      <c r="A1060" t="s">
        <v>83</v>
      </c>
      <c r="B1060" t="s">
        <v>11</v>
      </c>
      <c r="C1060" t="s">
        <v>12</v>
      </c>
      <c r="D1060" t="s">
        <v>48</v>
      </c>
      <c r="E1060" t="s">
        <v>35</v>
      </c>
      <c r="F1060" t="s">
        <v>26</v>
      </c>
      <c r="G1060">
        <v>15</v>
      </c>
      <c r="H1060">
        <v>51047</v>
      </c>
      <c r="I1060">
        <v>765705</v>
      </c>
      <c r="J1060" t="s">
        <v>36</v>
      </c>
    </row>
    <row r="1061" spans="1:10" x14ac:dyDescent="0.25">
      <c r="A1061" t="s">
        <v>377</v>
      </c>
      <c r="B1061" t="s">
        <v>22</v>
      </c>
      <c r="C1061" t="s">
        <v>29</v>
      </c>
      <c r="D1061" t="s">
        <v>13</v>
      </c>
      <c r="E1061" t="s">
        <v>19</v>
      </c>
      <c r="F1061" t="s">
        <v>15</v>
      </c>
      <c r="G1061">
        <v>4</v>
      </c>
      <c r="H1061">
        <v>37447</v>
      </c>
      <c r="I1061">
        <v>149788</v>
      </c>
      <c r="J1061" t="s">
        <v>20</v>
      </c>
    </row>
    <row r="1062" spans="1:10" x14ac:dyDescent="0.25">
      <c r="A1062" t="s">
        <v>378</v>
      </c>
      <c r="B1062" t="s">
        <v>33</v>
      </c>
      <c r="C1062" t="s">
        <v>12</v>
      </c>
      <c r="D1062" t="s">
        <v>44</v>
      </c>
      <c r="E1062" t="s">
        <v>25</v>
      </c>
      <c r="F1062" t="s">
        <v>40</v>
      </c>
      <c r="G1062">
        <v>5</v>
      </c>
      <c r="H1062">
        <v>51960</v>
      </c>
      <c r="I1062">
        <v>259800</v>
      </c>
      <c r="J1062" t="s">
        <v>16</v>
      </c>
    </row>
    <row r="1063" spans="1:10" x14ac:dyDescent="0.25">
      <c r="A1063" t="s">
        <v>220</v>
      </c>
      <c r="B1063" t="s">
        <v>18</v>
      </c>
      <c r="C1063" t="s">
        <v>34</v>
      </c>
      <c r="D1063" t="s">
        <v>44</v>
      </c>
      <c r="E1063" t="s">
        <v>30</v>
      </c>
      <c r="F1063" t="s">
        <v>40</v>
      </c>
      <c r="G1063">
        <v>20</v>
      </c>
      <c r="H1063">
        <v>17853</v>
      </c>
      <c r="I1063">
        <v>357060</v>
      </c>
      <c r="J1063" t="s">
        <v>20</v>
      </c>
    </row>
    <row r="1064" spans="1:10" x14ac:dyDescent="0.25">
      <c r="A1064" t="s">
        <v>307</v>
      </c>
      <c r="B1064" t="s">
        <v>42</v>
      </c>
      <c r="C1064" t="s">
        <v>34</v>
      </c>
      <c r="D1064" t="s">
        <v>24</v>
      </c>
      <c r="E1064" t="s">
        <v>14</v>
      </c>
      <c r="F1064" t="s">
        <v>26</v>
      </c>
      <c r="G1064">
        <v>12</v>
      </c>
      <c r="H1064">
        <v>54829</v>
      </c>
      <c r="I1064">
        <v>657948</v>
      </c>
      <c r="J1064" t="s">
        <v>36</v>
      </c>
    </row>
    <row r="1065" spans="1:10" x14ac:dyDescent="0.25">
      <c r="A1065" t="s">
        <v>196</v>
      </c>
      <c r="B1065" t="s">
        <v>22</v>
      </c>
      <c r="C1065" t="s">
        <v>38</v>
      </c>
      <c r="D1065" t="s">
        <v>44</v>
      </c>
      <c r="E1065" t="s">
        <v>35</v>
      </c>
      <c r="F1065" t="s">
        <v>40</v>
      </c>
      <c r="G1065">
        <v>5</v>
      </c>
      <c r="H1065">
        <v>32988</v>
      </c>
      <c r="I1065">
        <v>164940</v>
      </c>
      <c r="J1065" t="s">
        <v>27</v>
      </c>
    </row>
    <row r="1066" spans="1:10" x14ac:dyDescent="0.25">
      <c r="A1066" t="s">
        <v>253</v>
      </c>
      <c r="B1066" t="s">
        <v>33</v>
      </c>
      <c r="C1066" t="s">
        <v>12</v>
      </c>
      <c r="D1066" t="s">
        <v>48</v>
      </c>
      <c r="E1066" t="s">
        <v>30</v>
      </c>
      <c r="F1066" t="s">
        <v>40</v>
      </c>
      <c r="G1066">
        <v>5</v>
      </c>
      <c r="H1066">
        <v>36275</v>
      </c>
      <c r="I1066">
        <v>181375</v>
      </c>
      <c r="J1066" t="s">
        <v>27</v>
      </c>
    </row>
    <row r="1067" spans="1:10" x14ac:dyDescent="0.25">
      <c r="A1067" t="s">
        <v>230</v>
      </c>
      <c r="B1067" t="s">
        <v>11</v>
      </c>
      <c r="C1067" t="s">
        <v>12</v>
      </c>
      <c r="D1067" t="s">
        <v>44</v>
      </c>
      <c r="E1067" t="s">
        <v>25</v>
      </c>
      <c r="F1067" t="s">
        <v>40</v>
      </c>
      <c r="G1067">
        <v>19</v>
      </c>
      <c r="H1067">
        <v>25029</v>
      </c>
      <c r="I1067">
        <v>475551</v>
      </c>
      <c r="J1067" t="s">
        <v>27</v>
      </c>
    </row>
    <row r="1068" spans="1:10" x14ac:dyDescent="0.25">
      <c r="A1068" t="s">
        <v>379</v>
      </c>
      <c r="B1068" t="s">
        <v>22</v>
      </c>
      <c r="C1068" t="s">
        <v>23</v>
      </c>
      <c r="D1068" t="s">
        <v>39</v>
      </c>
      <c r="E1068" t="s">
        <v>14</v>
      </c>
      <c r="F1068" t="s">
        <v>15</v>
      </c>
      <c r="G1068">
        <v>2</v>
      </c>
      <c r="H1068">
        <v>32647</v>
      </c>
      <c r="I1068">
        <v>65294</v>
      </c>
      <c r="J1068" t="s">
        <v>20</v>
      </c>
    </row>
    <row r="1069" spans="1:10" x14ac:dyDescent="0.25">
      <c r="A1069" t="s">
        <v>320</v>
      </c>
      <c r="B1069" t="s">
        <v>18</v>
      </c>
      <c r="C1069" t="s">
        <v>34</v>
      </c>
      <c r="D1069" t="s">
        <v>24</v>
      </c>
      <c r="E1069" t="s">
        <v>30</v>
      </c>
      <c r="F1069" t="s">
        <v>40</v>
      </c>
      <c r="G1069">
        <v>8</v>
      </c>
      <c r="H1069">
        <v>39350</v>
      </c>
      <c r="I1069">
        <v>314800</v>
      </c>
      <c r="J1069" t="s">
        <v>36</v>
      </c>
    </row>
    <row r="1070" spans="1:10" x14ac:dyDescent="0.25">
      <c r="A1070" t="s">
        <v>295</v>
      </c>
      <c r="B1070" t="s">
        <v>11</v>
      </c>
      <c r="C1070" t="s">
        <v>38</v>
      </c>
      <c r="D1070" t="s">
        <v>44</v>
      </c>
      <c r="E1070" t="s">
        <v>30</v>
      </c>
      <c r="F1070" t="s">
        <v>40</v>
      </c>
      <c r="G1070">
        <v>20</v>
      </c>
      <c r="H1070">
        <v>16005</v>
      </c>
      <c r="I1070">
        <v>320100</v>
      </c>
      <c r="J1070" t="s">
        <v>27</v>
      </c>
    </row>
    <row r="1071" spans="1:10" x14ac:dyDescent="0.25">
      <c r="A1071" t="s">
        <v>325</v>
      </c>
      <c r="B1071" t="s">
        <v>22</v>
      </c>
      <c r="C1071" t="s">
        <v>12</v>
      </c>
      <c r="D1071" t="s">
        <v>24</v>
      </c>
      <c r="E1071" t="s">
        <v>30</v>
      </c>
      <c r="F1071" t="s">
        <v>15</v>
      </c>
      <c r="G1071">
        <v>7</v>
      </c>
      <c r="H1071">
        <v>50868</v>
      </c>
      <c r="I1071">
        <v>356076</v>
      </c>
      <c r="J1071" t="s">
        <v>16</v>
      </c>
    </row>
    <row r="1072" spans="1:10" x14ac:dyDescent="0.25">
      <c r="A1072" t="s">
        <v>338</v>
      </c>
      <c r="B1072" t="s">
        <v>33</v>
      </c>
      <c r="C1072" t="s">
        <v>38</v>
      </c>
      <c r="D1072" t="s">
        <v>44</v>
      </c>
      <c r="E1072" t="s">
        <v>14</v>
      </c>
      <c r="F1072" t="s">
        <v>40</v>
      </c>
      <c r="G1072">
        <v>14</v>
      </c>
      <c r="H1072">
        <v>35924</v>
      </c>
      <c r="I1072">
        <v>502936</v>
      </c>
      <c r="J1072" t="s">
        <v>36</v>
      </c>
    </row>
    <row r="1073" spans="1:10" x14ac:dyDescent="0.25">
      <c r="A1073" t="s">
        <v>270</v>
      </c>
      <c r="B1073" t="s">
        <v>33</v>
      </c>
      <c r="C1073" t="s">
        <v>34</v>
      </c>
      <c r="D1073" t="s">
        <v>48</v>
      </c>
      <c r="E1073" t="s">
        <v>14</v>
      </c>
      <c r="F1073" t="s">
        <v>40</v>
      </c>
      <c r="G1073">
        <v>10</v>
      </c>
      <c r="H1073">
        <v>18514</v>
      </c>
      <c r="I1073">
        <v>185140</v>
      </c>
      <c r="J1073" t="s">
        <v>27</v>
      </c>
    </row>
    <row r="1074" spans="1:10" x14ac:dyDescent="0.25">
      <c r="A1074" t="s">
        <v>308</v>
      </c>
      <c r="B1074" t="s">
        <v>22</v>
      </c>
      <c r="C1074" t="s">
        <v>23</v>
      </c>
      <c r="D1074" t="s">
        <v>48</v>
      </c>
      <c r="E1074" t="s">
        <v>30</v>
      </c>
      <c r="F1074" t="s">
        <v>26</v>
      </c>
      <c r="G1074">
        <v>16</v>
      </c>
      <c r="H1074">
        <v>26076</v>
      </c>
      <c r="I1074">
        <v>417216</v>
      </c>
      <c r="J1074" t="s">
        <v>36</v>
      </c>
    </row>
    <row r="1075" spans="1:10" x14ac:dyDescent="0.25">
      <c r="A1075" t="s">
        <v>146</v>
      </c>
      <c r="B1075" t="s">
        <v>33</v>
      </c>
      <c r="C1075" t="s">
        <v>34</v>
      </c>
      <c r="D1075" t="s">
        <v>13</v>
      </c>
      <c r="E1075" t="s">
        <v>19</v>
      </c>
      <c r="F1075" t="s">
        <v>15</v>
      </c>
      <c r="G1075">
        <v>19</v>
      </c>
      <c r="H1075">
        <v>50244</v>
      </c>
      <c r="I1075">
        <v>954636</v>
      </c>
      <c r="J1075" t="s">
        <v>36</v>
      </c>
    </row>
    <row r="1076" spans="1:10" x14ac:dyDescent="0.25">
      <c r="A1076" t="s">
        <v>281</v>
      </c>
      <c r="B1076" t="s">
        <v>42</v>
      </c>
      <c r="C1076" t="s">
        <v>38</v>
      </c>
      <c r="D1076" t="s">
        <v>39</v>
      </c>
      <c r="E1076" t="s">
        <v>25</v>
      </c>
      <c r="F1076" t="s">
        <v>15</v>
      </c>
      <c r="G1076">
        <v>4</v>
      </c>
      <c r="H1076">
        <v>29412</v>
      </c>
      <c r="I1076">
        <v>117648</v>
      </c>
      <c r="J1076" t="s">
        <v>16</v>
      </c>
    </row>
    <row r="1077" spans="1:10" x14ac:dyDescent="0.25">
      <c r="A1077" t="s">
        <v>341</v>
      </c>
      <c r="B1077" t="s">
        <v>22</v>
      </c>
      <c r="C1077" t="s">
        <v>34</v>
      </c>
      <c r="D1077" t="s">
        <v>24</v>
      </c>
      <c r="E1077" t="s">
        <v>30</v>
      </c>
      <c r="F1077" t="s">
        <v>40</v>
      </c>
      <c r="G1077">
        <v>12</v>
      </c>
      <c r="H1077">
        <v>34176</v>
      </c>
      <c r="I1077">
        <v>410112</v>
      </c>
      <c r="J1077" t="s">
        <v>20</v>
      </c>
    </row>
    <row r="1078" spans="1:10" x14ac:dyDescent="0.25">
      <c r="A1078" t="s">
        <v>143</v>
      </c>
      <c r="B1078" t="s">
        <v>11</v>
      </c>
      <c r="C1078" t="s">
        <v>23</v>
      </c>
      <c r="D1078" t="s">
        <v>44</v>
      </c>
      <c r="E1078" t="s">
        <v>30</v>
      </c>
      <c r="F1078" t="s">
        <v>15</v>
      </c>
      <c r="G1078">
        <v>1</v>
      </c>
      <c r="H1078">
        <v>17898</v>
      </c>
      <c r="I1078">
        <v>17898</v>
      </c>
      <c r="J1078" t="s">
        <v>20</v>
      </c>
    </row>
    <row r="1079" spans="1:10" x14ac:dyDescent="0.25">
      <c r="A1079" t="s">
        <v>380</v>
      </c>
      <c r="B1079" t="s">
        <v>42</v>
      </c>
      <c r="C1079" t="s">
        <v>29</v>
      </c>
      <c r="D1079" t="s">
        <v>44</v>
      </c>
      <c r="E1079" t="s">
        <v>14</v>
      </c>
      <c r="F1079" t="s">
        <v>26</v>
      </c>
      <c r="G1079">
        <v>10</v>
      </c>
      <c r="H1079">
        <v>24793</v>
      </c>
      <c r="I1079">
        <v>247930</v>
      </c>
      <c r="J1079" t="s">
        <v>27</v>
      </c>
    </row>
    <row r="1080" spans="1:10" x14ac:dyDescent="0.25">
      <c r="A1080" t="s">
        <v>50</v>
      </c>
      <c r="B1080" t="s">
        <v>22</v>
      </c>
      <c r="C1080" t="s">
        <v>34</v>
      </c>
      <c r="D1080" t="s">
        <v>24</v>
      </c>
      <c r="E1080" t="s">
        <v>14</v>
      </c>
      <c r="F1080" t="s">
        <v>40</v>
      </c>
      <c r="G1080">
        <v>13</v>
      </c>
      <c r="H1080">
        <v>38147</v>
      </c>
      <c r="I1080">
        <v>495911</v>
      </c>
      <c r="J1080" t="s">
        <v>16</v>
      </c>
    </row>
    <row r="1081" spans="1:10" x14ac:dyDescent="0.25">
      <c r="A1081" t="s">
        <v>51</v>
      </c>
      <c r="B1081" t="s">
        <v>42</v>
      </c>
      <c r="C1081" t="s">
        <v>23</v>
      </c>
      <c r="D1081" t="s">
        <v>24</v>
      </c>
      <c r="E1081" t="s">
        <v>35</v>
      </c>
      <c r="F1081" t="s">
        <v>26</v>
      </c>
      <c r="G1081">
        <v>15</v>
      </c>
      <c r="H1081">
        <v>51871</v>
      </c>
      <c r="I1081">
        <v>778065</v>
      </c>
      <c r="J1081" t="s">
        <v>27</v>
      </c>
    </row>
    <row r="1082" spans="1:10" x14ac:dyDescent="0.25">
      <c r="A1082" t="s">
        <v>378</v>
      </c>
      <c r="B1082" t="s">
        <v>22</v>
      </c>
      <c r="C1082" t="s">
        <v>38</v>
      </c>
      <c r="D1082" t="s">
        <v>13</v>
      </c>
      <c r="E1082" t="s">
        <v>14</v>
      </c>
      <c r="F1082" t="s">
        <v>40</v>
      </c>
      <c r="G1082">
        <v>20</v>
      </c>
      <c r="H1082">
        <v>39728</v>
      </c>
      <c r="I1082">
        <v>794560</v>
      </c>
      <c r="J1082" t="s">
        <v>20</v>
      </c>
    </row>
    <row r="1083" spans="1:10" x14ac:dyDescent="0.25">
      <c r="A1083" t="s">
        <v>83</v>
      </c>
      <c r="B1083" t="s">
        <v>18</v>
      </c>
      <c r="C1083" t="s">
        <v>29</v>
      </c>
      <c r="D1083" t="s">
        <v>48</v>
      </c>
      <c r="E1083" t="s">
        <v>35</v>
      </c>
      <c r="F1083" t="s">
        <v>40</v>
      </c>
      <c r="G1083">
        <v>4</v>
      </c>
      <c r="H1083">
        <v>31077</v>
      </c>
      <c r="I1083">
        <v>124308</v>
      </c>
      <c r="J1083" t="s">
        <v>20</v>
      </c>
    </row>
    <row r="1084" spans="1:10" x14ac:dyDescent="0.25">
      <c r="A1084" t="s">
        <v>176</v>
      </c>
      <c r="B1084" t="s">
        <v>11</v>
      </c>
      <c r="C1084" t="s">
        <v>29</v>
      </c>
      <c r="D1084" t="s">
        <v>48</v>
      </c>
      <c r="E1084" t="s">
        <v>19</v>
      </c>
      <c r="F1084" t="s">
        <v>26</v>
      </c>
      <c r="G1084">
        <v>9</v>
      </c>
      <c r="H1084">
        <v>37230</v>
      </c>
      <c r="I1084">
        <v>335070</v>
      </c>
      <c r="J1084" t="s">
        <v>16</v>
      </c>
    </row>
    <row r="1085" spans="1:10" x14ac:dyDescent="0.25">
      <c r="A1085" t="s">
        <v>165</v>
      </c>
      <c r="B1085" t="s">
        <v>11</v>
      </c>
      <c r="C1085" t="s">
        <v>34</v>
      </c>
      <c r="D1085" t="s">
        <v>44</v>
      </c>
      <c r="E1085" t="s">
        <v>30</v>
      </c>
      <c r="F1085" t="s">
        <v>40</v>
      </c>
      <c r="G1085">
        <v>9</v>
      </c>
      <c r="H1085">
        <v>22597</v>
      </c>
      <c r="I1085">
        <v>203373</v>
      </c>
      <c r="J1085" t="s">
        <v>20</v>
      </c>
    </row>
    <row r="1086" spans="1:10" x14ac:dyDescent="0.25">
      <c r="A1086" t="s">
        <v>243</v>
      </c>
      <c r="B1086" t="s">
        <v>42</v>
      </c>
      <c r="C1086" t="s">
        <v>12</v>
      </c>
      <c r="D1086" t="s">
        <v>48</v>
      </c>
      <c r="E1086" t="s">
        <v>35</v>
      </c>
      <c r="F1086" t="s">
        <v>26</v>
      </c>
      <c r="G1086">
        <v>2</v>
      </c>
      <c r="H1086">
        <v>45256</v>
      </c>
      <c r="I1086">
        <v>90512</v>
      </c>
      <c r="J1086" t="s">
        <v>20</v>
      </c>
    </row>
    <row r="1087" spans="1:10" x14ac:dyDescent="0.25">
      <c r="A1087" t="s">
        <v>238</v>
      </c>
      <c r="B1087" t="s">
        <v>33</v>
      </c>
      <c r="C1087" t="s">
        <v>12</v>
      </c>
      <c r="D1087" t="s">
        <v>39</v>
      </c>
      <c r="E1087" t="s">
        <v>35</v>
      </c>
      <c r="F1087" t="s">
        <v>40</v>
      </c>
      <c r="G1087">
        <v>20</v>
      </c>
      <c r="H1087">
        <v>39377</v>
      </c>
      <c r="I1087">
        <v>787540</v>
      </c>
      <c r="J1087" t="s">
        <v>16</v>
      </c>
    </row>
    <row r="1088" spans="1:10" x14ac:dyDescent="0.25">
      <c r="A1088" t="s">
        <v>336</v>
      </c>
      <c r="B1088" t="s">
        <v>22</v>
      </c>
      <c r="C1088" t="s">
        <v>23</v>
      </c>
      <c r="D1088" t="s">
        <v>44</v>
      </c>
      <c r="E1088" t="s">
        <v>30</v>
      </c>
      <c r="F1088" t="s">
        <v>40</v>
      </c>
      <c r="G1088">
        <v>20</v>
      </c>
      <c r="H1088">
        <v>35624</v>
      </c>
      <c r="I1088">
        <v>712480</v>
      </c>
      <c r="J1088" t="s">
        <v>36</v>
      </c>
    </row>
    <row r="1089" spans="1:10" x14ac:dyDescent="0.25">
      <c r="A1089" t="s">
        <v>359</v>
      </c>
      <c r="B1089" t="s">
        <v>33</v>
      </c>
      <c r="C1089" t="s">
        <v>34</v>
      </c>
      <c r="D1089" t="s">
        <v>24</v>
      </c>
      <c r="E1089" t="s">
        <v>25</v>
      </c>
      <c r="F1089" t="s">
        <v>15</v>
      </c>
      <c r="G1089">
        <v>18</v>
      </c>
      <c r="H1089">
        <v>43539</v>
      </c>
      <c r="I1089">
        <v>783702</v>
      </c>
      <c r="J1089" t="s">
        <v>36</v>
      </c>
    </row>
    <row r="1090" spans="1:10" x14ac:dyDescent="0.25">
      <c r="A1090" t="s">
        <v>279</v>
      </c>
      <c r="B1090" t="s">
        <v>11</v>
      </c>
      <c r="C1090" t="s">
        <v>23</v>
      </c>
      <c r="D1090" t="s">
        <v>44</v>
      </c>
      <c r="E1090" t="s">
        <v>30</v>
      </c>
      <c r="F1090" t="s">
        <v>26</v>
      </c>
      <c r="G1090">
        <v>19</v>
      </c>
      <c r="H1090">
        <v>51789</v>
      </c>
      <c r="I1090">
        <v>983991</v>
      </c>
      <c r="J1090" t="s">
        <v>27</v>
      </c>
    </row>
    <row r="1091" spans="1:10" x14ac:dyDescent="0.25">
      <c r="A1091" t="s">
        <v>355</v>
      </c>
      <c r="B1091" t="s">
        <v>11</v>
      </c>
      <c r="C1091" t="s">
        <v>12</v>
      </c>
      <c r="D1091" t="s">
        <v>44</v>
      </c>
      <c r="E1091" t="s">
        <v>35</v>
      </c>
      <c r="F1091" t="s">
        <v>40</v>
      </c>
      <c r="G1091">
        <v>12</v>
      </c>
      <c r="H1091">
        <v>59406</v>
      </c>
      <c r="I1091">
        <v>712872</v>
      </c>
      <c r="J1091" t="s">
        <v>16</v>
      </c>
    </row>
    <row r="1092" spans="1:10" x14ac:dyDescent="0.25">
      <c r="A1092" t="s">
        <v>66</v>
      </c>
      <c r="B1092" t="s">
        <v>18</v>
      </c>
      <c r="C1092" t="s">
        <v>12</v>
      </c>
      <c r="D1092" t="s">
        <v>39</v>
      </c>
      <c r="E1092" t="s">
        <v>35</v>
      </c>
      <c r="F1092" t="s">
        <v>40</v>
      </c>
      <c r="G1092">
        <v>4</v>
      </c>
      <c r="H1092">
        <v>53287</v>
      </c>
      <c r="I1092">
        <v>213148</v>
      </c>
      <c r="J1092" t="s">
        <v>36</v>
      </c>
    </row>
    <row r="1093" spans="1:10" x14ac:dyDescent="0.25">
      <c r="A1093" t="s">
        <v>217</v>
      </c>
      <c r="B1093" t="s">
        <v>22</v>
      </c>
      <c r="C1093" t="s">
        <v>12</v>
      </c>
      <c r="D1093" t="s">
        <v>24</v>
      </c>
      <c r="E1093" t="s">
        <v>19</v>
      </c>
      <c r="F1093" t="s">
        <v>15</v>
      </c>
      <c r="G1093">
        <v>11</v>
      </c>
      <c r="H1093">
        <v>51794</v>
      </c>
      <c r="I1093">
        <v>569734</v>
      </c>
      <c r="J1093" t="s">
        <v>36</v>
      </c>
    </row>
    <row r="1094" spans="1:10" x14ac:dyDescent="0.25">
      <c r="A1094" t="s">
        <v>288</v>
      </c>
      <c r="B1094" t="s">
        <v>33</v>
      </c>
      <c r="C1094" t="s">
        <v>34</v>
      </c>
      <c r="D1094" t="s">
        <v>39</v>
      </c>
      <c r="E1094" t="s">
        <v>30</v>
      </c>
      <c r="F1094" t="s">
        <v>15</v>
      </c>
      <c r="G1094">
        <v>17</v>
      </c>
      <c r="H1094">
        <v>58927</v>
      </c>
      <c r="I1094">
        <v>1001759</v>
      </c>
      <c r="J1094" t="s">
        <v>20</v>
      </c>
    </row>
    <row r="1095" spans="1:10" x14ac:dyDescent="0.25">
      <c r="A1095" t="s">
        <v>301</v>
      </c>
      <c r="B1095" t="s">
        <v>33</v>
      </c>
      <c r="C1095" t="s">
        <v>38</v>
      </c>
      <c r="D1095" t="s">
        <v>48</v>
      </c>
      <c r="E1095" t="s">
        <v>30</v>
      </c>
      <c r="F1095" t="s">
        <v>15</v>
      </c>
      <c r="G1095">
        <v>5</v>
      </c>
      <c r="H1095">
        <v>31650</v>
      </c>
      <c r="I1095">
        <v>158250</v>
      </c>
      <c r="J1095" t="s">
        <v>27</v>
      </c>
    </row>
    <row r="1096" spans="1:10" x14ac:dyDescent="0.25">
      <c r="A1096" t="s">
        <v>381</v>
      </c>
      <c r="B1096" t="s">
        <v>33</v>
      </c>
      <c r="C1096" t="s">
        <v>34</v>
      </c>
      <c r="D1096" t="s">
        <v>44</v>
      </c>
      <c r="E1096" t="s">
        <v>30</v>
      </c>
      <c r="F1096" t="s">
        <v>15</v>
      </c>
      <c r="G1096">
        <v>15</v>
      </c>
      <c r="H1096">
        <v>21569</v>
      </c>
      <c r="I1096">
        <v>323535</v>
      </c>
      <c r="J1096" t="s">
        <v>27</v>
      </c>
    </row>
    <row r="1097" spans="1:10" x14ac:dyDescent="0.25">
      <c r="A1097" t="s">
        <v>260</v>
      </c>
      <c r="B1097" t="s">
        <v>42</v>
      </c>
      <c r="C1097" t="s">
        <v>29</v>
      </c>
      <c r="D1097" t="s">
        <v>39</v>
      </c>
      <c r="E1097" t="s">
        <v>19</v>
      </c>
      <c r="F1097" t="s">
        <v>26</v>
      </c>
      <c r="G1097">
        <v>20</v>
      </c>
      <c r="H1097">
        <v>36409</v>
      </c>
      <c r="I1097">
        <v>728180</v>
      </c>
      <c r="J1097" t="s">
        <v>36</v>
      </c>
    </row>
    <row r="1098" spans="1:10" x14ac:dyDescent="0.25">
      <c r="A1098" t="s">
        <v>382</v>
      </c>
      <c r="B1098" t="s">
        <v>33</v>
      </c>
      <c r="C1098" t="s">
        <v>12</v>
      </c>
      <c r="D1098" t="s">
        <v>44</v>
      </c>
      <c r="E1098" t="s">
        <v>30</v>
      </c>
      <c r="F1098" t="s">
        <v>26</v>
      </c>
      <c r="G1098">
        <v>3</v>
      </c>
      <c r="H1098">
        <v>23272</v>
      </c>
      <c r="I1098">
        <v>69816</v>
      </c>
      <c r="J1098" t="s">
        <v>36</v>
      </c>
    </row>
    <row r="1099" spans="1:10" x14ac:dyDescent="0.25">
      <c r="A1099" t="s">
        <v>383</v>
      </c>
      <c r="B1099" t="s">
        <v>22</v>
      </c>
      <c r="C1099" t="s">
        <v>38</v>
      </c>
      <c r="D1099" t="s">
        <v>39</v>
      </c>
      <c r="E1099" t="s">
        <v>19</v>
      </c>
      <c r="F1099" t="s">
        <v>15</v>
      </c>
      <c r="G1099">
        <v>15</v>
      </c>
      <c r="H1099">
        <v>50437</v>
      </c>
      <c r="I1099">
        <v>756555</v>
      </c>
      <c r="J1099" t="s">
        <v>36</v>
      </c>
    </row>
    <row r="1100" spans="1:10" x14ac:dyDescent="0.25">
      <c r="A1100" t="s">
        <v>52</v>
      </c>
      <c r="B1100" t="s">
        <v>42</v>
      </c>
      <c r="C1100" t="s">
        <v>23</v>
      </c>
      <c r="D1100" t="s">
        <v>48</v>
      </c>
      <c r="E1100" t="s">
        <v>35</v>
      </c>
      <c r="F1100" t="s">
        <v>15</v>
      </c>
      <c r="G1100">
        <v>12</v>
      </c>
      <c r="H1100">
        <v>25521</v>
      </c>
      <c r="I1100">
        <v>306252</v>
      </c>
      <c r="J1100" t="s">
        <v>20</v>
      </c>
    </row>
    <row r="1101" spans="1:10" x14ac:dyDescent="0.25">
      <c r="A1101" t="s">
        <v>384</v>
      </c>
      <c r="B1101" t="s">
        <v>42</v>
      </c>
      <c r="C1101" t="s">
        <v>34</v>
      </c>
      <c r="D1101" t="s">
        <v>39</v>
      </c>
      <c r="E1101" t="s">
        <v>25</v>
      </c>
      <c r="F1101" t="s">
        <v>40</v>
      </c>
      <c r="G1101">
        <v>9</v>
      </c>
      <c r="H1101">
        <v>19849</v>
      </c>
      <c r="I1101">
        <v>178641</v>
      </c>
      <c r="J1101" t="s">
        <v>36</v>
      </c>
    </row>
    <row r="1102" spans="1:10" x14ac:dyDescent="0.25">
      <c r="A1102" t="s">
        <v>238</v>
      </c>
      <c r="B1102" t="s">
        <v>18</v>
      </c>
      <c r="C1102" t="s">
        <v>38</v>
      </c>
      <c r="D1102" t="s">
        <v>13</v>
      </c>
      <c r="E1102" t="s">
        <v>19</v>
      </c>
      <c r="F1102" t="s">
        <v>26</v>
      </c>
      <c r="G1102">
        <v>18</v>
      </c>
      <c r="H1102">
        <v>28317</v>
      </c>
      <c r="I1102">
        <v>509706</v>
      </c>
      <c r="J1102" t="s">
        <v>20</v>
      </c>
    </row>
    <row r="1103" spans="1:10" x14ac:dyDescent="0.25">
      <c r="A1103" t="s">
        <v>209</v>
      </c>
      <c r="B1103" t="s">
        <v>33</v>
      </c>
      <c r="C1103" t="s">
        <v>12</v>
      </c>
      <c r="D1103" t="s">
        <v>39</v>
      </c>
      <c r="E1103" t="s">
        <v>35</v>
      </c>
      <c r="F1103" t="s">
        <v>15</v>
      </c>
      <c r="G1103">
        <v>3</v>
      </c>
      <c r="H1103">
        <v>41749</v>
      </c>
      <c r="I1103">
        <v>125247</v>
      </c>
      <c r="J1103" t="s">
        <v>20</v>
      </c>
    </row>
    <row r="1104" spans="1:10" x14ac:dyDescent="0.25">
      <c r="A1104" t="s">
        <v>217</v>
      </c>
      <c r="B1104" t="s">
        <v>18</v>
      </c>
      <c r="C1104" t="s">
        <v>23</v>
      </c>
      <c r="D1104" t="s">
        <v>48</v>
      </c>
      <c r="E1104" t="s">
        <v>30</v>
      </c>
      <c r="F1104" t="s">
        <v>15</v>
      </c>
      <c r="G1104">
        <v>10</v>
      </c>
      <c r="H1104">
        <v>51240</v>
      </c>
      <c r="I1104">
        <v>512400</v>
      </c>
      <c r="J1104" t="s">
        <v>36</v>
      </c>
    </row>
    <row r="1105" spans="1:10" x14ac:dyDescent="0.25">
      <c r="A1105" t="s">
        <v>189</v>
      </c>
      <c r="B1105" t="s">
        <v>18</v>
      </c>
      <c r="C1105" t="s">
        <v>12</v>
      </c>
      <c r="D1105" t="s">
        <v>44</v>
      </c>
      <c r="E1105" t="s">
        <v>25</v>
      </c>
      <c r="F1105" t="s">
        <v>26</v>
      </c>
      <c r="G1105">
        <v>5</v>
      </c>
      <c r="H1105">
        <v>23522</v>
      </c>
      <c r="I1105">
        <v>117610</v>
      </c>
      <c r="J1105" t="s">
        <v>16</v>
      </c>
    </row>
    <row r="1106" spans="1:10" x14ac:dyDescent="0.25">
      <c r="A1106" t="s">
        <v>79</v>
      </c>
      <c r="B1106" t="s">
        <v>22</v>
      </c>
      <c r="C1106" t="s">
        <v>29</v>
      </c>
      <c r="D1106" t="s">
        <v>44</v>
      </c>
      <c r="E1106" t="s">
        <v>35</v>
      </c>
      <c r="F1106" t="s">
        <v>15</v>
      </c>
      <c r="G1106">
        <v>16</v>
      </c>
      <c r="H1106">
        <v>16451</v>
      </c>
      <c r="I1106">
        <v>263216</v>
      </c>
      <c r="J1106" t="s">
        <v>16</v>
      </c>
    </row>
    <row r="1107" spans="1:10" x14ac:dyDescent="0.25">
      <c r="A1107" t="s">
        <v>289</v>
      </c>
      <c r="B1107" t="s">
        <v>33</v>
      </c>
      <c r="C1107" t="s">
        <v>23</v>
      </c>
      <c r="D1107" t="s">
        <v>44</v>
      </c>
      <c r="E1107" t="s">
        <v>30</v>
      </c>
      <c r="F1107" t="s">
        <v>26</v>
      </c>
      <c r="G1107">
        <v>16</v>
      </c>
      <c r="H1107">
        <v>18840</v>
      </c>
      <c r="I1107">
        <v>301440</v>
      </c>
      <c r="J1107" t="s">
        <v>36</v>
      </c>
    </row>
    <row r="1108" spans="1:10" x14ac:dyDescent="0.25">
      <c r="A1108" t="s">
        <v>282</v>
      </c>
      <c r="B1108" t="s">
        <v>11</v>
      </c>
      <c r="C1108" t="s">
        <v>12</v>
      </c>
      <c r="D1108" t="s">
        <v>39</v>
      </c>
      <c r="E1108" t="s">
        <v>25</v>
      </c>
      <c r="F1108" t="s">
        <v>15</v>
      </c>
      <c r="G1108">
        <v>8</v>
      </c>
      <c r="H1108">
        <v>32722</v>
      </c>
      <c r="I1108">
        <v>261776</v>
      </c>
      <c r="J1108" t="s">
        <v>36</v>
      </c>
    </row>
    <row r="1109" spans="1:10" x14ac:dyDescent="0.25">
      <c r="A1109" t="s">
        <v>270</v>
      </c>
      <c r="B1109" t="s">
        <v>18</v>
      </c>
      <c r="C1109" t="s">
        <v>23</v>
      </c>
      <c r="D1109" t="s">
        <v>44</v>
      </c>
      <c r="E1109" t="s">
        <v>25</v>
      </c>
      <c r="F1109" t="s">
        <v>15</v>
      </c>
      <c r="G1109">
        <v>13</v>
      </c>
      <c r="H1109">
        <v>55343</v>
      </c>
      <c r="I1109">
        <v>719459</v>
      </c>
      <c r="J1109" t="s">
        <v>27</v>
      </c>
    </row>
    <row r="1110" spans="1:10" x14ac:dyDescent="0.25">
      <c r="A1110" t="s">
        <v>82</v>
      </c>
      <c r="B1110" t="s">
        <v>42</v>
      </c>
      <c r="C1110" t="s">
        <v>34</v>
      </c>
      <c r="D1110" t="s">
        <v>39</v>
      </c>
      <c r="E1110" t="s">
        <v>30</v>
      </c>
      <c r="F1110" t="s">
        <v>15</v>
      </c>
      <c r="G1110">
        <v>12</v>
      </c>
      <c r="H1110">
        <v>47969</v>
      </c>
      <c r="I1110">
        <v>575628</v>
      </c>
      <c r="J1110" t="s">
        <v>16</v>
      </c>
    </row>
    <row r="1111" spans="1:10" x14ac:dyDescent="0.25">
      <c r="A1111" t="s">
        <v>68</v>
      </c>
      <c r="B1111" t="s">
        <v>33</v>
      </c>
      <c r="C1111" t="s">
        <v>29</v>
      </c>
      <c r="D1111" t="s">
        <v>13</v>
      </c>
      <c r="E1111" t="s">
        <v>30</v>
      </c>
      <c r="F1111" t="s">
        <v>15</v>
      </c>
      <c r="G1111">
        <v>3</v>
      </c>
      <c r="H1111">
        <v>45171</v>
      </c>
      <c r="I1111">
        <v>135513</v>
      </c>
      <c r="J1111" t="s">
        <v>16</v>
      </c>
    </row>
    <row r="1112" spans="1:10" x14ac:dyDescent="0.25">
      <c r="A1112" t="s">
        <v>126</v>
      </c>
      <c r="B1112" t="s">
        <v>22</v>
      </c>
      <c r="C1112" t="s">
        <v>12</v>
      </c>
      <c r="D1112" t="s">
        <v>48</v>
      </c>
      <c r="E1112" t="s">
        <v>19</v>
      </c>
      <c r="F1112" t="s">
        <v>26</v>
      </c>
      <c r="G1112">
        <v>11</v>
      </c>
      <c r="H1112">
        <v>45803</v>
      </c>
      <c r="I1112">
        <v>503833</v>
      </c>
      <c r="J1112" t="s">
        <v>27</v>
      </c>
    </row>
    <row r="1113" spans="1:10" x14ac:dyDescent="0.25">
      <c r="A1113" t="s">
        <v>380</v>
      </c>
      <c r="B1113" t="s">
        <v>42</v>
      </c>
      <c r="C1113" t="s">
        <v>29</v>
      </c>
      <c r="D1113" t="s">
        <v>39</v>
      </c>
      <c r="E1113" t="s">
        <v>19</v>
      </c>
      <c r="F1113" t="s">
        <v>26</v>
      </c>
      <c r="G1113">
        <v>19</v>
      </c>
      <c r="H1113">
        <v>26852</v>
      </c>
      <c r="I1113">
        <v>510188</v>
      </c>
      <c r="J1113" t="s">
        <v>27</v>
      </c>
    </row>
    <row r="1114" spans="1:10" x14ac:dyDescent="0.25">
      <c r="A1114" t="s">
        <v>346</v>
      </c>
      <c r="B1114" t="s">
        <v>22</v>
      </c>
      <c r="C1114" t="s">
        <v>34</v>
      </c>
      <c r="D1114" t="s">
        <v>13</v>
      </c>
      <c r="E1114" t="s">
        <v>35</v>
      </c>
      <c r="F1114" t="s">
        <v>26</v>
      </c>
      <c r="G1114">
        <v>16</v>
      </c>
      <c r="H1114">
        <v>56434</v>
      </c>
      <c r="I1114">
        <v>902944</v>
      </c>
      <c r="J1114" t="s">
        <v>27</v>
      </c>
    </row>
    <row r="1115" spans="1:10" x14ac:dyDescent="0.25">
      <c r="A1115" t="s">
        <v>72</v>
      </c>
      <c r="B1115" t="s">
        <v>18</v>
      </c>
      <c r="C1115" t="s">
        <v>29</v>
      </c>
      <c r="D1115" t="s">
        <v>13</v>
      </c>
      <c r="E1115" t="s">
        <v>25</v>
      </c>
      <c r="F1115" t="s">
        <v>26</v>
      </c>
      <c r="G1115">
        <v>10</v>
      </c>
      <c r="H1115">
        <v>59089</v>
      </c>
      <c r="I1115">
        <v>590890</v>
      </c>
      <c r="J1115" t="s">
        <v>16</v>
      </c>
    </row>
    <row r="1116" spans="1:10" x14ac:dyDescent="0.25">
      <c r="A1116" t="s">
        <v>31</v>
      </c>
      <c r="B1116" t="s">
        <v>33</v>
      </c>
      <c r="C1116" t="s">
        <v>29</v>
      </c>
      <c r="D1116" t="s">
        <v>13</v>
      </c>
      <c r="E1116" t="s">
        <v>30</v>
      </c>
      <c r="F1116" t="s">
        <v>26</v>
      </c>
      <c r="G1116">
        <v>20</v>
      </c>
      <c r="H1116">
        <v>29790</v>
      </c>
      <c r="I1116">
        <v>595800</v>
      </c>
      <c r="J1116" t="s">
        <v>20</v>
      </c>
    </row>
    <row r="1117" spans="1:10" x14ac:dyDescent="0.25">
      <c r="A1117" t="s">
        <v>382</v>
      </c>
      <c r="B1117" t="s">
        <v>33</v>
      </c>
      <c r="C1117" t="s">
        <v>34</v>
      </c>
      <c r="D1117" t="s">
        <v>39</v>
      </c>
      <c r="E1117" t="s">
        <v>14</v>
      </c>
      <c r="F1117" t="s">
        <v>26</v>
      </c>
      <c r="G1117">
        <v>5</v>
      </c>
      <c r="H1117">
        <v>19751</v>
      </c>
      <c r="I1117">
        <v>98755</v>
      </c>
      <c r="J1117" t="s">
        <v>27</v>
      </c>
    </row>
    <row r="1118" spans="1:10" x14ac:dyDescent="0.25">
      <c r="A1118" t="s">
        <v>17</v>
      </c>
      <c r="B1118" t="s">
        <v>22</v>
      </c>
      <c r="C1118" t="s">
        <v>29</v>
      </c>
      <c r="D1118" t="s">
        <v>39</v>
      </c>
      <c r="E1118" t="s">
        <v>30</v>
      </c>
      <c r="F1118" t="s">
        <v>40</v>
      </c>
      <c r="G1118">
        <v>19</v>
      </c>
      <c r="H1118">
        <v>27035</v>
      </c>
      <c r="I1118">
        <v>513665</v>
      </c>
      <c r="J1118" t="s">
        <v>36</v>
      </c>
    </row>
    <row r="1119" spans="1:10" x14ac:dyDescent="0.25">
      <c r="A1119" t="s">
        <v>81</v>
      </c>
      <c r="B1119" t="s">
        <v>18</v>
      </c>
      <c r="C1119" t="s">
        <v>38</v>
      </c>
      <c r="D1119" t="s">
        <v>24</v>
      </c>
      <c r="E1119" t="s">
        <v>30</v>
      </c>
      <c r="F1119" t="s">
        <v>40</v>
      </c>
      <c r="G1119">
        <v>7</v>
      </c>
      <c r="H1119">
        <v>33886</v>
      </c>
      <c r="I1119">
        <v>237202</v>
      </c>
      <c r="J1119" t="s">
        <v>20</v>
      </c>
    </row>
    <row r="1120" spans="1:10" x14ac:dyDescent="0.25">
      <c r="A1120" t="s">
        <v>318</v>
      </c>
      <c r="B1120" t="s">
        <v>22</v>
      </c>
      <c r="C1120" t="s">
        <v>23</v>
      </c>
      <c r="D1120" t="s">
        <v>24</v>
      </c>
      <c r="E1120" t="s">
        <v>14</v>
      </c>
      <c r="F1120" t="s">
        <v>40</v>
      </c>
      <c r="G1120">
        <v>14</v>
      </c>
      <c r="H1120">
        <v>39942</v>
      </c>
      <c r="I1120">
        <v>559188</v>
      </c>
      <c r="J1120" t="s">
        <v>16</v>
      </c>
    </row>
    <row r="1121" spans="1:10" x14ac:dyDescent="0.25">
      <c r="A1121" t="s">
        <v>281</v>
      </c>
      <c r="B1121" t="s">
        <v>22</v>
      </c>
      <c r="C1121" t="s">
        <v>29</v>
      </c>
      <c r="D1121" t="s">
        <v>39</v>
      </c>
      <c r="E1121" t="s">
        <v>14</v>
      </c>
      <c r="F1121" t="s">
        <v>40</v>
      </c>
      <c r="G1121">
        <v>16</v>
      </c>
      <c r="H1121">
        <v>16034</v>
      </c>
      <c r="I1121">
        <v>256544</v>
      </c>
      <c r="J1121" t="s">
        <v>36</v>
      </c>
    </row>
    <row r="1122" spans="1:10" x14ac:dyDescent="0.25">
      <c r="A1122" t="s">
        <v>378</v>
      </c>
      <c r="B1122" t="s">
        <v>22</v>
      </c>
      <c r="C1122" t="s">
        <v>12</v>
      </c>
      <c r="D1122" t="s">
        <v>13</v>
      </c>
      <c r="E1122" t="s">
        <v>25</v>
      </c>
      <c r="F1122" t="s">
        <v>15</v>
      </c>
      <c r="G1122">
        <v>17</v>
      </c>
      <c r="H1122">
        <v>42131</v>
      </c>
      <c r="I1122">
        <v>716227</v>
      </c>
      <c r="J1122" t="s">
        <v>20</v>
      </c>
    </row>
    <row r="1123" spans="1:10" x14ac:dyDescent="0.25">
      <c r="A1123" t="s">
        <v>236</v>
      </c>
      <c r="B1123" t="s">
        <v>22</v>
      </c>
      <c r="C1123" t="s">
        <v>29</v>
      </c>
      <c r="D1123" t="s">
        <v>44</v>
      </c>
      <c r="E1123" t="s">
        <v>35</v>
      </c>
      <c r="F1123" t="s">
        <v>40</v>
      </c>
      <c r="G1123">
        <v>19</v>
      </c>
      <c r="H1123">
        <v>51588</v>
      </c>
      <c r="I1123">
        <v>980172</v>
      </c>
      <c r="J1123" t="s">
        <v>20</v>
      </c>
    </row>
    <row r="1124" spans="1:10" x14ac:dyDescent="0.25">
      <c r="A1124" t="s">
        <v>122</v>
      </c>
      <c r="B1124" t="s">
        <v>11</v>
      </c>
      <c r="C1124" t="s">
        <v>29</v>
      </c>
      <c r="D1124" t="s">
        <v>13</v>
      </c>
      <c r="E1124" t="s">
        <v>35</v>
      </c>
      <c r="F1124" t="s">
        <v>26</v>
      </c>
      <c r="G1124">
        <v>5</v>
      </c>
      <c r="H1124">
        <v>50487</v>
      </c>
      <c r="I1124">
        <v>252435</v>
      </c>
      <c r="J1124" t="s">
        <v>27</v>
      </c>
    </row>
    <row r="1125" spans="1:10" x14ac:dyDescent="0.25">
      <c r="A1125" t="s">
        <v>273</v>
      </c>
      <c r="B1125" t="s">
        <v>18</v>
      </c>
      <c r="C1125" t="s">
        <v>38</v>
      </c>
      <c r="D1125" t="s">
        <v>44</v>
      </c>
      <c r="E1125" t="s">
        <v>30</v>
      </c>
      <c r="F1125" t="s">
        <v>15</v>
      </c>
      <c r="G1125">
        <v>10</v>
      </c>
      <c r="H1125">
        <v>54983</v>
      </c>
      <c r="I1125">
        <v>549830</v>
      </c>
      <c r="J1125" t="s">
        <v>27</v>
      </c>
    </row>
    <row r="1126" spans="1:10" x14ac:dyDescent="0.25">
      <c r="A1126" t="s">
        <v>154</v>
      </c>
      <c r="B1126" t="s">
        <v>18</v>
      </c>
      <c r="C1126" t="s">
        <v>38</v>
      </c>
      <c r="D1126" t="s">
        <v>13</v>
      </c>
      <c r="E1126" t="s">
        <v>25</v>
      </c>
      <c r="F1126" t="s">
        <v>40</v>
      </c>
      <c r="G1126">
        <v>8</v>
      </c>
      <c r="H1126">
        <v>43106</v>
      </c>
      <c r="I1126">
        <v>344848</v>
      </c>
      <c r="J1126" t="s">
        <v>36</v>
      </c>
    </row>
    <row r="1127" spans="1:10" x14ac:dyDescent="0.25">
      <c r="A1127" t="s">
        <v>85</v>
      </c>
      <c r="B1127" t="s">
        <v>18</v>
      </c>
      <c r="C1127" t="s">
        <v>12</v>
      </c>
      <c r="D1127" t="s">
        <v>39</v>
      </c>
      <c r="E1127" t="s">
        <v>25</v>
      </c>
      <c r="F1127" t="s">
        <v>40</v>
      </c>
      <c r="G1127">
        <v>9</v>
      </c>
      <c r="H1127">
        <v>53855</v>
      </c>
      <c r="I1127">
        <v>484695</v>
      </c>
      <c r="J1127" t="s">
        <v>27</v>
      </c>
    </row>
    <row r="1128" spans="1:10" x14ac:dyDescent="0.25">
      <c r="A1128" t="s">
        <v>296</v>
      </c>
      <c r="B1128" t="s">
        <v>33</v>
      </c>
      <c r="C1128" t="s">
        <v>38</v>
      </c>
      <c r="D1128" t="s">
        <v>39</v>
      </c>
      <c r="E1128" t="s">
        <v>30</v>
      </c>
      <c r="F1128" t="s">
        <v>15</v>
      </c>
      <c r="G1128">
        <v>6</v>
      </c>
      <c r="H1128">
        <v>18806</v>
      </c>
      <c r="I1128">
        <v>112836</v>
      </c>
      <c r="J1128" t="s">
        <v>16</v>
      </c>
    </row>
    <row r="1129" spans="1:10" x14ac:dyDescent="0.25">
      <c r="A1129" t="s">
        <v>178</v>
      </c>
      <c r="B1129" t="s">
        <v>42</v>
      </c>
      <c r="C1129" t="s">
        <v>12</v>
      </c>
      <c r="D1129" t="s">
        <v>48</v>
      </c>
      <c r="E1129" t="s">
        <v>35</v>
      </c>
      <c r="F1129" t="s">
        <v>15</v>
      </c>
      <c r="G1129">
        <v>9</v>
      </c>
      <c r="H1129">
        <v>16064</v>
      </c>
      <c r="I1129">
        <v>144576</v>
      </c>
      <c r="J1129" t="s">
        <v>36</v>
      </c>
    </row>
    <row r="1130" spans="1:10" x14ac:dyDescent="0.25">
      <c r="A1130" t="s">
        <v>173</v>
      </c>
      <c r="B1130" t="s">
        <v>11</v>
      </c>
      <c r="C1130" t="s">
        <v>34</v>
      </c>
      <c r="D1130" t="s">
        <v>24</v>
      </c>
      <c r="E1130" t="s">
        <v>30</v>
      </c>
      <c r="F1130" t="s">
        <v>15</v>
      </c>
      <c r="G1130">
        <v>11</v>
      </c>
      <c r="H1130">
        <v>35303</v>
      </c>
      <c r="I1130">
        <v>388333</v>
      </c>
      <c r="J1130" t="s">
        <v>27</v>
      </c>
    </row>
    <row r="1131" spans="1:10" x14ac:dyDescent="0.25">
      <c r="A1131" t="s">
        <v>242</v>
      </c>
      <c r="B1131" t="s">
        <v>11</v>
      </c>
      <c r="C1131" t="s">
        <v>12</v>
      </c>
      <c r="D1131" t="s">
        <v>24</v>
      </c>
      <c r="E1131" t="s">
        <v>25</v>
      </c>
      <c r="F1131" t="s">
        <v>40</v>
      </c>
      <c r="G1131">
        <v>17</v>
      </c>
      <c r="H1131">
        <v>53031</v>
      </c>
      <c r="I1131">
        <v>901527</v>
      </c>
      <c r="J1131" t="s">
        <v>36</v>
      </c>
    </row>
    <row r="1132" spans="1:10" x14ac:dyDescent="0.25">
      <c r="A1132" t="s">
        <v>144</v>
      </c>
      <c r="B1132" t="s">
        <v>42</v>
      </c>
      <c r="C1132" t="s">
        <v>12</v>
      </c>
      <c r="D1132" t="s">
        <v>48</v>
      </c>
      <c r="E1132" t="s">
        <v>19</v>
      </c>
      <c r="F1132" t="s">
        <v>40</v>
      </c>
      <c r="G1132">
        <v>3</v>
      </c>
      <c r="H1132">
        <v>38138</v>
      </c>
      <c r="I1132">
        <v>114414</v>
      </c>
      <c r="J1132" t="s">
        <v>20</v>
      </c>
    </row>
    <row r="1133" spans="1:10" x14ac:dyDescent="0.25">
      <c r="A1133" t="s">
        <v>28</v>
      </c>
      <c r="B1133" t="s">
        <v>18</v>
      </c>
      <c r="C1133" t="s">
        <v>12</v>
      </c>
      <c r="D1133" t="s">
        <v>39</v>
      </c>
      <c r="E1133" t="s">
        <v>35</v>
      </c>
      <c r="F1133" t="s">
        <v>40</v>
      </c>
      <c r="G1133">
        <v>4</v>
      </c>
      <c r="H1133">
        <v>19233</v>
      </c>
      <c r="I1133">
        <v>76932</v>
      </c>
      <c r="J1133" t="s">
        <v>27</v>
      </c>
    </row>
    <row r="1134" spans="1:10" x14ac:dyDescent="0.25">
      <c r="A1134" t="s">
        <v>55</v>
      </c>
      <c r="B1134" t="s">
        <v>22</v>
      </c>
      <c r="C1134" t="s">
        <v>12</v>
      </c>
      <c r="D1134" t="s">
        <v>44</v>
      </c>
      <c r="E1134" t="s">
        <v>35</v>
      </c>
      <c r="F1134" t="s">
        <v>15</v>
      </c>
      <c r="G1134">
        <v>4</v>
      </c>
      <c r="H1134">
        <v>38806</v>
      </c>
      <c r="I1134">
        <v>155224</v>
      </c>
      <c r="J1134" t="s">
        <v>20</v>
      </c>
    </row>
    <row r="1135" spans="1:10" x14ac:dyDescent="0.25">
      <c r="A1135" t="s">
        <v>196</v>
      </c>
      <c r="B1135" t="s">
        <v>18</v>
      </c>
      <c r="C1135" t="s">
        <v>38</v>
      </c>
      <c r="D1135" t="s">
        <v>24</v>
      </c>
      <c r="E1135" t="s">
        <v>30</v>
      </c>
      <c r="F1135" t="s">
        <v>26</v>
      </c>
      <c r="G1135">
        <v>20</v>
      </c>
      <c r="H1135">
        <v>59936</v>
      </c>
      <c r="I1135">
        <v>1198720</v>
      </c>
      <c r="J1135" t="s">
        <v>27</v>
      </c>
    </row>
    <row r="1136" spans="1:10" x14ac:dyDescent="0.25">
      <c r="A1136" t="s">
        <v>338</v>
      </c>
      <c r="B1136" t="s">
        <v>11</v>
      </c>
      <c r="C1136" t="s">
        <v>38</v>
      </c>
      <c r="D1136" t="s">
        <v>13</v>
      </c>
      <c r="E1136" t="s">
        <v>14</v>
      </c>
      <c r="F1136" t="s">
        <v>40</v>
      </c>
      <c r="G1136">
        <v>17</v>
      </c>
      <c r="H1136">
        <v>45372</v>
      </c>
      <c r="I1136">
        <v>771324</v>
      </c>
      <c r="J1136" t="s">
        <v>27</v>
      </c>
    </row>
    <row r="1137" spans="1:10" x14ac:dyDescent="0.25">
      <c r="A1137" t="s">
        <v>382</v>
      </c>
      <c r="B1137" t="s">
        <v>18</v>
      </c>
      <c r="C1137" t="s">
        <v>29</v>
      </c>
      <c r="D1137" t="s">
        <v>39</v>
      </c>
      <c r="E1137" t="s">
        <v>30</v>
      </c>
      <c r="F1137" t="s">
        <v>40</v>
      </c>
      <c r="G1137">
        <v>17</v>
      </c>
      <c r="H1137">
        <v>53302</v>
      </c>
      <c r="I1137">
        <v>906134</v>
      </c>
      <c r="J1137" t="s">
        <v>20</v>
      </c>
    </row>
    <row r="1138" spans="1:10" x14ac:dyDescent="0.25">
      <c r="A1138" t="s">
        <v>268</v>
      </c>
      <c r="B1138" t="s">
        <v>11</v>
      </c>
      <c r="C1138" t="s">
        <v>38</v>
      </c>
      <c r="D1138" t="s">
        <v>48</v>
      </c>
      <c r="E1138" t="s">
        <v>14</v>
      </c>
      <c r="F1138" t="s">
        <v>15</v>
      </c>
      <c r="G1138">
        <v>10</v>
      </c>
      <c r="H1138">
        <v>40251</v>
      </c>
      <c r="I1138">
        <v>402510</v>
      </c>
      <c r="J1138" t="s">
        <v>27</v>
      </c>
    </row>
    <row r="1139" spans="1:10" x14ac:dyDescent="0.25">
      <c r="A1139" t="s">
        <v>377</v>
      </c>
      <c r="B1139" t="s">
        <v>18</v>
      </c>
      <c r="C1139" t="s">
        <v>29</v>
      </c>
      <c r="D1139" t="s">
        <v>13</v>
      </c>
      <c r="E1139" t="s">
        <v>30</v>
      </c>
      <c r="F1139" t="s">
        <v>15</v>
      </c>
      <c r="G1139">
        <v>4</v>
      </c>
      <c r="H1139">
        <v>54792</v>
      </c>
      <c r="I1139">
        <v>219168</v>
      </c>
      <c r="J1139" t="s">
        <v>20</v>
      </c>
    </row>
    <row r="1140" spans="1:10" x14ac:dyDescent="0.25">
      <c r="A1140" t="s">
        <v>88</v>
      </c>
      <c r="B1140" t="s">
        <v>22</v>
      </c>
      <c r="C1140" t="s">
        <v>34</v>
      </c>
      <c r="D1140" t="s">
        <v>39</v>
      </c>
      <c r="E1140" t="s">
        <v>19</v>
      </c>
      <c r="F1140" t="s">
        <v>40</v>
      </c>
      <c r="G1140">
        <v>5</v>
      </c>
      <c r="H1140">
        <v>49488</v>
      </c>
      <c r="I1140">
        <v>247440</v>
      </c>
      <c r="J1140" t="s">
        <v>20</v>
      </c>
    </row>
    <row r="1141" spans="1:10" x14ac:dyDescent="0.25">
      <c r="A1141" t="s">
        <v>281</v>
      </c>
      <c r="B1141" t="s">
        <v>42</v>
      </c>
      <c r="C1141" t="s">
        <v>34</v>
      </c>
      <c r="D1141" t="s">
        <v>48</v>
      </c>
      <c r="E1141" t="s">
        <v>14</v>
      </c>
      <c r="F1141" t="s">
        <v>26</v>
      </c>
      <c r="G1141">
        <v>19</v>
      </c>
      <c r="H1141">
        <v>21669</v>
      </c>
      <c r="I1141">
        <v>411711</v>
      </c>
      <c r="J1141" t="s">
        <v>16</v>
      </c>
    </row>
    <row r="1142" spans="1:10" x14ac:dyDescent="0.25">
      <c r="A1142" t="s">
        <v>80</v>
      </c>
      <c r="B1142" t="s">
        <v>11</v>
      </c>
      <c r="C1142" t="s">
        <v>29</v>
      </c>
      <c r="D1142" t="s">
        <v>44</v>
      </c>
      <c r="E1142" t="s">
        <v>30</v>
      </c>
      <c r="F1142" t="s">
        <v>40</v>
      </c>
      <c r="G1142">
        <v>11</v>
      </c>
      <c r="H1142">
        <v>51994</v>
      </c>
      <c r="I1142">
        <v>571934</v>
      </c>
      <c r="J1142" t="s">
        <v>36</v>
      </c>
    </row>
    <row r="1143" spans="1:10" x14ac:dyDescent="0.25">
      <c r="A1143" t="s">
        <v>65</v>
      </c>
      <c r="B1143" t="s">
        <v>33</v>
      </c>
      <c r="C1143" t="s">
        <v>23</v>
      </c>
      <c r="D1143" t="s">
        <v>13</v>
      </c>
      <c r="E1143" t="s">
        <v>14</v>
      </c>
      <c r="F1143" t="s">
        <v>26</v>
      </c>
      <c r="G1143">
        <v>4</v>
      </c>
      <c r="H1143">
        <v>48753</v>
      </c>
      <c r="I1143">
        <v>195012</v>
      </c>
      <c r="J1143" t="s">
        <v>20</v>
      </c>
    </row>
    <row r="1144" spans="1:10" x14ac:dyDescent="0.25">
      <c r="A1144" t="s">
        <v>385</v>
      </c>
      <c r="B1144" t="s">
        <v>33</v>
      </c>
      <c r="C1144" t="s">
        <v>38</v>
      </c>
      <c r="D1144" t="s">
        <v>44</v>
      </c>
      <c r="E1144" t="s">
        <v>30</v>
      </c>
      <c r="F1144" t="s">
        <v>26</v>
      </c>
      <c r="G1144">
        <v>11</v>
      </c>
      <c r="H1144">
        <v>26261</v>
      </c>
      <c r="I1144">
        <v>288871</v>
      </c>
      <c r="J1144" t="s">
        <v>16</v>
      </c>
    </row>
    <row r="1145" spans="1:10" x14ac:dyDescent="0.25">
      <c r="A1145" t="s">
        <v>70</v>
      </c>
      <c r="B1145" t="s">
        <v>11</v>
      </c>
      <c r="C1145" t="s">
        <v>23</v>
      </c>
      <c r="D1145" t="s">
        <v>44</v>
      </c>
      <c r="E1145" t="s">
        <v>35</v>
      </c>
      <c r="F1145" t="s">
        <v>40</v>
      </c>
      <c r="G1145">
        <v>8</v>
      </c>
      <c r="H1145">
        <v>31753</v>
      </c>
      <c r="I1145">
        <v>254024</v>
      </c>
      <c r="J1145" t="s">
        <v>16</v>
      </c>
    </row>
    <row r="1146" spans="1:10" x14ac:dyDescent="0.25">
      <c r="A1146" t="s">
        <v>151</v>
      </c>
      <c r="B1146" t="s">
        <v>18</v>
      </c>
      <c r="C1146" t="s">
        <v>34</v>
      </c>
      <c r="D1146" t="s">
        <v>44</v>
      </c>
      <c r="E1146" t="s">
        <v>14</v>
      </c>
      <c r="F1146" t="s">
        <v>40</v>
      </c>
      <c r="G1146">
        <v>14</v>
      </c>
      <c r="H1146">
        <v>37705</v>
      </c>
      <c r="I1146">
        <v>527870</v>
      </c>
      <c r="J1146" t="s">
        <v>36</v>
      </c>
    </row>
    <row r="1147" spans="1:10" x14ac:dyDescent="0.25">
      <c r="A1147" t="s">
        <v>218</v>
      </c>
      <c r="B1147" t="s">
        <v>42</v>
      </c>
      <c r="C1147" t="s">
        <v>34</v>
      </c>
      <c r="D1147" t="s">
        <v>24</v>
      </c>
      <c r="E1147" t="s">
        <v>14</v>
      </c>
      <c r="F1147" t="s">
        <v>26</v>
      </c>
      <c r="G1147">
        <v>11</v>
      </c>
      <c r="H1147">
        <v>17126</v>
      </c>
      <c r="I1147">
        <v>188386</v>
      </c>
      <c r="J1147" t="s">
        <v>36</v>
      </c>
    </row>
    <row r="1148" spans="1:10" x14ac:dyDescent="0.25">
      <c r="A1148" t="s">
        <v>204</v>
      </c>
      <c r="B1148" t="s">
        <v>11</v>
      </c>
      <c r="C1148" t="s">
        <v>12</v>
      </c>
      <c r="D1148" t="s">
        <v>13</v>
      </c>
      <c r="E1148" t="s">
        <v>19</v>
      </c>
      <c r="F1148" t="s">
        <v>15</v>
      </c>
      <c r="G1148">
        <v>9</v>
      </c>
      <c r="H1148">
        <v>16638</v>
      </c>
      <c r="I1148">
        <v>149742</v>
      </c>
      <c r="J1148" t="s">
        <v>27</v>
      </c>
    </row>
    <row r="1149" spans="1:10" x14ac:dyDescent="0.25">
      <c r="A1149" t="s">
        <v>141</v>
      </c>
      <c r="B1149" t="s">
        <v>11</v>
      </c>
      <c r="C1149" t="s">
        <v>29</v>
      </c>
      <c r="D1149" t="s">
        <v>13</v>
      </c>
      <c r="E1149" t="s">
        <v>30</v>
      </c>
      <c r="F1149" t="s">
        <v>40</v>
      </c>
      <c r="G1149">
        <v>2</v>
      </c>
      <c r="H1149">
        <v>34955</v>
      </c>
      <c r="I1149">
        <v>69910</v>
      </c>
      <c r="J1149" t="s">
        <v>16</v>
      </c>
    </row>
    <row r="1150" spans="1:10" x14ac:dyDescent="0.25">
      <c r="A1150" t="s">
        <v>159</v>
      </c>
      <c r="B1150" t="s">
        <v>18</v>
      </c>
      <c r="C1150" t="s">
        <v>12</v>
      </c>
      <c r="D1150" t="s">
        <v>13</v>
      </c>
      <c r="E1150" t="s">
        <v>35</v>
      </c>
      <c r="F1150" t="s">
        <v>26</v>
      </c>
      <c r="G1150">
        <v>10</v>
      </c>
      <c r="H1150">
        <v>37021</v>
      </c>
      <c r="I1150">
        <v>370210</v>
      </c>
      <c r="J1150" t="s">
        <v>20</v>
      </c>
    </row>
    <row r="1151" spans="1:10" x14ac:dyDescent="0.25">
      <c r="A1151" t="s">
        <v>53</v>
      </c>
      <c r="B1151" t="s">
        <v>18</v>
      </c>
      <c r="C1151" t="s">
        <v>29</v>
      </c>
      <c r="D1151" t="s">
        <v>39</v>
      </c>
      <c r="E1151" t="s">
        <v>25</v>
      </c>
      <c r="F1151" t="s">
        <v>40</v>
      </c>
      <c r="G1151">
        <v>20</v>
      </c>
      <c r="H1151">
        <v>42520</v>
      </c>
      <c r="I1151">
        <v>850400</v>
      </c>
      <c r="J1151" t="s">
        <v>36</v>
      </c>
    </row>
    <row r="1152" spans="1:10" x14ac:dyDescent="0.25">
      <c r="A1152" t="s">
        <v>174</v>
      </c>
      <c r="B1152" t="s">
        <v>33</v>
      </c>
      <c r="C1152" t="s">
        <v>12</v>
      </c>
      <c r="D1152" t="s">
        <v>39</v>
      </c>
      <c r="E1152" t="s">
        <v>25</v>
      </c>
      <c r="F1152" t="s">
        <v>15</v>
      </c>
      <c r="G1152">
        <v>7</v>
      </c>
      <c r="H1152">
        <v>51169</v>
      </c>
      <c r="I1152">
        <v>358183</v>
      </c>
      <c r="J1152" t="s">
        <v>27</v>
      </c>
    </row>
    <row r="1153" spans="1:10" x14ac:dyDescent="0.25">
      <c r="A1153" t="s">
        <v>239</v>
      </c>
      <c r="B1153" t="s">
        <v>18</v>
      </c>
      <c r="C1153" t="s">
        <v>23</v>
      </c>
      <c r="D1153" t="s">
        <v>39</v>
      </c>
      <c r="E1153" t="s">
        <v>14</v>
      </c>
      <c r="F1153" t="s">
        <v>40</v>
      </c>
      <c r="G1153">
        <v>9</v>
      </c>
      <c r="H1153">
        <v>17139</v>
      </c>
      <c r="I1153">
        <v>154251</v>
      </c>
      <c r="J1153" t="s">
        <v>36</v>
      </c>
    </row>
    <row r="1154" spans="1:10" x14ac:dyDescent="0.25">
      <c r="A1154" t="s">
        <v>357</v>
      </c>
      <c r="B1154" t="s">
        <v>22</v>
      </c>
      <c r="C1154" t="s">
        <v>29</v>
      </c>
      <c r="D1154" t="s">
        <v>44</v>
      </c>
      <c r="E1154" t="s">
        <v>35</v>
      </c>
      <c r="F1154" t="s">
        <v>26</v>
      </c>
      <c r="G1154">
        <v>5</v>
      </c>
      <c r="H1154">
        <v>58452</v>
      </c>
      <c r="I1154">
        <v>292260</v>
      </c>
      <c r="J1154" t="s">
        <v>36</v>
      </c>
    </row>
    <row r="1155" spans="1:10" x14ac:dyDescent="0.25">
      <c r="A1155" t="s">
        <v>241</v>
      </c>
      <c r="B1155" t="s">
        <v>22</v>
      </c>
      <c r="C1155" t="s">
        <v>29</v>
      </c>
      <c r="D1155" t="s">
        <v>48</v>
      </c>
      <c r="E1155" t="s">
        <v>14</v>
      </c>
      <c r="F1155" t="s">
        <v>15</v>
      </c>
      <c r="G1155">
        <v>3</v>
      </c>
      <c r="H1155">
        <v>30476</v>
      </c>
      <c r="I1155">
        <v>91428</v>
      </c>
      <c r="J1155" t="s">
        <v>36</v>
      </c>
    </row>
    <row r="1156" spans="1:10" x14ac:dyDescent="0.25">
      <c r="A1156" t="s">
        <v>236</v>
      </c>
      <c r="B1156" t="s">
        <v>42</v>
      </c>
      <c r="C1156" t="s">
        <v>12</v>
      </c>
      <c r="D1156" t="s">
        <v>39</v>
      </c>
      <c r="E1156" t="s">
        <v>14</v>
      </c>
      <c r="F1156" t="s">
        <v>26</v>
      </c>
      <c r="G1156">
        <v>11</v>
      </c>
      <c r="H1156">
        <v>47146</v>
      </c>
      <c r="I1156">
        <v>518606</v>
      </c>
      <c r="J1156" t="s">
        <v>27</v>
      </c>
    </row>
    <row r="1157" spans="1:10" x14ac:dyDescent="0.25">
      <c r="A1157" t="s">
        <v>72</v>
      </c>
      <c r="B1157" t="s">
        <v>11</v>
      </c>
      <c r="C1157" t="s">
        <v>23</v>
      </c>
      <c r="D1157" t="s">
        <v>44</v>
      </c>
      <c r="E1157" t="s">
        <v>35</v>
      </c>
      <c r="F1157" t="s">
        <v>15</v>
      </c>
      <c r="G1157">
        <v>10</v>
      </c>
      <c r="H1157">
        <v>59041</v>
      </c>
      <c r="I1157">
        <v>590410</v>
      </c>
      <c r="J1157" t="s">
        <v>27</v>
      </c>
    </row>
    <row r="1158" spans="1:10" x14ac:dyDescent="0.25">
      <c r="A1158" t="s">
        <v>150</v>
      </c>
      <c r="B1158" t="s">
        <v>11</v>
      </c>
      <c r="C1158" t="s">
        <v>38</v>
      </c>
      <c r="D1158" t="s">
        <v>13</v>
      </c>
      <c r="E1158" t="s">
        <v>30</v>
      </c>
      <c r="F1158" t="s">
        <v>40</v>
      </c>
      <c r="G1158">
        <v>9</v>
      </c>
      <c r="H1158">
        <v>38622</v>
      </c>
      <c r="I1158">
        <v>347598</v>
      </c>
      <c r="J1158" t="s">
        <v>36</v>
      </c>
    </row>
    <row r="1159" spans="1:10" x14ac:dyDescent="0.25">
      <c r="A1159" t="s">
        <v>154</v>
      </c>
      <c r="B1159" t="s">
        <v>33</v>
      </c>
      <c r="C1159" t="s">
        <v>34</v>
      </c>
      <c r="D1159" t="s">
        <v>24</v>
      </c>
      <c r="E1159" t="s">
        <v>30</v>
      </c>
      <c r="F1159" t="s">
        <v>15</v>
      </c>
      <c r="G1159">
        <v>6</v>
      </c>
      <c r="H1159">
        <v>44797</v>
      </c>
      <c r="I1159">
        <v>268782</v>
      </c>
      <c r="J1159" t="s">
        <v>27</v>
      </c>
    </row>
    <row r="1160" spans="1:10" x14ac:dyDescent="0.25">
      <c r="A1160" t="s">
        <v>294</v>
      </c>
      <c r="B1160" t="s">
        <v>22</v>
      </c>
      <c r="C1160" t="s">
        <v>29</v>
      </c>
      <c r="D1160" t="s">
        <v>24</v>
      </c>
      <c r="E1160" t="s">
        <v>19</v>
      </c>
      <c r="F1160" t="s">
        <v>15</v>
      </c>
      <c r="G1160">
        <v>13</v>
      </c>
      <c r="H1160">
        <v>22848</v>
      </c>
      <c r="I1160">
        <v>297024</v>
      </c>
      <c r="J1160" t="s">
        <v>16</v>
      </c>
    </row>
    <row r="1161" spans="1:10" x14ac:dyDescent="0.25">
      <c r="A1161" t="s">
        <v>371</v>
      </c>
      <c r="B1161" t="s">
        <v>33</v>
      </c>
      <c r="C1161" t="s">
        <v>12</v>
      </c>
      <c r="D1161" t="s">
        <v>39</v>
      </c>
      <c r="E1161" t="s">
        <v>25</v>
      </c>
      <c r="F1161" t="s">
        <v>15</v>
      </c>
      <c r="G1161">
        <v>13</v>
      </c>
      <c r="H1161">
        <v>57347</v>
      </c>
      <c r="I1161">
        <v>745511</v>
      </c>
      <c r="J1161" t="s">
        <v>20</v>
      </c>
    </row>
    <row r="1162" spans="1:10" x14ac:dyDescent="0.25">
      <c r="A1162" t="s">
        <v>346</v>
      </c>
      <c r="B1162" t="s">
        <v>42</v>
      </c>
      <c r="C1162" t="s">
        <v>12</v>
      </c>
      <c r="D1162" t="s">
        <v>24</v>
      </c>
      <c r="E1162" t="s">
        <v>30</v>
      </c>
      <c r="F1162" t="s">
        <v>40</v>
      </c>
      <c r="G1162">
        <v>16</v>
      </c>
      <c r="H1162">
        <v>42069</v>
      </c>
      <c r="I1162">
        <v>673104</v>
      </c>
      <c r="J1162" t="s">
        <v>20</v>
      </c>
    </row>
    <row r="1163" spans="1:10" x14ac:dyDescent="0.25">
      <c r="A1163" t="s">
        <v>343</v>
      </c>
      <c r="B1163" t="s">
        <v>18</v>
      </c>
      <c r="C1163" t="s">
        <v>38</v>
      </c>
      <c r="D1163" t="s">
        <v>39</v>
      </c>
      <c r="E1163" t="s">
        <v>25</v>
      </c>
      <c r="F1163" t="s">
        <v>26</v>
      </c>
      <c r="G1163">
        <v>16</v>
      </c>
      <c r="H1163">
        <v>31789</v>
      </c>
      <c r="I1163">
        <v>508624</v>
      </c>
      <c r="J1163" t="s">
        <v>27</v>
      </c>
    </row>
    <row r="1164" spans="1:10" x14ac:dyDescent="0.25">
      <c r="A1164" t="s">
        <v>347</v>
      </c>
      <c r="B1164" t="s">
        <v>33</v>
      </c>
      <c r="C1164" t="s">
        <v>38</v>
      </c>
      <c r="D1164" t="s">
        <v>13</v>
      </c>
      <c r="E1164" t="s">
        <v>19</v>
      </c>
      <c r="F1164" t="s">
        <v>15</v>
      </c>
      <c r="G1164">
        <v>19</v>
      </c>
      <c r="H1164">
        <v>17201</v>
      </c>
      <c r="I1164">
        <v>326819</v>
      </c>
      <c r="J1164" t="s">
        <v>20</v>
      </c>
    </row>
    <row r="1165" spans="1:10" x14ac:dyDescent="0.25">
      <c r="A1165" t="s">
        <v>386</v>
      </c>
      <c r="B1165" t="s">
        <v>22</v>
      </c>
      <c r="C1165" t="s">
        <v>23</v>
      </c>
      <c r="D1165" t="s">
        <v>44</v>
      </c>
      <c r="E1165" t="s">
        <v>35</v>
      </c>
      <c r="F1165" t="s">
        <v>26</v>
      </c>
      <c r="G1165">
        <v>19</v>
      </c>
      <c r="H1165">
        <v>30156</v>
      </c>
      <c r="I1165">
        <v>572964</v>
      </c>
      <c r="J1165" t="s">
        <v>16</v>
      </c>
    </row>
    <row r="1166" spans="1:10" x14ac:dyDescent="0.25">
      <c r="A1166" t="s">
        <v>199</v>
      </c>
      <c r="B1166" t="s">
        <v>33</v>
      </c>
      <c r="C1166" t="s">
        <v>12</v>
      </c>
      <c r="D1166" t="s">
        <v>13</v>
      </c>
      <c r="E1166" t="s">
        <v>35</v>
      </c>
      <c r="F1166" t="s">
        <v>15</v>
      </c>
      <c r="G1166">
        <v>10</v>
      </c>
      <c r="H1166">
        <v>46039</v>
      </c>
      <c r="I1166">
        <v>460390</v>
      </c>
      <c r="J1166" t="s">
        <v>27</v>
      </c>
    </row>
    <row r="1167" spans="1:10" x14ac:dyDescent="0.25">
      <c r="A1167" t="s">
        <v>75</v>
      </c>
      <c r="B1167" t="s">
        <v>18</v>
      </c>
      <c r="C1167" t="s">
        <v>34</v>
      </c>
      <c r="D1167" t="s">
        <v>39</v>
      </c>
      <c r="E1167" t="s">
        <v>25</v>
      </c>
      <c r="F1167" t="s">
        <v>40</v>
      </c>
      <c r="G1167">
        <v>13</v>
      </c>
      <c r="H1167">
        <v>49459</v>
      </c>
      <c r="I1167">
        <v>642967</v>
      </c>
      <c r="J1167" t="s">
        <v>16</v>
      </c>
    </row>
    <row r="1168" spans="1:10" x14ac:dyDescent="0.25">
      <c r="A1168" t="s">
        <v>319</v>
      </c>
      <c r="B1168" t="s">
        <v>18</v>
      </c>
      <c r="C1168" t="s">
        <v>29</v>
      </c>
      <c r="D1168" t="s">
        <v>44</v>
      </c>
      <c r="E1168" t="s">
        <v>30</v>
      </c>
      <c r="F1168" t="s">
        <v>26</v>
      </c>
      <c r="G1168">
        <v>13</v>
      </c>
      <c r="H1168">
        <v>26047</v>
      </c>
      <c r="I1168">
        <v>338611</v>
      </c>
      <c r="J1168" t="s">
        <v>20</v>
      </c>
    </row>
    <row r="1169" spans="1:10" x14ac:dyDescent="0.25">
      <c r="A1169" t="s">
        <v>275</v>
      </c>
      <c r="B1169" t="s">
        <v>22</v>
      </c>
      <c r="C1169" t="s">
        <v>34</v>
      </c>
      <c r="D1169" t="s">
        <v>13</v>
      </c>
      <c r="E1169" t="s">
        <v>35</v>
      </c>
      <c r="F1169" t="s">
        <v>15</v>
      </c>
      <c r="G1169">
        <v>18</v>
      </c>
      <c r="H1169">
        <v>27232</v>
      </c>
      <c r="I1169">
        <v>490176</v>
      </c>
      <c r="J1169" t="s">
        <v>20</v>
      </c>
    </row>
    <row r="1170" spans="1:10" x14ac:dyDescent="0.25">
      <c r="A1170" t="s">
        <v>231</v>
      </c>
      <c r="B1170" t="s">
        <v>42</v>
      </c>
      <c r="C1170" t="s">
        <v>38</v>
      </c>
      <c r="D1170" t="s">
        <v>13</v>
      </c>
      <c r="E1170" t="s">
        <v>25</v>
      </c>
      <c r="F1170" t="s">
        <v>40</v>
      </c>
      <c r="G1170">
        <v>18</v>
      </c>
      <c r="H1170">
        <v>45864</v>
      </c>
      <c r="I1170">
        <v>825552</v>
      </c>
      <c r="J1170" t="s">
        <v>36</v>
      </c>
    </row>
    <row r="1171" spans="1:10" x14ac:dyDescent="0.25">
      <c r="A1171" t="s">
        <v>101</v>
      </c>
      <c r="B1171" t="s">
        <v>22</v>
      </c>
      <c r="C1171" t="s">
        <v>23</v>
      </c>
      <c r="D1171" t="s">
        <v>24</v>
      </c>
      <c r="E1171" t="s">
        <v>19</v>
      </c>
      <c r="F1171" t="s">
        <v>15</v>
      </c>
      <c r="G1171">
        <v>8</v>
      </c>
      <c r="H1171">
        <v>24027</v>
      </c>
      <c r="I1171">
        <v>192216</v>
      </c>
      <c r="J1171" t="s">
        <v>16</v>
      </c>
    </row>
    <row r="1172" spans="1:10" x14ac:dyDescent="0.25">
      <c r="A1172" t="s">
        <v>72</v>
      </c>
      <c r="B1172" t="s">
        <v>22</v>
      </c>
      <c r="C1172" t="s">
        <v>29</v>
      </c>
      <c r="D1172" t="s">
        <v>44</v>
      </c>
      <c r="E1172" t="s">
        <v>35</v>
      </c>
      <c r="F1172" t="s">
        <v>40</v>
      </c>
      <c r="G1172">
        <v>12</v>
      </c>
      <c r="H1172">
        <v>31619</v>
      </c>
      <c r="I1172">
        <v>379428</v>
      </c>
      <c r="J1172" t="s">
        <v>36</v>
      </c>
    </row>
    <row r="1173" spans="1:10" x14ac:dyDescent="0.25">
      <c r="A1173" t="s">
        <v>387</v>
      </c>
      <c r="B1173" t="s">
        <v>22</v>
      </c>
      <c r="C1173" t="s">
        <v>12</v>
      </c>
      <c r="D1173" t="s">
        <v>13</v>
      </c>
      <c r="E1173" t="s">
        <v>25</v>
      </c>
      <c r="F1173" t="s">
        <v>40</v>
      </c>
      <c r="G1173">
        <v>6</v>
      </c>
      <c r="H1173">
        <v>47540</v>
      </c>
      <c r="I1173">
        <v>285240</v>
      </c>
      <c r="J1173" t="s">
        <v>27</v>
      </c>
    </row>
    <row r="1174" spans="1:10" x14ac:dyDescent="0.25">
      <c r="A1174" t="s">
        <v>207</v>
      </c>
      <c r="B1174" t="s">
        <v>42</v>
      </c>
      <c r="C1174" t="s">
        <v>12</v>
      </c>
      <c r="D1174" t="s">
        <v>39</v>
      </c>
      <c r="E1174" t="s">
        <v>14</v>
      </c>
      <c r="F1174" t="s">
        <v>15</v>
      </c>
      <c r="G1174">
        <v>10</v>
      </c>
      <c r="H1174">
        <v>35450</v>
      </c>
      <c r="I1174">
        <v>354500</v>
      </c>
      <c r="J1174" t="s">
        <v>20</v>
      </c>
    </row>
    <row r="1175" spans="1:10" x14ac:dyDescent="0.25">
      <c r="A1175" t="s">
        <v>137</v>
      </c>
      <c r="B1175" t="s">
        <v>33</v>
      </c>
      <c r="C1175" t="s">
        <v>29</v>
      </c>
      <c r="D1175" t="s">
        <v>48</v>
      </c>
      <c r="E1175" t="s">
        <v>30</v>
      </c>
      <c r="F1175" t="s">
        <v>40</v>
      </c>
      <c r="G1175">
        <v>8</v>
      </c>
      <c r="H1175">
        <v>20549</v>
      </c>
      <c r="I1175">
        <v>164392</v>
      </c>
      <c r="J1175" t="s">
        <v>27</v>
      </c>
    </row>
    <row r="1176" spans="1:10" x14ac:dyDescent="0.25">
      <c r="A1176" t="s">
        <v>81</v>
      </c>
      <c r="B1176" t="s">
        <v>22</v>
      </c>
      <c r="C1176" t="s">
        <v>29</v>
      </c>
      <c r="D1176" t="s">
        <v>48</v>
      </c>
      <c r="E1176" t="s">
        <v>14</v>
      </c>
      <c r="F1176" t="s">
        <v>40</v>
      </c>
      <c r="G1176">
        <v>17</v>
      </c>
      <c r="H1176">
        <v>42384</v>
      </c>
      <c r="I1176">
        <v>720528</v>
      </c>
      <c r="J1176" t="s">
        <v>20</v>
      </c>
    </row>
    <row r="1177" spans="1:10" x14ac:dyDescent="0.25">
      <c r="A1177" t="s">
        <v>284</v>
      </c>
      <c r="B1177" t="s">
        <v>33</v>
      </c>
      <c r="C1177" t="s">
        <v>23</v>
      </c>
      <c r="D1177" t="s">
        <v>24</v>
      </c>
      <c r="E1177" t="s">
        <v>30</v>
      </c>
      <c r="F1177" t="s">
        <v>26</v>
      </c>
      <c r="G1177">
        <v>14</v>
      </c>
      <c r="H1177">
        <v>45433</v>
      </c>
      <c r="I1177">
        <v>636062</v>
      </c>
      <c r="J1177" t="s">
        <v>36</v>
      </c>
    </row>
    <row r="1178" spans="1:10" x14ac:dyDescent="0.25">
      <c r="A1178" t="s">
        <v>361</v>
      </c>
      <c r="B1178" t="s">
        <v>18</v>
      </c>
      <c r="C1178" t="s">
        <v>23</v>
      </c>
      <c r="D1178" t="s">
        <v>39</v>
      </c>
      <c r="E1178" t="s">
        <v>25</v>
      </c>
      <c r="F1178" t="s">
        <v>15</v>
      </c>
      <c r="G1178">
        <v>19</v>
      </c>
      <c r="H1178">
        <v>22124</v>
      </c>
      <c r="I1178">
        <v>420356</v>
      </c>
      <c r="J1178" t="s">
        <v>16</v>
      </c>
    </row>
    <row r="1179" spans="1:10" x14ac:dyDescent="0.25">
      <c r="A1179" t="s">
        <v>292</v>
      </c>
      <c r="B1179" t="s">
        <v>18</v>
      </c>
      <c r="C1179" t="s">
        <v>38</v>
      </c>
      <c r="D1179" t="s">
        <v>24</v>
      </c>
      <c r="E1179" t="s">
        <v>30</v>
      </c>
      <c r="F1179" t="s">
        <v>40</v>
      </c>
      <c r="G1179">
        <v>20</v>
      </c>
      <c r="H1179">
        <v>50692</v>
      </c>
      <c r="I1179">
        <v>1013840</v>
      </c>
      <c r="J1179" t="s">
        <v>16</v>
      </c>
    </row>
    <row r="1180" spans="1:10" x14ac:dyDescent="0.25">
      <c r="A1180" t="s">
        <v>190</v>
      </c>
      <c r="B1180" t="s">
        <v>42</v>
      </c>
      <c r="C1180" t="s">
        <v>38</v>
      </c>
      <c r="D1180" t="s">
        <v>48</v>
      </c>
      <c r="E1180" t="s">
        <v>30</v>
      </c>
      <c r="F1180" t="s">
        <v>40</v>
      </c>
      <c r="G1180">
        <v>20</v>
      </c>
      <c r="H1180">
        <v>28894</v>
      </c>
      <c r="I1180">
        <v>577880</v>
      </c>
      <c r="J1180" t="s">
        <v>36</v>
      </c>
    </row>
    <row r="1181" spans="1:10" x14ac:dyDescent="0.25">
      <c r="A1181" t="s">
        <v>111</v>
      </c>
      <c r="B1181" t="s">
        <v>22</v>
      </c>
      <c r="C1181" t="s">
        <v>23</v>
      </c>
      <c r="D1181" t="s">
        <v>39</v>
      </c>
      <c r="E1181" t="s">
        <v>14</v>
      </c>
      <c r="F1181" t="s">
        <v>15</v>
      </c>
      <c r="G1181">
        <v>3</v>
      </c>
      <c r="H1181">
        <v>29723</v>
      </c>
      <c r="I1181">
        <v>89169</v>
      </c>
      <c r="J1181" t="s">
        <v>16</v>
      </c>
    </row>
    <row r="1182" spans="1:10" x14ac:dyDescent="0.25">
      <c r="A1182" t="s">
        <v>242</v>
      </c>
      <c r="B1182" t="s">
        <v>18</v>
      </c>
      <c r="C1182" t="s">
        <v>12</v>
      </c>
      <c r="D1182" t="s">
        <v>24</v>
      </c>
      <c r="E1182" t="s">
        <v>35</v>
      </c>
      <c r="F1182" t="s">
        <v>26</v>
      </c>
      <c r="G1182">
        <v>11</v>
      </c>
      <c r="H1182">
        <v>51902</v>
      </c>
      <c r="I1182">
        <v>570922</v>
      </c>
      <c r="J1182" t="s">
        <v>16</v>
      </c>
    </row>
    <row r="1183" spans="1:10" x14ac:dyDescent="0.25">
      <c r="A1183" t="s">
        <v>356</v>
      </c>
      <c r="B1183" t="s">
        <v>11</v>
      </c>
      <c r="C1183" t="s">
        <v>38</v>
      </c>
      <c r="D1183" t="s">
        <v>24</v>
      </c>
      <c r="E1183" t="s">
        <v>35</v>
      </c>
      <c r="F1183" t="s">
        <v>40</v>
      </c>
      <c r="G1183">
        <v>15</v>
      </c>
      <c r="H1183">
        <v>57492</v>
      </c>
      <c r="I1183">
        <v>862380</v>
      </c>
      <c r="J1183" t="s">
        <v>36</v>
      </c>
    </row>
    <row r="1184" spans="1:10" x14ac:dyDescent="0.25">
      <c r="A1184" t="s">
        <v>45</v>
      </c>
      <c r="B1184" t="s">
        <v>18</v>
      </c>
      <c r="C1184" t="s">
        <v>23</v>
      </c>
      <c r="D1184" t="s">
        <v>24</v>
      </c>
      <c r="E1184" t="s">
        <v>35</v>
      </c>
      <c r="F1184" t="s">
        <v>40</v>
      </c>
      <c r="G1184">
        <v>5</v>
      </c>
      <c r="H1184">
        <v>41093</v>
      </c>
      <c r="I1184">
        <v>205465</v>
      </c>
      <c r="J1184" t="s">
        <v>27</v>
      </c>
    </row>
    <row r="1185" spans="1:10" x14ac:dyDescent="0.25">
      <c r="A1185" t="s">
        <v>360</v>
      </c>
      <c r="B1185" t="s">
        <v>11</v>
      </c>
      <c r="C1185" t="s">
        <v>29</v>
      </c>
      <c r="D1185" t="s">
        <v>24</v>
      </c>
      <c r="E1185" t="s">
        <v>14</v>
      </c>
      <c r="F1185" t="s">
        <v>40</v>
      </c>
      <c r="G1185">
        <v>11</v>
      </c>
      <c r="H1185">
        <v>53435</v>
      </c>
      <c r="I1185">
        <v>587785</v>
      </c>
      <c r="J1185" t="s">
        <v>16</v>
      </c>
    </row>
    <row r="1186" spans="1:10" x14ac:dyDescent="0.25">
      <c r="A1186" t="s">
        <v>278</v>
      </c>
      <c r="B1186" t="s">
        <v>33</v>
      </c>
      <c r="C1186" t="s">
        <v>29</v>
      </c>
      <c r="D1186" t="s">
        <v>39</v>
      </c>
      <c r="E1186" t="s">
        <v>25</v>
      </c>
      <c r="F1186" t="s">
        <v>15</v>
      </c>
      <c r="G1186">
        <v>10</v>
      </c>
      <c r="H1186">
        <v>29122</v>
      </c>
      <c r="I1186">
        <v>291220</v>
      </c>
      <c r="J1186" t="s">
        <v>20</v>
      </c>
    </row>
    <row r="1187" spans="1:10" x14ac:dyDescent="0.25">
      <c r="A1187" t="s">
        <v>262</v>
      </c>
      <c r="B1187" t="s">
        <v>33</v>
      </c>
      <c r="C1187" t="s">
        <v>34</v>
      </c>
      <c r="D1187" t="s">
        <v>39</v>
      </c>
      <c r="E1187" t="s">
        <v>25</v>
      </c>
      <c r="F1187" t="s">
        <v>26</v>
      </c>
      <c r="G1187">
        <v>18</v>
      </c>
      <c r="H1187">
        <v>36798</v>
      </c>
      <c r="I1187">
        <v>662364</v>
      </c>
      <c r="J1187" t="s">
        <v>36</v>
      </c>
    </row>
    <row r="1188" spans="1:10" x14ac:dyDescent="0.25">
      <c r="A1188" t="s">
        <v>223</v>
      </c>
      <c r="B1188" t="s">
        <v>22</v>
      </c>
      <c r="C1188" t="s">
        <v>29</v>
      </c>
      <c r="D1188" t="s">
        <v>13</v>
      </c>
      <c r="E1188" t="s">
        <v>30</v>
      </c>
      <c r="F1188" t="s">
        <v>40</v>
      </c>
      <c r="G1188">
        <v>2</v>
      </c>
      <c r="H1188">
        <v>41962</v>
      </c>
      <c r="I1188">
        <v>83924</v>
      </c>
      <c r="J1188" t="s">
        <v>16</v>
      </c>
    </row>
    <row r="1189" spans="1:10" x14ac:dyDescent="0.25">
      <c r="A1189" t="s">
        <v>320</v>
      </c>
      <c r="B1189" t="s">
        <v>33</v>
      </c>
      <c r="C1189" t="s">
        <v>12</v>
      </c>
      <c r="D1189" t="s">
        <v>13</v>
      </c>
      <c r="E1189" t="s">
        <v>25</v>
      </c>
      <c r="F1189" t="s">
        <v>15</v>
      </c>
      <c r="G1189">
        <v>9</v>
      </c>
      <c r="H1189">
        <v>20672</v>
      </c>
      <c r="I1189">
        <v>186048</v>
      </c>
      <c r="J1189" t="s">
        <v>36</v>
      </c>
    </row>
    <row r="1190" spans="1:10" x14ac:dyDescent="0.25">
      <c r="A1190" t="s">
        <v>78</v>
      </c>
      <c r="B1190" t="s">
        <v>42</v>
      </c>
      <c r="C1190" t="s">
        <v>23</v>
      </c>
      <c r="D1190" t="s">
        <v>13</v>
      </c>
      <c r="E1190" t="s">
        <v>30</v>
      </c>
      <c r="F1190" t="s">
        <v>15</v>
      </c>
      <c r="G1190">
        <v>20</v>
      </c>
      <c r="H1190">
        <v>21279</v>
      </c>
      <c r="I1190">
        <v>425580</v>
      </c>
      <c r="J1190" t="s">
        <v>16</v>
      </c>
    </row>
    <row r="1191" spans="1:10" x14ac:dyDescent="0.25">
      <c r="A1191" t="s">
        <v>208</v>
      </c>
      <c r="B1191" t="s">
        <v>22</v>
      </c>
      <c r="C1191" t="s">
        <v>12</v>
      </c>
      <c r="D1191" t="s">
        <v>39</v>
      </c>
      <c r="E1191" t="s">
        <v>19</v>
      </c>
      <c r="F1191" t="s">
        <v>40</v>
      </c>
      <c r="G1191">
        <v>12</v>
      </c>
      <c r="H1191">
        <v>35302</v>
      </c>
      <c r="I1191">
        <v>423624</v>
      </c>
      <c r="J1191" t="s">
        <v>36</v>
      </c>
    </row>
    <row r="1192" spans="1:10" x14ac:dyDescent="0.25">
      <c r="A1192" t="s">
        <v>175</v>
      </c>
      <c r="B1192" t="s">
        <v>42</v>
      </c>
      <c r="C1192" t="s">
        <v>12</v>
      </c>
      <c r="D1192" t="s">
        <v>13</v>
      </c>
      <c r="E1192" t="s">
        <v>25</v>
      </c>
      <c r="F1192" t="s">
        <v>26</v>
      </c>
      <c r="G1192">
        <v>1</v>
      </c>
      <c r="H1192">
        <v>46034</v>
      </c>
      <c r="I1192">
        <v>46034</v>
      </c>
      <c r="J1192" t="s">
        <v>27</v>
      </c>
    </row>
    <row r="1193" spans="1:10" x14ac:dyDescent="0.25">
      <c r="A1193" t="s">
        <v>31</v>
      </c>
      <c r="B1193" t="s">
        <v>18</v>
      </c>
      <c r="C1193" t="s">
        <v>23</v>
      </c>
      <c r="D1193" t="s">
        <v>48</v>
      </c>
      <c r="E1193" t="s">
        <v>14</v>
      </c>
      <c r="F1193" t="s">
        <v>15</v>
      </c>
      <c r="G1193">
        <v>14</v>
      </c>
      <c r="H1193">
        <v>55695</v>
      </c>
      <c r="I1193">
        <v>779730</v>
      </c>
      <c r="J1193" t="s">
        <v>36</v>
      </c>
    </row>
    <row r="1194" spans="1:10" x14ac:dyDescent="0.25">
      <c r="A1194" t="s">
        <v>80</v>
      </c>
      <c r="B1194" t="s">
        <v>22</v>
      </c>
      <c r="C1194" t="s">
        <v>12</v>
      </c>
      <c r="D1194" t="s">
        <v>13</v>
      </c>
      <c r="E1194" t="s">
        <v>25</v>
      </c>
      <c r="F1194" t="s">
        <v>15</v>
      </c>
      <c r="G1194">
        <v>5</v>
      </c>
      <c r="H1194">
        <v>28118</v>
      </c>
      <c r="I1194">
        <v>140590</v>
      </c>
      <c r="J1194" t="s">
        <v>36</v>
      </c>
    </row>
    <row r="1195" spans="1:10" x14ac:dyDescent="0.25">
      <c r="A1195" t="s">
        <v>348</v>
      </c>
      <c r="B1195" t="s">
        <v>22</v>
      </c>
      <c r="C1195" t="s">
        <v>12</v>
      </c>
      <c r="D1195" t="s">
        <v>13</v>
      </c>
      <c r="E1195" t="s">
        <v>19</v>
      </c>
      <c r="F1195" t="s">
        <v>40</v>
      </c>
      <c r="G1195">
        <v>2</v>
      </c>
      <c r="H1195">
        <v>34193</v>
      </c>
      <c r="I1195">
        <v>68386</v>
      </c>
      <c r="J1195" t="s">
        <v>36</v>
      </c>
    </row>
    <row r="1196" spans="1:10" x14ac:dyDescent="0.25">
      <c r="A1196" t="s">
        <v>388</v>
      </c>
      <c r="B1196" t="s">
        <v>22</v>
      </c>
      <c r="C1196" t="s">
        <v>29</v>
      </c>
      <c r="D1196" t="s">
        <v>39</v>
      </c>
      <c r="E1196" t="s">
        <v>25</v>
      </c>
      <c r="F1196" t="s">
        <v>26</v>
      </c>
      <c r="G1196">
        <v>9</v>
      </c>
      <c r="H1196">
        <v>20266</v>
      </c>
      <c r="I1196">
        <v>182394</v>
      </c>
      <c r="J1196" t="s">
        <v>20</v>
      </c>
    </row>
    <row r="1197" spans="1:10" x14ac:dyDescent="0.25">
      <c r="A1197" t="s">
        <v>161</v>
      </c>
      <c r="B1197" t="s">
        <v>11</v>
      </c>
      <c r="C1197" t="s">
        <v>34</v>
      </c>
      <c r="D1197" t="s">
        <v>48</v>
      </c>
      <c r="E1197" t="s">
        <v>30</v>
      </c>
      <c r="F1197" t="s">
        <v>15</v>
      </c>
      <c r="G1197">
        <v>3</v>
      </c>
      <c r="H1197">
        <v>26763</v>
      </c>
      <c r="I1197">
        <v>80289</v>
      </c>
      <c r="J1197" t="s">
        <v>36</v>
      </c>
    </row>
    <row r="1198" spans="1:10" x14ac:dyDescent="0.25">
      <c r="A1198" t="s">
        <v>93</v>
      </c>
      <c r="B1198" t="s">
        <v>42</v>
      </c>
      <c r="C1198" t="s">
        <v>12</v>
      </c>
      <c r="D1198" t="s">
        <v>24</v>
      </c>
      <c r="E1198" t="s">
        <v>35</v>
      </c>
      <c r="F1198" t="s">
        <v>40</v>
      </c>
      <c r="G1198">
        <v>20</v>
      </c>
      <c r="H1198">
        <v>33483</v>
      </c>
      <c r="I1198">
        <v>669660</v>
      </c>
      <c r="J1198" t="s">
        <v>20</v>
      </c>
    </row>
    <row r="1199" spans="1:10" x14ac:dyDescent="0.25">
      <c r="A1199" t="s">
        <v>259</v>
      </c>
      <c r="B1199" t="s">
        <v>11</v>
      </c>
      <c r="C1199" t="s">
        <v>29</v>
      </c>
      <c r="D1199" t="s">
        <v>39</v>
      </c>
      <c r="E1199" t="s">
        <v>14</v>
      </c>
      <c r="F1199" t="s">
        <v>40</v>
      </c>
      <c r="G1199">
        <v>2</v>
      </c>
      <c r="H1199">
        <v>24408</v>
      </c>
      <c r="I1199">
        <v>48816</v>
      </c>
      <c r="J1199" t="s">
        <v>20</v>
      </c>
    </row>
    <row r="1200" spans="1:10" x14ac:dyDescent="0.25">
      <c r="A1200" t="s">
        <v>80</v>
      </c>
      <c r="B1200" t="s">
        <v>33</v>
      </c>
      <c r="C1200" t="s">
        <v>38</v>
      </c>
      <c r="D1200" t="s">
        <v>48</v>
      </c>
      <c r="E1200" t="s">
        <v>19</v>
      </c>
      <c r="F1200" t="s">
        <v>40</v>
      </c>
      <c r="G1200">
        <v>8</v>
      </c>
      <c r="H1200">
        <v>38182</v>
      </c>
      <c r="I1200">
        <v>305456</v>
      </c>
      <c r="J1200" t="s">
        <v>36</v>
      </c>
    </row>
    <row r="1201" spans="1:10" x14ac:dyDescent="0.25">
      <c r="A1201" t="s">
        <v>231</v>
      </c>
      <c r="B1201" t="s">
        <v>11</v>
      </c>
      <c r="C1201" t="s">
        <v>23</v>
      </c>
      <c r="D1201" t="s">
        <v>48</v>
      </c>
      <c r="E1201" t="s">
        <v>14</v>
      </c>
      <c r="F1201" t="s">
        <v>40</v>
      </c>
      <c r="G1201">
        <v>20</v>
      </c>
      <c r="H1201">
        <v>42489</v>
      </c>
      <c r="I1201">
        <v>849780</v>
      </c>
      <c r="J1201" t="s">
        <v>27</v>
      </c>
    </row>
    <row r="1202" spans="1:10" x14ac:dyDescent="0.25">
      <c r="A1202" t="s">
        <v>224</v>
      </c>
      <c r="B1202" t="s">
        <v>22</v>
      </c>
      <c r="C1202" t="s">
        <v>34</v>
      </c>
      <c r="D1202" t="s">
        <v>48</v>
      </c>
      <c r="E1202" t="s">
        <v>14</v>
      </c>
      <c r="F1202" t="s">
        <v>26</v>
      </c>
      <c r="G1202">
        <v>6</v>
      </c>
      <c r="H1202">
        <v>28768</v>
      </c>
      <c r="I1202">
        <v>172608</v>
      </c>
      <c r="J1202" t="s">
        <v>27</v>
      </c>
    </row>
    <row r="1203" spans="1:10" x14ac:dyDescent="0.25">
      <c r="A1203" t="s">
        <v>120</v>
      </c>
      <c r="B1203" t="s">
        <v>33</v>
      </c>
      <c r="C1203" t="s">
        <v>23</v>
      </c>
      <c r="D1203" t="s">
        <v>44</v>
      </c>
      <c r="E1203" t="s">
        <v>14</v>
      </c>
      <c r="F1203" t="s">
        <v>15</v>
      </c>
      <c r="G1203">
        <v>19</v>
      </c>
      <c r="H1203">
        <v>50812</v>
      </c>
      <c r="I1203">
        <v>965428</v>
      </c>
      <c r="J1203" t="s">
        <v>27</v>
      </c>
    </row>
    <row r="1204" spans="1:10" x14ac:dyDescent="0.25">
      <c r="A1204" t="s">
        <v>102</v>
      </c>
      <c r="B1204" t="s">
        <v>22</v>
      </c>
      <c r="C1204" t="s">
        <v>38</v>
      </c>
      <c r="D1204" t="s">
        <v>39</v>
      </c>
      <c r="E1204" t="s">
        <v>35</v>
      </c>
      <c r="F1204" t="s">
        <v>26</v>
      </c>
      <c r="G1204">
        <v>16</v>
      </c>
      <c r="H1204">
        <v>17674</v>
      </c>
      <c r="I1204">
        <v>282784</v>
      </c>
      <c r="J1204" t="s">
        <v>16</v>
      </c>
    </row>
    <row r="1205" spans="1:10" x14ac:dyDescent="0.25">
      <c r="A1205" t="s">
        <v>375</v>
      </c>
      <c r="B1205" t="s">
        <v>18</v>
      </c>
      <c r="C1205" t="s">
        <v>38</v>
      </c>
      <c r="D1205" t="s">
        <v>39</v>
      </c>
      <c r="E1205" t="s">
        <v>19</v>
      </c>
      <c r="F1205" t="s">
        <v>15</v>
      </c>
      <c r="G1205">
        <v>4</v>
      </c>
      <c r="H1205">
        <v>40041</v>
      </c>
      <c r="I1205">
        <v>160164</v>
      </c>
      <c r="J1205" t="s">
        <v>16</v>
      </c>
    </row>
    <row r="1206" spans="1:10" x14ac:dyDescent="0.25">
      <c r="A1206" t="s">
        <v>185</v>
      </c>
      <c r="B1206" t="s">
        <v>42</v>
      </c>
      <c r="C1206" t="s">
        <v>34</v>
      </c>
      <c r="D1206" t="s">
        <v>39</v>
      </c>
      <c r="E1206" t="s">
        <v>25</v>
      </c>
      <c r="F1206" t="s">
        <v>15</v>
      </c>
      <c r="G1206">
        <v>14</v>
      </c>
      <c r="H1206">
        <v>19201</v>
      </c>
      <c r="I1206">
        <v>268814</v>
      </c>
      <c r="J1206" t="s">
        <v>16</v>
      </c>
    </row>
    <row r="1207" spans="1:10" x14ac:dyDescent="0.25">
      <c r="A1207" t="s">
        <v>389</v>
      </c>
      <c r="B1207" t="s">
        <v>22</v>
      </c>
      <c r="C1207" t="s">
        <v>12</v>
      </c>
      <c r="D1207" t="s">
        <v>44</v>
      </c>
      <c r="E1207" t="s">
        <v>25</v>
      </c>
      <c r="F1207" t="s">
        <v>15</v>
      </c>
      <c r="G1207">
        <v>19</v>
      </c>
      <c r="H1207">
        <v>26504</v>
      </c>
      <c r="I1207">
        <v>503576</v>
      </c>
      <c r="J1207" t="s">
        <v>20</v>
      </c>
    </row>
    <row r="1208" spans="1:10" x14ac:dyDescent="0.25">
      <c r="A1208" t="s">
        <v>390</v>
      </c>
      <c r="B1208" t="s">
        <v>11</v>
      </c>
      <c r="C1208" t="s">
        <v>12</v>
      </c>
      <c r="D1208" t="s">
        <v>13</v>
      </c>
      <c r="E1208" t="s">
        <v>30</v>
      </c>
      <c r="F1208" t="s">
        <v>26</v>
      </c>
      <c r="G1208">
        <v>12</v>
      </c>
      <c r="H1208">
        <v>53746</v>
      </c>
      <c r="I1208">
        <v>644952</v>
      </c>
      <c r="J1208" t="s">
        <v>20</v>
      </c>
    </row>
    <row r="1209" spans="1:10" x14ac:dyDescent="0.25">
      <c r="A1209" t="s">
        <v>47</v>
      </c>
      <c r="B1209" t="s">
        <v>22</v>
      </c>
      <c r="C1209" t="s">
        <v>34</v>
      </c>
      <c r="D1209" t="s">
        <v>44</v>
      </c>
      <c r="E1209" t="s">
        <v>14</v>
      </c>
      <c r="F1209" t="s">
        <v>40</v>
      </c>
      <c r="G1209">
        <v>12</v>
      </c>
      <c r="H1209">
        <v>52317</v>
      </c>
      <c r="I1209">
        <v>627804</v>
      </c>
      <c r="J1209" t="s">
        <v>27</v>
      </c>
    </row>
    <row r="1210" spans="1:10" x14ac:dyDescent="0.25">
      <c r="A1210" t="s">
        <v>334</v>
      </c>
      <c r="B1210" t="s">
        <v>42</v>
      </c>
      <c r="C1210" t="s">
        <v>38</v>
      </c>
      <c r="D1210" t="s">
        <v>13</v>
      </c>
      <c r="E1210" t="s">
        <v>19</v>
      </c>
      <c r="F1210" t="s">
        <v>26</v>
      </c>
      <c r="G1210">
        <v>3</v>
      </c>
      <c r="H1210">
        <v>43778</v>
      </c>
      <c r="I1210">
        <v>131334</v>
      </c>
      <c r="J1210" t="s">
        <v>36</v>
      </c>
    </row>
    <row r="1211" spans="1:10" x14ac:dyDescent="0.25">
      <c r="A1211" t="s">
        <v>242</v>
      </c>
      <c r="B1211" t="s">
        <v>22</v>
      </c>
      <c r="C1211" t="s">
        <v>34</v>
      </c>
      <c r="D1211" t="s">
        <v>13</v>
      </c>
      <c r="E1211" t="s">
        <v>30</v>
      </c>
      <c r="F1211" t="s">
        <v>26</v>
      </c>
      <c r="G1211">
        <v>10</v>
      </c>
      <c r="H1211">
        <v>51753</v>
      </c>
      <c r="I1211">
        <v>517530</v>
      </c>
      <c r="J1211" t="s">
        <v>36</v>
      </c>
    </row>
    <row r="1212" spans="1:10" x14ac:dyDescent="0.25">
      <c r="A1212" t="s">
        <v>198</v>
      </c>
      <c r="B1212" t="s">
        <v>11</v>
      </c>
      <c r="C1212" t="s">
        <v>23</v>
      </c>
      <c r="D1212" t="s">
        <v>39</v>
      </c>
      <c r="E1212" t="s">
        <v>25</v>
      </c>
      <c r="F1212" t="s">
        <v>40</v>
      </c>
      <c r="G1212">
        <v>18</v>
      </c>
      <c r="H1212">
        <v>21638</v>
      </c>
      <c r="I1212">
        <v>389484</v>
      </c>
      <c r="J1212" t="s">
        <v>27</v>
      </c>
    </row>
    <row r="1213" spans="1:10" x14ac:dyDescent="0.25">
      <c r="A1213" t="s">
        <v>347</v>
      </c>
      <c r="B1213" t="s">
        <v>42</v>
      </c>
      <c r="C1213" t="s">
        <v>23</v>
      </c>
      <c r="D1213" t="s">
        <v>44</v>
      </c>
      <c r="E1213" t="s">
        <v>19</v>
      </c>
      <c r="F1213" t="s">
        <v>26</v>
      </c>
      <c r="G1213">
        <v>7</v>
      </c>
      <c r="H1213">
        <v>53057</v>
      </c>
      <c r="I1213">
        <v>371399</v>
      </c>
      <c r="J1213" t="s">
        <v>36</v>
      </c>
    </row>
    <row r="1214" spans="1:10" x14ac:dyDescent="0.25">
      <c r="A1214" t="s">
        <v>284</v>
      </c>
      <c r="B1214" t="s">
        <v>18</v>
      </c>
      <c r="C1214" t="s">
        <v>34</v>
      </c>
      <c r="D1214" t="s">
        <v>13</v>
      </c>
      <c r="E1214" t="s">
        <v>14</v>
      </c>
      <c r="F1214" t="s">
        <v>40</v>
      </c>
      <c r="G1214">
        <v>9</v>
      </c>
      <c r="H1214">
        <v>48713</v>
      </c>
      <c r="I1214">
        <v>438417</v>
      </c>
      <c r="J1214" t="s">
        <v>27</v>
      </c>
    </row>
    <row r="1215" spans="1:10" x14ac:dyDescent="0.25">
      <c r="A1215" t="s">
        <v>270</v>
      </c>
      <c r="B1215" t="s">
        <v>42</v>
      </c>
      <c r="C1215" t="s">
        <v>29</v>
      </c>
      <c r="D1215" t="s">
        <v>13</v>
      </c>
      <c r="E1215" t="s">
        <v>30</v>
      </c>
      <c r="F1215" t="s">
        <v>40</v>
      </c>
      <c r="G1215">
        <v>11</v>
      </c>
      <c r="H1215">
        <v>50888</v>
      </c>
      <c r="I1215">
        <v>559768</v>
      </c>
      <c r="J1215" t="s">
        <v>16</v>
      </c>
    </row>
    <row r="1216" spans="1:10" x14ac:dyDescent="0.25">
      <c r="A1216" t="s">
        <v>213</v>
      </c>
      <c r="B1216" t="s">
        <v>22</v>
      </c>
      <c r="C1216" t="s">
        <v>23</v>
      </c>
      <c r="D1216" t="s">
        <v>48</v>
      </c>
      <c r="E1216" t="s">
        <v>30</v>
      </c>
      <c r="F1216" t="s">
        <v>40</v>
      </c>
      <c r="G1216">
        <v>15</v>
      </c>
      <c r="H1216">
        <v>38943</v>
      </c>
      <c r="I1216">
        <v>584145</v>
      </c>
      <c r="J1216" t="s">
        <v>27</v>
      </c>
    </row>
    <row r="1217" spans="1:10" x14ac:dyDescent="0.25">
      <c r="A1217" t="s">
        <v>170</v>
      </c>
      <c r="B1217" t="s">
        <v>42</v>
      </c>
      <c r="C1217" t="s">
        <v>29</v>
      </c>
      <c r="D1217" t="s">
        <v>48</v>
      </c>
      <c r="E1217" t="s">
        <v>25</v>
      </c>
      <c r="F1217" t="s">
        <v>15</v>
      </c>
      <c r="G1217">
        <v>14</v>
      </c>
      <c r="H1217">
        <v>40942</v>
      </c>
      <c r="I1217">
        <v>573188</v>
      </c>
      <c r="J1217" t="s">
        <v>27</v>
      </c>
    </row>
    <row r="1218" spans="1:10" x14ac:dyDescent="0.25">
      <c r="A1218" t="s">
        <v>352</v>
      </c>
      <c r="B1218" t="s">
        <v>22</v>
      </c>
      <c r="C1218" t="s">
        <v>38</v>
      </c>
      <c r="D1218" t="s">
        <v>24</v>
      </c>
      <c r="E1218" t="s">
        <v>14</v>
      </c>
      <c r="F1218" t="s">
        <v>40</v>
      </c>
      <c r="G1218">
        <v>18</v>
      </c>
      <c r="H1218">
        <v>16396</v>
      </c>
      <c r="I1218">
        <v>295128</v>
      </c>
      <c r="J1218" t="s">
        <v>16</v>
      </c>
    </row>
    <row r="1219" spans="1:10" x14ac:dyDescent="0.25">
      <c r="A1219" t="s">
        <v>191</v>
      </c>
      <c r="B1219" t="s">
        <v>33</v>
      </c>
      <c r="C1219" t="s">
        <v>12</v>
      </c>
      <c r="D1219" t="s">
        <v>48</v>
      </c>
      <c r="E1219" t="s">
        <v>35</v>
      </c>
      <c r="F1219" t="s">
        <v>26</v>
      </c>
      <c r="G1219">
        <v>6</v>
      </c>
      <c r="H1219">
        <v>39018</v>
      </c>
      <c r="I1219">
        <v>234108</v>
      </c>
      <c r="J1219" t="s">
        <v>36</v>
      </c>
    </row>
    <row r="1220" spans="1:10" x14ac:dyDescent="0.25">
      <c r="A1220" t="s">
        <v>289</v>
      </c>
      <c r="B1220" t="s">
        <v>33</v>
      </c>
      <c r="C1220" t="s">
        <v>38</v>
      </c>
      <c r="D1220" t="s">
        <v>48</v>
      </c>
      <c r="E1220" t="s">
        <v>19</v>
      </c>
      <c r="F1220" t="s">
        <v>40</v>
      </c>
      <c r="G1220">
        <v>1</v>
      </c>
      <c r="H1220">
        <v>44110</v>
      </c>
      <c r="I1220">
        <v>44110</v>
      </c>
      <c r="J1220" t="s">
        <v>27</v>
      </c>
    </row>
    <row r="1221" spans="1:10" x14ac:dyDescent="0.25">
      <c r="A1221" t="s">
        <v>171</v>
      </c>
      <c r="B1221" t="s">
        <v>18</v>
      </c>
      <c r="C1221" t="s">
        <v>34</v>
      </c>
      <c r="D1221" t="s">
        <v>13</v>
      </c>
      <c r="E1221" t="s">
        <v>35</v>
      </c>
      <c r="F1221" t="s">
        <v>40</v>
      </c>
      <c r="G1221">
        <v>14</v>
      </c>
      <c r="H1221">
        <v>15536</v>
      </c>
      <c r="I1221">
        <v>217504</v>
      </c>
      <c r="J1221" t="s">
        <v>20</v>
      </c>
    </row>
    <row r="1222" spans="1:10" x14ac:dyDescent="0.25">
      <c r="A1222" t="s">
        <v>205</v>
      </c>
      <c r="B1222" t="s">
        <v>33</v>
      </c>
      <c r="C1222" t="s">
        <v>12</v>
      </c>
      <c r="D1222" t="s">
        <v>13</v>
      </c>
      <c r="E1222" t="s">
        <v>35</v>
      </c>
      <c r="F1222" t="s">
        <v>26</v>
      </c>
      <c r="G1222">
        <v>6</v>
      </c>
      <c r="H1222">
        <v>43891</v>
      </c>
      <c r="I1222">
        <v>263346</v>
      </c>
      <c r="J1222" t="s">
        <v>20</v>
      </c>
    </row>
    <row r="1223" spans="1:10" x14ac:dyDescent="0.25">
      <c r="A1223" t="s">
        <v>204</v>
      </c>
      <c r="B1223" t="s">
        <v>18</v>
      </c>
      <c r="C1223" t="s">
        <v>12</v>
      </c>
      <c r="D1223" t="s">
        <v>44</v>
      </c>
      <c r="E1223" t="s">
        <v>25</v>
      </c>
      <c r="F1223" t="s">
        <v>40</v>
      </c>
      <c r="G1223">
        <v>13</v>
      </c>
      <c r="H1223">
        <v>48033</v>
      </c>
      <c r="I1223">
        <v>624429</v>
      </c>
      <c r="J1223" t="s">
        <v>27</v>
      </c>
    </row>
    <row r="1224" spans="1:10" x14ac:dyDescent="0.25">
      <c r="A1224" t="s">
        <v>253</v>
      </c>
      <c r="B1224" t="s">
        <v>18</v>
      </c>
      <c r="C1224" t="s">
        <v>23</v>
      </c>
      <c r="D1224" t="s">
        <v>24</v>
      </c>
      <c r="E1224" t="s">
        <v>30</v>
      </c>
      <c r="F1224" t="s">
        <v>15</v>
      </c>
      <c r="G1224">
        <v>14</v>
      </c>
      <c r="H1224">
        <v>21868</v>
      </c>
      <c r="I1224">
        <v>306152</v>
      </c>
      <c r="J1224" t="s">
        <v>36</v>
      </c>
    </row>
    <row r="1225" spans="1:10" x14ac:dyDescent="0.25">
      <c r="A1225" t="s">
        <v>373</v>
      </c>
      <c r="B1225" t="s">
        <v>11</v>
      </c>
      <c r="C1225" t="s">
        <v>38</v>
      </c>
      <c r="D1225" t="s">
        <v>48</v>
      </c>
      <c r="E1225" t="s">
        <v>19</v>
      </c>
      <c r="F1225" t="s">
        <v>15</v>
      </c>
      <c r="G1225">
        <v>2</v>
      </c>
      <c r="H1225">
        <v>49293</v>
      </c>
      <c r="I1225">
        <v>98586</v>
      </c>
      <c r="J1225" t="s">
        <v>16</v>
      </c>
    </row>
    <row r="1226" spans="1:10" x14ac:dyDescent="0.25">
      <c r="A1226" t="s">
        <v>131</v>
      </c>
      <c r="B1226" t="s">
        <v>33</v>
      </c>
      <c r="C1226" t="s">
        <v>34</v>
      </c>
      <c r="D1226" t="s">
        <v>24</v>
      </c>
      <c r="E1226" t="s">
        <v>25</v>
      </c>
      <c r="F1226" t="s">
        <v>40</v>
      </c>
      <c r="G1226">
        <v>12</v>
      </c>
      <c r="H1226">
        <v>45059</v>
      </c>
      <c r="I1226">
        <v>540708</v>
      </c>
      <c r="J1226" t="s">
        <v>16</v>
      </c>
    </row>
    <row r="1227" spans="1:10" x14ac:dyDescent="0.25">
      <c r="A1227" t="s">
        <v>134</v>
      </c>
      <c r="B1227" t="s">
        <v>42</v>
      </c>
      <c r="C1227" t="s">
        <v>23</v>
      </c>
      <c r="D1227" t="s">
        <v>44</v>
      </c>
      <c r="E1227" t="s">
        <v>14</v>
      </c>
      <c r="F1227" t="s">
        <v>40</v>
      </c>
      <c r="G1227">
        <v>15</v>
      </c>
      <c r="H1227">
        <v>46341</v>
      </c>
      <c r="I1227">
        <v>695115</v>
      </c>
      <c r="J1227" t="s">
        <v>20</v>
      </c>
    </row>
    <row r="1228" spans="1:10" x14ac:dyDescent="0.25">
      <c r="A1228" t="s">
        <v>144</v>
      </c>
      <c r="B1228" t="s">
        <v>18</v>
      </c>
      <c r="C1228" t="s">
        <v>23</v>
      </c>
      <c r="D1228" t="s">
        <v>44</v>
      </c>
      <c r="E1228" t="s">
        <v>25</v>
      </c>
      <c r="F1228" t="s">
        <v>26</v>
      </c>
      <c r="G1228">
        <v>6</v>
      </c>
      <c r="H1228">
        <v>49221</v>
      </c>
      <c r="I1228">
        <v>295326</v>
      </c>
      <c r="J1228" t="s">
        <v>16</v>
      </c>
    </row>
    <row r="1229" spans="1:10" x14ac:dyDescent="0.25">
      <c r="A1229" t="s">
        <v>124</v>
      </c>
      <c r="B1229" t="s">
        <v>22</v>
      </c>
      <c r="C1229" t="s">
        <v>23</v>
      </c>
      <c r="D1229" t="s">
        <v>48</v>
      </c>
      <c r="E1229" t="s">
        <v>14</v>
      </c>
      <c r="F1229" t="s">
        <v>15</v>
      </c>
      <c r="G1229">
        <v>19</v>
      </c>
      <c r="H1229">
        <v>20543</v>
      </c>
      <c r="I1229">
        <v>390317</v>
      </c>
      <c r="J1229" t="s">
        <v>27</v>
      </c>
    </row>
    <row r="1230" spans="1:10" x14ac:dyDescent="0.25">
      <c r="A1230" t="s">
        <v>359</v>
      </c>
      <c r="B1230" t="s">
        <v>11</v>
      </c>
      <c r="C1230" t="s">
        <v>12</v>
      </c>
      <c r="D1230" t="s">
        <v>39</v>
      </c>
      <c r="E1230" t="s">
        <v>14</v>
      </c>
      <c r="F1230" t="s">
        <v>26</v>
      </c>
      <c r="G1230">
        <v>12</v>
      </c>
      <c r="H1230">
        <v>28972</v>
      </c>
      <c r="I1230">
        <v>347664</v>
      </c>
      <c r="J1230" t="s">
        <v>20</v>
      </c>
    </row>
    <row r="1231" spans="1:10" x14ac:dyDescent="0.25">
      <c r="A1231" t="s">
        <v>69</v>
      </c>
      <c r="B1231" t="s">
        <v>11</v>
      </c>
      <c r="C1231" t="s">
        <v>29</v>
      </c>
      <c r="D1231" t="s">
        <v>39</v>
      </c>
      <c r="E1231" t="s">
        <v>25</v>
      </c>
      <c r="F1231" t="s">
        <v>26</v>
      </c>
      <c r="G1231">
        <v>18</v>
      </c>
      <c r="H1231">
        <v>18170</v>
      </c>
      <c r="I1231">
        <v>327060</v>
      </c>
      <c r="J1231" t="s">
        <v>16</v>
      </c>
    </row>
    <row r="1232" spans="1:10" x14ac:dyDescent="0.25">
      <c r="A1232" t="s">
        <v>266</v>
      </c>
      <c r="B1232" t="s">
        <v>33</v>
      </c>
      <c r="C1232" t="s">
        <v>23</v>
      </c>
      <c r="D1232" t="s">
        <v>39</v>
      </c>
      <c r="E1232" t="s">
        <v>25</v>
      </c>
      <c r="F1232" t="s">
        <v>15</v>
      </c>
      <c r="G1232">
        <v>12</v>
      </c>
      <c r="H1232">
        <v>50669</v>
      </c>
      <c r="I1232">
        <v>608028</v>
      </c>
      <c r="J1232" t="s">
        <v>20</v>
      </c>
    </row>
    <row r="1233" spans="1:10" x14ac:dyDescent="0.25">
      <c r="A1233" t="s">
        <v>167</v>
      </c>
      <c r="B1233" t="s">
        <v>33</v>
      </c>
      <c r="C1233" t="s">
        <v>12</v>
      </c>
      <c r="D1233" t="s">
        <v>39</v>
      </c>
      <c r="E1233" t="s">
        <v>35</v>
      </c>
      <c r="F1233" t="s">
        <v>26</v>
      </c>
      <c r="G1233">
        <v>14</v>
      </c>
      <c r="H1233">
        <v>26802</v>
      </c>
      <c r="I1233">
        <v>375228</v>
      </c>
      <c r="J1233" t="s">
        <v>36</v>
      </c>
    </row>
    <row r="1234" spans="1:10" x14ac:dyDescent="0.25">
      <c r="A1234" t="s">
        <v>391</v>
      </c>
      <c r="B1234" t="s">
        <v>22</v>
      </c>
      <c r="C1234" t="s">
        <v>34</v>
      </c>
      <c r="D1234" t="s">
        <v>13</v>
      </c>
      <c r="E1234" t="s">
        <v>25</v>
      </c>
      <c r="F1234" t="s">
        <v>40</v>
      </c>
      <c r="G1234">
        <v>4</v>
      </c>
      <c r="H1234">
        <v>48292</v>
      </c>
      <c r="I1234">
        <v>193168</v>
      </c>
      <c r="J1234" t="s">
        <v>27</v>
      </c>
    </row>
    <row r="1235" spans="1:10" x14ac:dyDescent="0.25">
      <c r="A1235" t="s">
        <v>323</v>
      </c>
      <c r="B1235" t="s">
        <v>18</v>
      </c>
      <c r="C1235" t="s">
        <v>23</v>
      </c>
      <c r="D1235" t="s">
        <v>13</v>
      </c>
      <c r="E1235" t="s">
        <v>14</v>
      </c>
      <c r="F1235" t="s">
        <v>40</v>
      </c>
      <c r="G1235">
        <v>17</v>
      </c>
      <c r="H1235">
        <v>40426</v>
      </c>
      <c r="I1235">
        <v>687242</v>
      </c>
      <c r="J1235" t="s">
        <v>20</v>
      </c>
    </row>
    <row r="1236" spans="1:10" x14ac:dyDescent="0.25">
      <c r="A1236" t="s">
        <v>146</v>
      </c>
      <c r="B1236" t="s">
        <v>11</v>
      </c>
      <c r="C1236" t="s">
        <v>23</v>
      </c>
      <c r="D1236" t="s">
        <v>44</v>
      </c>
      <c r="E1236" t="s">
        <v>35</v>
      </c>
      <c r="F1236" t="s">
        <v>40</v>
      </c>
      <c r="G1236">
        <v>3</v>
      </c>
      <c r="H1236">
        <v>48756</v>
      </c>
      <c r="I1236">
        <v>146268</v>
      </c>
      <c r="J1236" t="s">
        <v>36</v>
      </c>
    </row>
    <row r="1237" spans="1:10" x14ac:dyDescent="0.25">
      <c r="A1237" t="s">
        <v>73</v>
      </c>
      <c r="B1237" t="s">
        <v>42</v>
      </c>
      <c r="C1237" t="s">
        <v>23</v>
      </c>
      <c r="D1237" t="s">
        <v>24</v>
      </c>
      <c r="E1237" t="s">
        <v>30</v>
      </c>
      <c r="F1237" t="s">
        <v>15</v>
      </c>
      <c r="G1237">
        <v>7</v>
      </c>
      <c r="H1237">
        <v>21243</v>
      </c>
      <c r="I1237">
        <v>148701</v>
      </c>
      <c r="J1237" t="s">
        <v>20</v>
      </c>
    </row>
    <row r="1238" spans="1:10" x14ac:dyDescent="0.25">
      <c r="A1238" t="s">
        <v>138</v>
      </c>
      <c r="B1238" t="s">
        <v>33</v>
      </c>
      <c r="C1238" t="s">
        <v>12</v>
      </c>
      <c r="D1238" t="s">
        <v>13</v>
      </c>
      <c r="E1238" t="s">
        <v>14</v>
      </c>
      <c r="F1238" t="s">
        <v>40</v>
      </c>
      <c r="G1238">
        <v>12</v>
      </c>
      <c r="H1238">
        <v>50783</v>
      </c>
      <c r="I1238">
        <v>609396</v>
      </c>
      <c r="J1238" t="s">
        <v>16</v>
      </c>
    </row>
    <row r="1239" spans="1:10" x14ac:dyDescent="0.25">
      <c r="A1239" t="s">
        <v>365</v>
      </c>
      <c r="B1239" t="s">
        <v>11</v>
      </c>
      <c r="C1239" t="s">
        <v>34</v>
      </c>
      <c r="D1239" t="s">
        <v>24</v>
      </c>
      <c r="E1239" t="s">
        <v>25</v>
      </c>
      <c r="F1239" t="s">
        <v>26</v>
      </c>
      <c r="G1239">
        <v>10</v>
      </c>
      <c r="H1239">
        <v>55322</v>
      </c>
      <c r="I1239">
        <v>553220</v>
      </c>
      <c r="J1239" t="s">
        <v>16</v>
      </c>
    </row>
    <row r="1240" spans="1:10" x14ac:dyDescent="0.25">
      <c r="A1240" t="s">
        <v>214</v>
      </c>
      <c r="B1240" t="s">
        <v>42</v>
      </c>
      <c r="C1240" t="s">
        <v>38</v>
      </c>
      <c r="D1240" t="s">
        <v>39</v>
      </c>
      <c r="E1240" t="s">
        <v>25</v>
      </c>
      <c r="F1240" t="s">
        <v>15</v>
      </c>
      <c r="G1240">
        <v>17</v>
      </c>
      <c r="H1240">
        <v>37040</v>
      </c>
      <c r="I1240">
        <v>629680</v>
      </c>
      <c r="J1240" t="s">
        <v>27</v>
      </c>
    </row>
    <row r="1241" spans="1:10" x14ac:dyDescent="0.25">
      <c r="A1241" t="s">
        <v>163</v>
      </c>
      <c r="B1241" t="s">
        <v>42</v>
      </c>
      <c r="C1241" t="s">
        <v>38</v>
      </c>
      <c r="D1241" t="s">
        <v>13</v>
      </c>
      <c r="E1241" t="s">
        <v>14</v>
      </c>
      <c r="F1241" t="s">
        <v>15</v>
      </c>
      <c r="G1241">
        <v>11</v>
      </c>
      <c r="H1241">
        <v>26835</v>
      </c>
      <c r="I1241">
        <v>295185</v>
      </c>
      <c r="J1241" t="s">
        <v>20</v>
      </c>
    </row>
    <row r="1242" spans="1:10" x14ac:dyDescent="0.25">
      <c r="A1242" t="s">
        <v>287</v>
      </c>
      <c r="B1242" t="s">
        <v>18</v>
      </c>
      <c r="C1242" t="s">
        <v>23</v>
      </c>
      <c r="D1242" t="s">
        <v>24</v>
      </c>
      <c r="E1242" t="s">
        <v>35</v>
      </c>
      <c r="F1242" t="s">
        <v>26</v>
      </c>
      <c r="G1242">
        <v>10</v>
      </c>
      <c r="H1242">
        <v>42460</v>
      </c>
      <c r="I1242">
        <v>424600</v>
      </c>
      <c r="J1242" t="s">
        <v>36</v>
      </c>
    </row>
    <row r="1243" spans="1:10" x14ac:dyDescent="0.25">
      <c r="A1243" t="s">
        <v>221</v>
      </c>
      <c r="B1243" t="s">
        <v>42</v>
      </c>
      <c r="C1243" t="s">
        <v>29</v>
      </c>
      <c r="D1243" t="s">
        <v>24</v>
      </c>
      <c r="E1243" t="s">
        <v>19</v>
      </c>
      <c r="F1243" t="s">
        <v>15</v>
      </c>
      <c r="G1243">
        <v>15</v>
      </c>
      <c r="H1243">
        <v>56675</v>
      </c>
      <c r="I1243">
        <v>850125</v>
      </c>
      <c r="J1243" t="s">
        <v>36</v>
      </c>
    </row>
    <row r="1244" spans="1:10" x14ac:dyDescent="0.25">
      <c r="A1244" t="s">
        <v>269</v>
      </c>
      <c r="B1244" t="s">
        <v>11</v>
      </c>
      <c r="C1244" t="s">
        <v>23</v>
      </c>
      <c r="D1244" t="s">
        <v>24</v>
      </c>
      <c r="E1244" t="s">
        <v>30</v>
      </c>
      <c r="F1244" t="s">
        <v>26</v>
      </c>
      <c r="G1244">
        <v>20</v>
      </c>
      <c r="H1244">
        <v>26815</v>
      </c>
      <c r="I1244">
        <v>536300</v>
      </c>
      <c r="J1244" t="s">
        <v>27</v>
      </c>
    </row>
    <row r="1245" spans="1:10" x14ac:dyDescent="0.25">
      <c r="A1245" t="s">
        <v>62</v>
      </c>
      <c r="B1245" t="s">
        <v>22</v>
      </c>
      <c r="C1245" t="s">
        <v>34</v>
      </c>
      <c r="D1245" t="s">
        <v>24</v>
      </c>
      <c r="E1245" t="s">
        <v>14</v>
      </c>
      <c r="F1245" t="s">
        <v>15</v>
      </c>
      <c r="G1245">
        <v>14</v>
      </c>
      <c r="H1245">
        <v>39952</v>
      </c>
      <c r="I1245">
        <v>559328</v>
      </c>
      <c r="J1245" t="s">
        <v>20</v>
      </c>
    </row>
    <row r="1246" spans="1:10" x14ac:dyDescent="0.25">
      <c r="A1246" t="s">
        <v>255</v>
      </c>
      <c r="B1246" t="s">
        <v>22</v>
      </c>
      <c r="C1246" t="s">
        <v>34</v>
      </c>
      <c r="D1246" t="s">
        <v>48</v>
      </c>
      <c r="E1246" t="s">
        <v>25</v>
      </c>
      <c r="F1246" t="s">
        <v>40</v>
      </c>
      <c r="G1246">
        <v>6</v>
      </c>
      <c r="H1246">
        <v>16063</v>
      </c>
      <c r="I1246">
        <v>96378</v>
      </c>
      <c r="J1246" t="s">
        <v>27</v>
      </c>
    </row>
    <row r="1247" spans="1:10" x14ac:dyDescent="0.25">
      <c r="A1247" t="s">
        <v>367</v>
      </c>
      <c r="B1247" t="s">
        <v>33</v>
      </c>
      <c r="C1247" t="s">
        <v>23</v>
      </c>
      <c r="D1247" t="s">
        <v>24</v>
      </c>
      <c r="E1247" t="s">
        <v>35</v>
      </c>
      <c r="F1247" t="s">
        <v>40</v>
      </c>
      <c r="G1247">
        <v>17</v>
      </c>
      <c r="H1247">
        <v>15158</v>
      </c>
      <c r="I1247">
        <v>257686</v>
      </c>
      <c r="J1247" t="s">
        <v>16</v>
      </c>
    </row>
    <row r="1248" spans="1:10" x14ac:dyDescent="0.25">
      <c r="A1248" t="s">
        <v>196</v>
      </c>
      <c r="B1248" t="s">
        <v>42</v>
      </c>
      <c r="C1248" t="s">
        <v>29</v>
      </c>
      <c r="D1248" t="s">
        <v>13</v>
      </c>
      <c r="E1248" t="s">
        <v>25</v>
      </c>
      <c r="F1248" t="s">
        <v>15</v>
      </c>
      <c r="G1248">
        <v>3</v>
      </c>
      <c r="H1248">
        <v>41877</v>
      </c>
      <c r="I1248">
        <v>125631</v>
      </c>
      <c r="J1248" t="s">
        <v>20</v>
      </c>
    </row>
    <row r="1249" spans="1:10" x14ac:dyDescent="0.25">
      <c r="A1249" t="s">
        <v>230</v>
      </c>
      <c r="B1249" t="s">
        <v>33</v>
      </c>
      <c r="C1249" t="s">
        <v>12</v>
      </c>
      <c r="D1249" t="s">
        <v>48</v>
      </c>
      <c r="E1249" t="s">
        <v>14</v>
      </c>
      <c r="F1249" t="s">
        <v>40</v>
      </c>
      <c r="G1249">
        <v>13</v>
      </c>
      <c r="H1249">
        <v>57167</v>
      </c>
      <c r="I1249">
        <v>743171</v>
      </c>
      <c r="J1249" t="s">
        <v>27</v>
      </c>
    </row>
    <row r="1250" spans="1:10" x14ac:dyDescent="0.25">
      <c r="A1250" t="s">
        <v>329</v>
      </c>
      <c r="B1250" t="s">
        <v>18</v>
      </c>
      <c r="C1250" t="s">
        <v>29</v>
      </c>
      <c r="D1250" t="s">
        <v>13</v>
      </c>
      <c r="E1250" t="s">
        <v>25</v>
      </c>
      <c r="F1250" t="s">
        <v>15</v>
      </c>
      <c r="G1250">
        <v>20</v>
      </c>
      <c r="H1250">
        <v>26995</v>
      </c>
      <c r="I1250">
        <v>539900</v>
      </c>
      <c r="J1250" t="s">
        <v>27</v>
      </c>
    </row>
    <row r="1251" spans="1:10" x14ac:dyDescent="0.25">
      <c r="A1251" t="s">
        <v>265</v>
      </c>
      <c r="B1251" t="s">
        <v>11</v>
      </c>
      <c r="C1251" t="s">
        <v>12</v>
      </c>
      <c r="D1251" t="s">
        <v>39</v>
      </c>
      <c r="E1251" t="s">
        <v>30</v>
      </c>
      <c r="F1251" t="s">
        <v>26</v>
      </c>
      <c r="G1251">
        <v>17</v>
      </c>
      <c r="H1251">
        <v>42017</v>
      </c>
      <c r="I1251">
        <v>714289</v>
      </c>
      <c r="J1251" t="s">
        <v>20</v>
      </c>
    </row>
    <row r="1252" spans="1:10" x14ac:dyDescent="0.25">
      <c r="A1252" t="s">
        <v>316</v>
      </c>
      <c r="B1252" t="s">
        <v>33</v>
      </c>
      <c r="C1252" t="s">
        <v>12</v>
      </c>
      <c r="D1252" t="s">
        <v>24</v>
      </c>
      <c r="E1252" t="s">
        <v>25</v>
      </c>
      <c r="F1252" t="s">
        <v>40</v>
      </c>
      <c r="G1252">
        <v>18</v>
      </c>
      <c r="H1252">
        <v>26027</v>
      </c>
      <c r="I1252">
        <v>468486</v>
      </c>
      <c r="J1252" t="s">
        <v>27</v>
      </c>
    </row>
    <row r="1253" spans="1:10" x14ac:dyDescent="0.25">
      <c r="A1253" t="s">
        <v>347</v>
      </c>
      <c r="B1253" t="s">
        <v>22</v>
      </c>
      <c r="C1253" t="s">
        <v>29</v>
      </c>
      <c r="D1253" t="s">
        <v>48</v>
      </c>
      <c r="E1253" t="s">
        <v>19</v>
      </c>
      <c r="F1253" t="s">
        <v>40</v>
      </c>
      <c r="G1253">
        <v>12</v>
      </c>
      <c r="H1253">
        <v>54941</v>
      </c>
      <c r="I1253">
        <v>659292</v>
      </c>
      <c r="J1253" t="s">
        <v>27</v>
      </c>
    </row>
    <row r="1254" spans="1:10" x14ac:dyDescent="0.25">
      <c r="A1254" t="s">
        <v>54</v>
      </c>
      <c r="B1254" t="s">
        <v>42</v>
      </c>
      <c r="C1254" t="s">
        <v>34</v>
      </c>
      <c r="D1254" t="s">
        <v>44</v>
      </c>
      <c r="E1254" t="s">
        <v>19</v>
      </c>
      <c r="F1254" t="s">
        <v>40</v>
      </c>
      <c r="G1254">
        <v>4</v>
      </c>
      <c r="H1254">
        <v>34212</v>
      </c>
      <c r="I1254">
        <v>136848</v>
      </c>
      <c r="J1254" t="s">
        <v>36</v>
      </c>
    </row>
    <row r="1255" spans="1:10" x14ac:dyDescent="0.25">
      <c r="A1255" t="s">
        <v>311</v>
      </c>
      <c r="B1255" t="s">
        <v>11</v>
      </c>
      <c r="C1255" t="s">
        <v>29</v>
      </c>
      <c r="D1255" t="s">
        <v>44</v>
      </c>
      <c r="E1255" t="s">
        <v>35</v>
      </c>
      <c r="F1255" t="s">
        <v>26</v>
      </c>
      <c r="G1255">
        <v>11</v>
      </c>
      <c r="H1255">
        <v>34448</v>
      </c>
      <c r="I1255">
        <v>378928</v>
      </c>
      <c r="J1255" t="s">
        <v>16</v>
      </c>
    </row>
    <row r="1256" spans="1:10" x14ac:dyDescent="0.25">
      <c r="A1256" t="s">
        <v>77</v>
      </c>
      <c r="B1256" t="s">
        <v>33</v>
      </c>
      <c r="C1256" t="s">
        <v>38</v>
      </c>
      <c r="D1256" t="s">
        <v>24</v>
      </c>
      <c r="E1256" t="s">
        <v>14</v>
      </c>
      <c r="F1256" t="s">
        <v>40</v>
      </c>
      <c r="G1256">
        <v>2</v>
      </c>
      <c r="H1256">
        <v>59437</v>
      </c>
      <c r="I1256">
        <v>118874</v>
      </c>
      <c r="J1256" t="s">
        <v>20</v>
      </c>
    </row>
    <row r="1257" spans="1:10" x14ac:dyDescent="0.25">
      <c r="A1257" t="s">
        <v>215</v>
      </c>
      <c r="B1257" t="s">
        <v>11</v>
      </c>
      <c r="C1257" t="s">
        <v>34</v>
      </c>
      <c r="D1257" t="s">
        <v>48</v>
      </c>
      <c r="E1257" t="s">
        <v>19</v>
      </c>
      <c r="F1257" t="s">
        <v>15</v>
      </c>
      <c r="G1257">
        <v>5</v>
      </c>
      <c r="H1257">
        <v>33517</v>
      </c>
      <c r="I1257">
        <v>167585</v>
      </c>
      <c r="J1257" t="s">
        <v>20</v>
      </c>
    </row>
    <row r="1258" spans="1:10" x14ac:dyDescent="0.25">
      <c r="A1258" t="s">
        <v>299</v>
      </c>
      <c r="B1258" t="s">
        <v>11</v>
      </c>
      <c r="C1258" t="s">
        <v>12</v>
      </c>
      <c r="D1258" t="s">
        <v>44</v>
      </c>
      <c r="E1258" t="s">
        <v>25</v>
      </c>
      <c r="F1258" t="s">
        <v>15</v>
      </c>
      <c r="G1258">
        <v>7</v>
      </c>
      <c r="H1258">
        <v>16046</v>
      </c>
      <c r="I1258">
        <v>112322</v>
      </c>
      <c r="J1258" t="s">
        <v>36</v>
      </c>
    </row>
    <row r="1259" spans="1:10" x14ac:dyDescent="0.25">
      <c r="A1259" t="s">
        <v>65</v>
      </c>
      <c r="B1259" t="s">
        <v>22</v>
      </c>
      <c r="C1259" t="s">
        <v>23</v>
      </c>
      <c r="D1259" t="s">
        <v>48</v>
      </c>
      <c r="E1259" t="s">
        <v>25</v>
      </c>
      <c r="F1259" t="s">
        <v>26</v>
      </c>
      <c r="G1259">
        <v>12</v>
      </c>
      <c r="H1259">
        <v>53982</v>
      </c>
      <c r="I1259">
        <v>647784</v>
      </c>
      <c r="J1259" t="s">
        <v>36</v>
      </c>
    </row>
    <row r="1260" spans="1:10" x14ac:dyDescent="0.25">
      <c r="A1260" t="s">
        <v>392</v>
      </c>
      <c r="B1260" t="s">
        <v>18</v>
      </c>
      <c r="C1260" t="s">
        <v>29</v>
      </c>
      <c r="D1260" t="s">
        <v>13</v>
      </c>
      <c r="E1260" t="s">
        <v>14</v>
      </c>
      <c r="F1260" t="s">
        <v>15</v>
      </c>
      <c r="G1260">
        <v>2</v>
      </c>
      <c r="H1260">
        <v>46200</v>
      </c>
      <c r="I1260">
        <v>92400</v>
      </c>
      <c r="J1260" t="s">
        <v>36</v>
      </c>
    </row>
    <row r="1261" spans="1:10" x14ac:dyDescent="0.25">
      <c r="A1261" t="s">
        <v>342</v>
      </c>
      <c r="B1261" t="s">
        <v>33</v>
      </c>
      <c r="C1261" t="s">
        <v>23</v>
      </c>
      <c r="D1261" t="s">
        <v>13</v>
      </c>
      <c r="E1261" t="s">
        <v>14</v>
      </c>
      <c r="F1261" t="s">
        <v>40</v>
      </c>
      <c r="G1261">
        <v>5</v>
      </c>
      <c r="H1261">
        <v>18521</v>
      </c>
      <c r="I1261">
        <v>92605</v>
      </c>
      <c r="J1261" t="s">
        <v>20</v>
      </c>
    </row>
    <row r="1262" spans="1:10" x14ac:dyDescent="0.25">
      <c r="A1262" t="s">
        <v>357</v>
      </c>
      <c r="B1262" t="s">
        <v>11</v>
      </c>
      <c r="C1262" t="s">
        <v>34</v>
      </c>
      <c r="D1262" t="s">
        <v>39</v>
      </c>
      <c r="E1262" t="s">
        <v>25</v>
      </c>
      <c r="F1262" t="s">
        <v>40</v>
      </c>
      <c r="G1262">
        <v>13</v>
      </c>
      <c r="H1262">
        <v>45800</v>
      </c>
      <c r="I1262">
        <v>595400</v>
      </c>
      <c r="J1262" t="s">
        <v>27</v>
      </c>
    </row>
    <row r="1263" spans="1:10" x14ac:dyDescent="0.25">
      <c r="A1263" t="s">
        <v>76</v>
      </c>
      <c r="B1263" t="s">
        <v>18</v>
      </c>
      <c r="C1263" t="s">
        <v>12</v>
      </c>
      <c r="D1263" t="s">
        <v>48</v>
      </c>
      <c r="E1263" t="s">
        <v>35</v>
      </c>
      <c r="F1263" t="s">
        <v>26</v>
      </c>
      <c r="G1263">
        <v>12</v>
      </c>
      <c r="H1263">
        <v>21260</v>
      </c>
      <c r="I1263">
        <v>255120</v>
      </c>
      <c r="J1263" t="s">
        <v>36</v>
      </c>
    </row>
    <row r="1264" spans="1:10" x14ac:dyDescent="0.25">
      <c r="A1264" t="s">
        <v>146</v>
      </c>
      <c r="B1264" t="s">
        <v>11</v>
      </c>
      <c r="C1264" t="s">
        <v>29</v>
      </c>
      <c r="D1264" t="s">
        <v>39</v>
      </c>
      <c r="E1264" t="s">
        <v>35</v>
      </c>
      <c r="F1264" t="s">
        <v>40</v>
      </c>
      <c r="G1264">
        <v>18</v>
      </c>
      <c r="H1264">
        <v>25295</v>
      </c>
      <c r="I1264">
        <v>455310</v>
      </c>
      <c r="J1264" t="s">
        <v>36</v>
      </c>
    </row>
    <row r="1265" spans="1:10" x14ac:dyDescent="0.25">
      <c r="A1265" t="s">
        <v>97</v>
      </c>
      <c r="B1265" t="s">
        <v>22</v>
      </c>
      <c r="C1265" t="s">
        <v>38</v>
      </c>
      <c r="D1265" t="s">
        <v>39</v>
      </c>
      <c r="E1265" t="s">
        <v>14</v>
      </c>
      <c r="F1265" t="s">
        <v>15</v>
      </c>
      <c r="G1265">
        <v>7</v>
      </c>
      <c r="H1265">
        <v>21219</v>
      </c>
      <c r="I1265">
        <v>148533</v>
      </c>
      <c r="J1265" t="s">
        <v>16</v>
      </c>
    </row>
    <row r="1266" spans="1:10" x14ac:dyDescent="0.25">
      <c r="A1266" t="s">
        <v>154</v>
      </c>
      <c r="B1266" t="s">
        <v>22</v>
      </c>
      <c r="C1266" t="s">
        <v>23</v>
      </c>
      <c r="D1266" t="s">
        <v>44</v>
      </c>
      <c r="E1266" t="s">
        <v>30</v>
      </c>
      <c r="F1266" t="s">
        <v>26</v>
      </c>
      <c r="G1266">
        <v>1</v>
      </c>
      <c r="H1266">
        <v>59123</v>
      </c>
      <c r="I1266">
        <v>59123</v>
      </c>
      <c r="J1266" t="s">
        <v>36</v>
      </c>
    </row>
    <row r="1267" spans="1:10" x14ac:dyDescent="0.25">
      <c r="A1267" t="s">
        <v>369</v>
      </c>
      <c r="B1267" t="s">
        <v>42</v>
      </c>
      <c r="C1267" t="s">
        <v>23</v>
      </c>
      <c r="D1267" t="s">
        <v>48</v>
      </c>
      <c r="E1267" t="s">
        <v>14</v>
      </c>
      <c r="F1267" t="s">
        <v>26</v>
      </c>
      <c r="G1267">
        <v>17</v>
      </c>
      <c r="H1267">
        <v>53119</v>
      </c>
      <c r="I1267">
        <v>903023</v>
      </c>
      <c r="J1267" t="s">
        <v>16</v>
      </c>
    </row>
    <row r="1268" spans="1:10" x14ac:dyDescent="0.25">
      <c r="A1268" t="s">
        <v>219</v>
      </c>
      <c r="B1268" t="s">
        <v>22</v>
      </c>
      <c r="C1268" t="s">
        <v>38</v>
      </c>
      <c r="D1268" t="s">
        <v>13</v>
      </c>
      <c r="E1268" t="s">
        <v>30</v>
      </c>
      <c r="F1268" t="s">
        <v>26</v>
      </c>
      <c r="G1268">
        <v>2</v>
      </c>
      <c r="H1268">
        <v>19694</v>
      </c>
      <c r="I1268">
        <v>39388</v>
      </c>
      <c r="J1268" t="s">
        <v>16</v>
      </c>
    </row>
    <row r="1269" spans="1:10" x14ac:dyDescent="0.25">
      <c r="A1269" t="s">
        <v>117</v>
      </c>
      <c r="B1269" t="s">
        <v>18</v>
      </c>
      <c r="C1269" t="s">
        <v>12</v>
      </c>
      <c r="D1269" t="s">
        <v>24</v>
      </c>
      <c r="E1269" t="s">
        <v>19</v>
      </c>
      <c r="F1269" t="s">
        <v>40</v>
      </c>
      <c r="G1269">
        <v>19</v>
      </c>
      <c r="H1269">
        <v>33079</v>
      </c>
      <c r="I1269">
        <v>628501</v>
      </c>
      <c r="J1269" t="s">
        <v>27</v>
      </c>
    </row>
    <row r="1270" spans="1:10" x14ac:dyDescent="0.25">
      <c r="A1270" t="s">
        <v>85</v>
      </c>
      <c r="B1270" t="s">
        <v>42</v>
      </c>
      <c r="C1270" t="s">
        <v>29</v>
      </c>
      <c r="D1270" t="s">
        <v>13</v>
      </c>
      <c r="E1270" t="s">
        <v>30</v>
      </c>
      <c r="F1270" t="s">
        <v>26</v>
      </c>
      <c r="G1270">
        <v>13</v>
      </c>
      <c r="H1270">
        <v>46277</v>
      </c>
      <c r="I1270">
        <v>601601</v>
      </c>
      <c r="J1270" t="s">
        <v>36</v>
      </c>
    </row>
    <row r="1271" spans="1:10" x14ac:dyDescent="0.25">
      <c r="A1271" t="s">
        <v>132</v>
      </c>
      <c r="B1271" t="s">
        <v>11</v>
      </c>
      <c r="C1271" t="s">
        <v>38</v>
      </c>
      <c r="D1271" t="s">
        <v>24</v>
      </c>
      <c r="E1271" t="s">
        <v>19</v>
      </c>
      <c r="F1271" t="s">
        <v>15</v>
      </c>
      <c r="G1271">
        <v>9</v>
      </c>
      <c r="H1271">
        <v>45567</v>
      </c>
      <c r="I1271">
        <v>410103</v>
      </c>
      <c r="J1271" t="s">
        <v>20</v>
      </c>
    </row>
    <row r="1272" spans="1:10" x14ac:dyDescent="0.25">
      <c r="A1272" t="s">
        <v>238</v>
      </c>
      <c r="B1272" t="s">
        <v>42</v>
      </c>
      <c r="C1272" t="s">
        <v>34</v>
      </c>
      <c r="D1272" t="s">
        <v>39</v>
      </c>
      <c r="E1272" t="s">
        <v>25</v>
      </c>
      <c r="F1272" t="s">
        <v>15</v>
      </c>
      <c r="G1272">
        <v>12</v>
      </c>
      <c r="H1272">
        <v>42905</v>
      </c>
      <c r="I1272">
        <v>514860</v>
      </c>
      <c r="J1272" t="s">
        <v>20</v>
      </c>
    </row>
    <row r="1273" spans="1:10" x14ac:dyDescent="0.25">
      <c r="A1273" t="s">
        <v>108</v>
      </c>
      <c r="B1273" t="s">
        <v>18</v>
      </c>
      <c r="C1273" t="s">
        <v>23</v>
      </c>
      <c r="D1273" t="s">
        <v>44</v>
      </c>
      <c r="E1273" t="s">
        <v>30</v>
      </c>
      <c r="F1273" t="s">
        <v>15</v>
      </c>
      <c r="G1273">
        <v>9</v>
      </c>
      <c r="H1273">
        <v>39991</v>
      </c>
      <c r="I1273">
        <v>359919</v>
      </c>
      <c r="J1273" t="s">
        <v>36</v>
      </c>
    </row>
    <row r="1274" spans="1:10" x14ac:dyDescent="0.25">
      <c r="A1274" t="s">
        <v>220</v>
      </c>
      <c r="B1274" t="s">
        <v>18</v>
      </c>
      <c r="C1274" t="s">
        <v>34</v>
      </c>
      <c r="D1274" t="s">
        <v>24</v>
      </c>
      <c r="E1274" t="s">
        <v>25</v>
      </c>
      <c r="F1274" t="s">
        <v>40</v>
      </c>
      <c r="G1274">
        <v>20</v>
      </c>
      <c r="H1274">
        <v>32666</v>
      </c>
      <c r="I1274">
        <v>653320</v>
      </c>
      <c r="J1274" t="s">
        <v>27</v>
      </c>
    </row>
    <row r="1275" spans="1:10" x14ac:dyDescent="0.25">
      <c r="A1275" t="s">
        <v>111</v>
      </c>
      <c r="B1275" t="s">
        <v>18</v>
      </c>
      <c r="C1275" t="s">
        <v>23</v>
      </c>
      <c r="D1275" t="s">
        <v>44</v>
      </c>
      <c r="E1275" t="s">
        <v>14</v>
      </c>
      <c r="F1275" t="s">
        <v>40</v>
      </c>
      <c r="G1275">
        <v>5</v>
      </c>
      <c r="H1275">
        <v>50736</v>
      </c>
      <c r="I1275">
        <v>253680</v>
      </c>
      <c r="J1275" t="s">
        <v>27</v>
      </c>
    </row>
    <row r="1276" spans="1:10" x14ac:dyDescent="0.25">
      <c r="A1276" t="s">
        <v>247</v>
      </c>
      <c r="B1276" t="s">
        <v>18</v>
      </c>
      <c r="C1276" t="s">
        <v>29</v>
      </c>
      <c r="D1276" t="s">
        <v>48</v>
      </c>
      <c r="E1276" t="s">
        <v>25</v>
      </c>
      <c r="F1276" t="s">
        <v>15</v>
      </c>
      <c r="G1276">
        <v>5</v>
      </c>
      <c r="H1276">
        <v>35786</v>
      </c>
      <c r="I1276">
        <v>178930</v>
      </c>
      <c r="J1276" t="s">
        <v>36</v>
      </c>
    </row>
    <row r="1277" spans="1:10" x14ac:dyDescent="0.25">
      <c r="A1277" t="s">
        <v>89</v>
      </c>
      <c r="B1277" t="s">
        <v>33</v>
      </c>
      <c r="C1277" t="s">
        <v>34</v>
      </c>
      <c r="D1277" t="s">
        <v>13</v>
      </c>
      <c r="E1277" t="s">
        <v>30</v>
      </c>
      <c r="F1277" t="s">
        <v>15</v>
      </c>
      <c r="G1277">
        <v>13</v>
      </c>
      <c r="H1277">
        <v>31067</v>
      </c>
      <c r="I1277">
        <v>403871</v>
      </c>
      <c r="J1277" t="s">
        <v>36</v>
      </c>
    </row>
    <row r="1278" spans="1:10" x14ac:dyDescent="0.25">
      <c r="A1278" t="s">
        <v>124</v>
      </c>
      <c r="B1278" t="s">
        <v>33</v>
      </c>
      <c r="C1278" t="s">
        <v>29</v>
      </c>
      <c r="D1278" t="s">
        <v>13</v>
      </c>
      <c r="E1278" t="s">
        <v>19</v>
      </c>
      <c r="F1278" t="s">
        <v>26</v>
      </c>
      <c r="G1278">
        <v>7</v>
      </c>
      <c r="H1278">
        <v>53081</v>
      </c>
      <c r="I1278">
        <v>371567</v>
      </c>
      <c r="J1278" t="s">
        <v>16</v>
      </c>
    </row>
    <row r="1279" spans="1:10" x14ac:dyDescent="0.25">
      <c r="A1279" t="s">
        <v>269</v>
      </c>
      <c r="B1279" t="s">
        <v>42</v>
      </c>
      <c r="C1279" t="s">
        <v>29</v>
      </c>
      <c r="D1279" t="s">
        <v>24</v>
      </c>
      <c r="E1279" t="s">
        <v>14</v>
      </c>
      <c r="F1279" t="s">
        <v>15</v>
      </c>
      <c r="G1279">
        <v>5</v>
      </c>
      <c r="H1279">
        <v>43903</v>
      </c>
      <c r="I1279">
        <v>219515</v>
      </c>
      <c r="J1279" t="s">
        <v>27</v>
      </c>
    </row>
    <row r="1280" spans="1:10" x14ac:dyDescent="0.25">
      <c r="A1280" t="s">
        <v>214</v>
      </c>
      <c r="B1280" t="s">
        <v>42</v>
      </c>
      <c r="C1280" t="s">
        <v>34</v>
      </c>
      <c r="D1280" t="s">
        <v>44</v>
      </c>
      <c r="E1280" t="s">
        <v>25</v>
      </c>
      <c r="F1280" t="s">
        <v>40</v>
      </c>
      <c r="G1280">
        <v>16</v>
      </c>
      <c r="H1280">
        <v>36843</v>
      </c>
      <c r="I1280">
        <v>589488</v>
      </c>
      <c r="J1280" t="s">
        <v>16</v>
      </c>
    </row>
    <row r="1281" spans="1:10" x14ac:dyDescent="0.25">
      <c r="A1281" t="s">
        <v>17</v>
      </c>
      <c r="B1281" t="s">
        <v>33</v>
      </c>
      <c r="C1281" t="s">
        <v>23</v>
      </c>
      <c r="D1281" t="s">
        <v>13</v>
      </c>
      <c r="E1281" t="s">
        <v>19</v>
      </c>
      <c r="F1281" t="s">
        <v>40</v>
      </c>
      <c r="G1281">
        <v>7</v>
      </c>
      <c r="H1281">
        <v>28741</v>
      </c>
      <c r="I1281">
        <v>201187</v>
      </c>
      <c r="J1281" t="s">
        <v>27</v>
      </c>
    </row>
    <row r="1282" spans="1:10" x14ac:dyDescent="0.25">
      <c r="A1282" t="s">
        <v>189</v>
      </c>
      <c r="B1282" t="s">
        <v>42</v>
      </c>
      <c r="C1282" t="s">
        <v>38</v>
      </c>
      <c r="D1282" t="s">
        <v>48</v>
      </c>
      <c r="E1282" t="s">
        <v>19</v>
      </c>
      <c r="F1282" t="s">
        <v>26</v>
      </c>
      <c r="G1282">
        <v>12</v>
      </c>
      <c r="H1282">
        <v>29783</v>
      </c>
      <c r="I1282">
        <v>357396</v>
      </c>
      <c r="J1282" t="s">
        <v>27</v>
      </c>
    </row>
    <row r="1283" spans="1:10" x14ac:dyDescent="0.25">
      <c r="A1283" t="s">
        <v>226</v>
      </c>
      <c r="B1283" t="s">
        <v>42</v>
      </c>
      <c r="C1283" t="s">
        <v>23</v>
      </c>
      <c r="D1283" t="s">
        <v>48</v>
      </c>
      <c r="E1283" t="s">
        <v>30</v>
      </c>
      <c r="F1283" t="s">
        <v>26</v>
      </c>
      <c r="G1283">
        <v>4</v>
      </c>
      <c r="H1283">
        <v>44319</v>
      </c>
      <c r="I1283">
        <v>177276</v>
      </c>
      <c r="J1283" t="s">
        <v>36</v>
      </c>
    </row>
    <row r="1284" spans="1:10" x14ac:dyDescent="0.25">
      <c r="A1284" t="s">
        <v>199</v>
      </c>
      <c r="B1284" t="s">
        <v>22</v>
      </c>
      <c r="C1284" t="s">
        <v>12</v>
      </c>
      <c r="D1284" t="s">
        <v>44</v>
      </c>
      <c r="E1284" t="s">
        <v>30</v>
      </c>
      <c r="F1284" t="s">
        <v>40</v>
      </c>
      <c r="G1284">
        <v>3</v>
      </c>
      <c r="H1284">
        <v>35076</v>
      </c>
      <c r="I1284">
        <v>105228</v>
      </c>
      <c r="J1284" t="s">
        <v>16</v>
      </c>
    </row>
    <row r="1285" spans="1:10" x14ac:dyDescent="0.25">
      <c r="A1285" t="s">
        <v>145</v>
      </c>
      <c r="B1285" t="s">
        <v>42</v>
      </c>
      <c r="C1285" t="s">
        <v>12</v>
      </c>
      <c r="D1285" t="s">
        <v>13</v>
      </c>
      <c r="E1285" t="s">
        <v>19</v>
      </c>
      <c r="F1285" t="s">
        <v>15</v>
      </c>
      <c r="G1285">
        <v>15</v>
      </c>
      <c r="H1285">
        <v>43719</v>
      </c>
      <c r="I1285">
        <v>655785</v>
      </c>
      <c r="J1285" t="s">
        <v>36</v>
      </c>
    </row>
    <row r="1286" spans="1:10" x14ac:dyDescent="0.25">
      <c r="A1286" t="s">
        <v>100</v>
      </c>
      <c r="B1286" t="s">
        <v>33</v>
      </c>
      <c r="C1286" t="s">
        <v>12</v>
      </c>
      <c r="D1286" t="s">
        <v>44</v>
      </c>
      <c r="E1286" t="s">
        <v>30</v>
      </c>
      <c r="F1286" t="s">
        <v>26</v>
      </c>
      <c r="G1286">
        <v>15</v>
      </c>
      <c r="H1286">
        <v>22145</v>
      </c>
      <c r="I1286">
        <v>332175</v>
      </c>
      <c r="J1286" t="s">
        <v>27</v>
      </c>
    </row>
    <row r="1287" spans="1:10" x14ac:dyDescent="0.25">
      <c r="A1287" t="s">
        <v>378</v>
      </c>
      <c r="B1287" t="s">
        <v>22</v>
      </c>
      <c r="C1287" t="s">
        <v>29</v>
      </c>
      <c r="D1287" t="s">
        <v>13</v>
      </c>
      <c r="E1287" t="s">
        <v>30</v>
      </c>
      <c r="F1287" t="s">
        <v>15</v>
      </c>
      <c r="G1287">
        <v>4</v>
      </c>
      <c r="H1287">
        <v>30577</v>
      </c>
      <c r="I1287">
        <v>122308</v>
      </c>
      <c r="J1287" t="s">
        <v>27</v>
      </c>
    </row>
    <row r="1288" spans="1:10" x14ac:dyDescent="0.25">
      <c r="A1288" t="s">
        <v>160</v>
      </c>
      <c r="B1288" t="s">
        <v>18</v>
      </c>
      <c r="C1288" t="s">
        <v>34</v>
      </c>
      <c r="D1288" t="s">
        <v>13</v>
      </c>
      <c r="E1288" t="s">
        <v>25</v>
      </c>
      <c r="F1288" t="s">
        <v>40</v>
      </c>
      <c r="G1288">
        <v>4</v>
      </c>
      <c r="H1288">
        <v>24122</v>
      </c>
      <c r="I1288">
        <v>96488</v>
      </c>
      <c r="J1288" t="s">
        <v>36</v>
      </c>
    </row>
    <row r="1289" spans="1:10" x14ac:dyDescent="0.25">
      <c r="A1289" t="s">
        <v>108</v>
      </c>
      <c r="B1289" t="s">
        <v>11</v>
      </c>
      <c r="C1289" t="s">
        <v>34</v>
      </c>
      <c r="D1289" t="s">
        <v>39</v>
      </c>
      <c r="E1289" t="s">
        <v>35</v>
      </c>
      <c r="F1289" t="s">
        <v>40</v>
      </c>
      <c r="G1289">
        <v>17</v>
      </c>
      <c r="H1289">
        <v>53846</v>
      </c>
      <c r="I1289">
        <v>915382</v>
      </c>
      <c r="J1289" t="s">
        <v>27</v>
      </c>
    </row>
    <row r="1290" spans="1:10" x14ac:dyDescent="0.25">
      <c r="A1290" t="s">
        <v>343</v>
      </c>
      <c r="B1290" t="s">
        <v>22</v>
      </c>
      <c r="C1290" t="s">
        <v>12</v>
      </c>
      <c r="D1290" t="s">
        <v>13</v>
      </c>
      <c r="E1290" t="s">
        <v>19</v>
      </c>
      <c r="F1290" t="s">
        <v>40</v>
      </c>
      <c r="G1290">
        <v>16</v>
      </c>
      <c r="H1290">
        <v>52016</v>
      </c>
      <c r="I1290">
        <v>832256</v>
      </c>
      <c r="J1290" t="s">
        <v>27</v>
      </c>
    </row>
    <row r="1291" spans="1:10" x14ac:dyDescent="0.25">
      <c r="A1291" t="s">
        <v>389</v>
      </c>
      <c r="B1291" t="s">
        <v>33</v>
      </c>
      <c r="C1291" t="s">
        <v>29</v>
      </c>
      <c r="D1291" t="s">
        <v>39</v>
      </c>
      <c r="E1291" t="s">
        <v>30</v>
      </c>
      <c r="F1291" t="s">
        <v>26</v>
      </c>
      <c r="G1291">
        <v>8</v>
      </c>
      <c r="H1291">
        <v>59794</v>
      </c>
      <c r="I1291">
        <v>478352</v>
      </c>
      <c r="J1291" t="s">
        <v>36</v>
      </c>
    </row>
    <row r="1292" spans="1:10" x14ac:dyDescent="0.25">
      <c r="A1292" t="s">
        <v>110</v>
      </c>
      <c r="B1292" t="s">
        <v>18</v>
      </c>
      <c r="C1292" t="s">
        <v>34</v>
      </c>
      <c r="D1292" t="s">
        <v>39</v>
      </c>
      <c r="E1292" t="s">
        <v>30</v>
      </c>
      <c r="F1292" t="s">
        <v>40</v>
      </c>
      <c r="G1292">
        <v>1</v>
      </c>
      <c r="H1292">
        <v>16854</v>
      </c>
      <c r="I1292">
        <v>16854</v>
      </c>
      <c r="J1292" t="s">
        <v>16</v>
      </c>
    </row>
    <row r="1293" spans="1:10" x14ac:dyDescent="0.25">
      <c r="A1293" t="s">
        <v>317</v>
      </c>
      <c r="B1293" t="s">
        <v>11</v>
      </c>
      <c r="C1293" t="s">
        <v>23</v>
      </c>
      <c r="D1293" t="s">
        <v>24</v>
      </c>
      <c r="E1293" t="s">
        <v>30</v>
      </c>
      <c r="F1293" t="s">
        <v>26</v>
      </c>
      <c r="G1293">
        <v>3</v>
      </c>
      <c r="H1293">
        <v>26919</v>
      </c>
      <c r="I1293">
        <v>80757</v>
      </c>
      <c r="J1293" t="s">
        <v>20</v>
      </c>
    </row>
    <row r="1294" spans="1:10" x14ac:dyDescent="0.25">
      <c r="A1294" t="s">
        <v>157</v>
      </c>
      <c r="B1294" t="s">
        <v>22</v>
      </c>
      <c r="C1294" t="s">
        <v>12</v>
      </c>
      <c r="D1294" t="s">
        <v>44</v>
      </c>
      <c r="E1294" t="s">
        <v>14</v>
      </c>
      <c r="F1294" t="s">
        <v>26</v>
      </c>
      <c r="G1294">
        <v>13</v>
      </c>
      <c r="H1294">
        <v>43811</v>
      </c>
      <c r="I1294">
        <v>569543</v>
      </c>
      <c r="J1294" t="s">
        <v>16</v>
      </c>
    </row>
    <row r="1295" spans="1:10" x14ac:dyDescent="0.25">
      <c r="A1295" t="s">
        <v>224</v>
      </c>
      <c r="B1295" t="s">
        <v>42</v>
      </c>
      <c r="C1295" t="s">
        <v>34</v>
      </c>
      <c r="D1295" t="s">
        <v>24</v>
      </c>
      <c r="E1295" t="s">
        <v>35</v>
      </c>
      <c r="F1295" t="s">
        <v>26</v>
      </c>
      <c r="G1295">
        <v>17</v>
      </c>
      <c r="H1295">
        <v>42383</v>
      </c>
      <c r="I1295">
        <v>720511</v>
      </c>
      <c r="J1295" t="s">
        <v>20</v>
      </c>
    </row>
    <row r="1296" spans="1:10" x14ac:dyDescent="0.25">
      <c r="A1296" t="s">
        <v>32</v>
      </c>
      <c r="B1296" t="s">
        <v>33</v>
      </c>
      <c r="C1296" t="s">
        <v>29</v>
      </c>
      <c r="D1296" t="s">
        <v>44</v>
      </c>
      <c r="E1296" t="s">
        <v>25</v>
      </c>
      <c r="F1296" t="s">
        <v>15</v>
      </c>
      <c r="G1296">
        <v>9</v>
      </c>
      <c r="H1296">
        <v>44089</v>
      </c>
      <c r="I1296">
        <v>396801</v>
      </c>
      <c r="J1296" t="s">
        <v>20</v>
      </c>
    </row>
    <row r="1297" spans="1:10" x14ac:dyDescent="0.25">
      <c r="A1297" t="s">
        <v>103</v>
      </c>
      <c r="B1297" t="s">
        <v>22</v>
      </c>
      <c r="C1297" t="s">
        <v>34</v>
      </c>
      <c r="D1297" t="s">
        <v>48</v>
      </c>
      <c r="E1297" t="s">
        <v>30</v>
      </c>
      <c r="F1297" t="s">
        <v>26</v>
      </c>
      <c r="G1297">
        <v>1</v>
      </c>
      <c r="H1297">
        <v>29613</v>
      </c>
      <c r="I1297">
        <v>29613</v>
      </c>
      <c r="J1297" t="s">
        <v>20</v>
      </c>
    </row>
    <row r="1298" spans="1:10" x14ac:dyDescent="0.25">
      <c r="A1298" t="s">
        <v>284</v>
      </c>
      <c r="B1298" t="s">
        <v>18</v>
      </c>
      <c r="C1298" t="s">
        <v>23</v>
      </c>
      <c r="D1298" t="s">
        <v>13</v>
      </c>
      <c r="E1298" t="s">
        <v>19</v>
      </c>
      <c r="F1298" t="s">
        <v>15</v>
      </c>
      <c r="G1298">
        <v>11</v>
      </c>
      <c r="H1298">
        <v>48331</v>
      </c>
      <c r="I1298">
        <v>531641</v>
      </c>
      <c r="J1298" t="s">
        <v>27</v>
      </c>
    </row>
    <row r="1299" spans="1:10" x14ac:dyDescent="0.25">
      <c r="A1299" t="s">
        <v>159</v>
      </c>
      <c r="B1299" t="s">
        <v>33</v>
      </c>
      <c r="C1299" t="s">
        <v>34</v>
      </c>
      <c r="D1299" t="s">
        <v>24</v>
      </c>
      <c r="E1299" t="s">
        <v>35</v>
      </c>
      <c r="F1299" t="s">
        <v>40</v>
      </c>
      <c r="G1299">
        <v>10</v>
      </c>
      <c r="H1299">
        <v>39283</v>
      </c>
      <c r="I1299">
        <v>392830</v>
      </c>
      <c r="J1299" t="s">
        <v>36</v>
      </c>
    </row>
    <row r="1300" spans="1:10" x14ac:dyDescent="0.25">
      <c r="A1300" t="s">
        <v>361</v>
      </c>
      <c r="B1300" t="s">
        <v>22</v>
      </c>
      <c r="C1300" t="s">
        <v>29</v>
      </c>
      <c r="D1300" t="s">
        <v>39</v>
      </c>
      <c r="E1300" t="s">
        <v>19</v>
      </c>
      <c r="F1300" t="s">
        <v>40</v>
      </c>
      <c r="G1300">
        <v>11</v>
      </c>
      <c r="H1300">
        <v>50360</v>
      </c>
      <c r="I1300">
        <v>553960</v>
      </c>
      <c r="J1300" t="s">
        <v>27</v>
      </c>
    </row>
    <row r="1301" spans="1:10" x14ac:dyDescent="0.25">
      <c r="A1301" t="s">
        <v>204</v>
      </c>
      <c r="B1301" t="s">
        <v>18</v>
      </c>
      <c r="C1301" t="s">
        <v>12</v>
      </c>
      <c r="D1301" t="s">
        <v>24</v>
      </c>
      <c r="E1301" t="s">
        <v>25</v>
      </c>
      <c r="F1301" t="s">
        <v>15</v>
      </c>
      <c r="G1301">
        <v>3</v>
      </c>
      <c r="H1301">
        <v>32747</v>
      </c>
      <c r="I1301">
        <v>98241</v>
      </c>
      <c r="J1301" t="s">
        <v>20</v>
      </c>
    </row>
    <row r="1302" spans="1:10" x14ac:dyDescent="0.25">
      <c r="A1302" t="s">
        <v>329</v>
      </c>
      <c r="B1302" t="s">
        <v>33</v>
      </c>
      <c r="C1302" t="s">
        <v>12</v>
      </c>
      <c r="D1302" t="s">
        <v>13</v>
      </c>
      <c r="E1302" t="s">
        <v>30</v>
      </c>
      <c r="F1302" t="s">
        <v>26</v>
      </c>
      <c r="G1302">
        <v>13</v>
      </c>
      <c r="H1302">
        <v>49134</v>
      </c>
      <c r="I1302">
        <v>638742</v>
      </c>
      <c r="J1302" t="s">
        <v>16</v>
      </c>
    </row>
    <row r="1303" spans="1:10" x14ac:dyDescent="0.25">
      <c r="A1303" t="s">
        <v>315</v>
      </c>
      <c r="B1303" t="s">
        <v>22</v>
      </c>
      <c r="C1303" t="s">
        <v>34</v>
      </c>
      <c r="D1303" t="s">
        <v>44</v>
      </c>
      <c r="E1303" t="s">
        <v>30</v>
      </c>
      <c r="F1303" t="s">
        <v>40</v>
      </c>
      <c r="G1303">
        <v>20</v>
      </c>
      <c r="H1303">
        <v>40352</v>
      </c>
      <c r="I1303">
        <v>807040</v>
      </c>
      <c r="J1303" t="s">
        <v>20</v>
      </c>
    </row>
    <row r="1304" spans="1:10" x14ac:dyDescent="0.25">
      <c r="A1304" t="s">
        <v>182</v>
      </c>
      <c r="B1304" t="s">
        <v>33</v>
      </c>
      <c r="C1304" t="s">
        <v>12</v>
      </c>
      <c r="D1304" t="s">
        <v>44</v>
      </c>
      <c r="E1304" t="s">
        <v>35</v>
      </c>
      <c r="F1304" t="s">
        <v>15</v>
      </c>
      <c r="G1304">
        <v>14</v>
      </c>
      <c r="H1304">
        <v>50479</v>
      </c>
      <c r="I1304">
        <v>706706</v>
      </c>
      <c r="J1304" t="s">
        <v>16</v>
      </c>
    </row>
    <row r="1305" spans="1:10" x14ac:dyDescent="0.25">
      <c r="A1305" t="s">
        <v>362</v>
      </c>
      <c r="B1305" t="s">
        <v>11</v>
      </c>
      <c r="C1305" t="s">
        <v>29</v>
      </c>
      <c r="D1305" t="s">
        <v>44</v>
      </c>
      <c r="E1305" t="s">
        <v>35</v>
      </c>
      <c r="F1305" t="s">
        <v>15</v>
      </c>
      <c r="G1305">
        <v>17</v>
      </c>
      <c r="H1305">
        <v>23265</v>
      </c>
      <c r="I1305">
        <v>395505</v>
      </c>
      <c r="J1305" t="s">
        <v>20</v>
      </c>
    </row>
    <row r="1306" spans="1:10" x14ac:dyDescent="0.25">
      <c r="A1306" t="s">
        <v>348</v>
      </c>
      <c r="B1306" t="s">
        <v>11</v>
      </c>
      <c r="C1306" t="s">
        <v>29</v>
      </c>
      <c r="D1306" t="s">
        <v>44</v>
      </c>
      <c r="E1306" t="s">
        <v>30</v>
      </c>
      <c r="F1306" t="s">
        <v>40</v>
      </c>
      <c r="G1306">
        <v>3</v>
      </c>
      <c r="H1306">
        <v>35934</v>
      </c>
      <c r="I1306">
        <v>107802</v>
      </c>
      <c r="J1306" t="s">
        <v>20</v>
      </c>
    </row>
    <row r="1307" spans="1:10" x14ac:dyDescent="0.25">
      <c r="A1307" t="s">
        <v>103</v>
      </c>
      <c r="B1307" t="s">
        <v>33</v>
      </c>
      <c r="C1307" t="s">
        <v>23</v>
      </c>
      <c r="D1307" t="s">
        <v>44</v>
      </c>
      <c r="E1307" t="s">
        <v>25</v>
      </c>
      <c r="F1307" t="s">
        <v>15</v>
      </c>
      <c r="G1307">
        <v>9</v>
      </c>
      <c r="H1307">
        <v>49841</v>
      </c>
      <c r="I1307">
        <v>448569</v>
      </c>
      <c r="J1307" t="s">
        <v>20</v>
      </c>
    </row>
    <row r="1308" spans="1:10" x14ac:dyDescent="0.25">
      <c r="A1308" t="s">
        <v>391</v>
      </c>
      <c r="B1308" t="s">
        <v>33</v>
      </c>
      <c r="C1308" t="s">
        <v>23</v>
      </c>
      <c r="D1308" t="s">
        <v>13</v>
      </c>
      <c r="E1308" t="s">
        <v>25</v>
      </c>
      <c r="F1308" t="s">
        <v>40</v>
      </c>
      <c r="G1308">
        <v>17</v>
      </c>
      <c r="H1308">
        <v>27241</v>
      </c>
      <c r="I1308">
        <v>463097</v>
      </c>
      <c r="J1308" t="s">
        <v>16</v>
      </c>
    </row>
    <row r="1309" spans="1:10" x14ac:dyDescent="0.25">
      <c r="A1309" t="s">
        <v>108</v>
      </c>
      <c r="B1309" t="s">
        <v>18</v>
      </c>
      <c r="C1309" t="s">
        <v>34</v>
      </c>
      <c r="D1309" t="s">
        <v>39</v>
      </c>
      <c r="E1309" t="s">
        <v>30</v>
      </c>
      <c r="F1309" t="s">
        <v>15</v>
      </c>
      <c r="G1309">
        <v>14</v>
      </c>
      <c r="H1309">
        <v>58753</v>
      </c>
      <c r="I1309">
        <v>822542</v>
      </c>
      <c r="J1309" t="s">
        <v>16</v>
      </c>
    </row>
    <row r="1310" spans="1:10" x14ac:dyDescent="0.25">
      <c r="A1310" t="s">
        <v>96</v>
      </c>
      <c r="B1310" t="s">
        <v>42</v>
      </c>
      <c r="C1310" t="s">
        <v>38</v>
      </c>
      <c r="D1310" t="s">
        <v>39</v>
      </c>
      <c r="E1310" t="s">
        <v>35</v>
      </c>
      <c r="F1310" t="s">
        <v>15</v>
      </c>
      <c r="G1310">
        <v>7</v>
      </c>
      <c r="H1310">
        <v>51726</v>
      </c>
      <c r="I1310">
        <v>362082</v>
      </c>
      <c r="J1310" t="s">
        <v>20</v>
      </c>
    </row>
    <row r="1311" spans="1:10" x14ac:dyDescent="0.25">
      <c r="A1311" t="s">
        <v>124</v>
      </c>
      <c r="B1311" t="s">
        <v>11</v>
      </c>
      <c r="C1311" t="s">
        <v>29</v>
      </c>
      <c r="D1311" t="s">
        <v>44</v>
      </c>
      <c r="E1311" t="s">
        <v>25</v>
      </c>
      <c r="F1311" t="s">
        <v>26</v>
      </c>
      <c r="G1311">
        <v>11</v>
      </c>
      <c r="H1311">
        <v>15097</v>
      </c>
      <c r="I1311">
        <v>166067</v>
      </c>
      <c r="J1311" t="s">
        <v>16</v>
      </c>
    </row>
    <row r="1312" spans="1:10" x14ac:dyDescent="0.25">
      <c r="A1312" t="s">
        <v>235</v>
      </c>
      <c r="B1312" t="s">
        <v>22</v>
      </c>
      <c r="C1312" t="s">
        <v>29</v>
      </c>
      <c r="D1312" t="s">
        <v>48</v>
      </c>
      <c r="E1312" t="s">
        <v>25</v>
      </c>
      <c r="F1312" t="s">
        <v>26</v>
      </c>
      <c r="G1312">
        <v>14</v>
      </c>
      <c r="H1312">
        <v>18879</v>
      </c>
      <c r="I1312">
        <v>264306</v>
      </c>
      <c r="J1312" t="s">
        <v>16</v>
      </c>
    </row>
    <row r="1313" spans="1:10" x14ac:dyDescent="0.25">
      <c r="A1313" t="s">
        <v>71</v>
      </c>
      <c r="B1313" t="s">
        <v>22</v>
      </c>
      <c r="C1313" t="s">
        <v>23</v>
      </c>
      <c r="D1313" t="s">
        <v>13</v>
      </c>
      <c r="E1313" t="s">
        <v>30</v>
      </c>
      <c r="F1313" t="s">
        <v>26</v>
      </c>
      <c r="G1313">
        <v>13</v>
      </c>
      <c r="H1313">
        <v>51948</v>
      </c>
      <c r="I1313">
        <v>675324</v>
      </c>
      <c r="J1313" t="s">
        <v>20</v>
      </c>
    </row>
    <row r="1314" spans="1:10" x14ac:dyDescent="0.25">
      <c r="A1314" t="s">
        <v>133</v>
      </c>
      <c r="B1314" t="s">
        <v>11</v>
      </c>
      <c r="C1314" t="s">
        <v>23</v>
      </c>
      <c r="D1314" t="s">
        <v>24</v>
      </c>
      <c r="E1314" t="s">
        <v>35</v>
      </c>
      <c r="F1314" t="s">
        <v>40</v>
      </c>
      <c r="G1314">
        <v>9</v>
      </c>
      <c r="H1314">
        <v>26417</v>
      </c>
      <c r="I1314">
        <v>237753</v>
      </c>
      <c r="J1314" t="s">
        <v>20</v>
      </c>
    </row>
    <row r="1315" spans="1:10" x14ac:dyDescent="0.25">
      <c r="A1315" t="s">
        <v>187</v>
      </c>
      <c r="B1315" t="s">
        <v>33</v>
      </c>
      <c r="C1315" t="s">
        <v>34</v>
      </c>
      <c r="D1315" t="s">
        <v>39</v>
      </c>
      <c r="E1315" t="s">
        <v>30</v>
      </c>
      <c r="F1315" t="s">
        <v>15</v>
      </c>
      <c r="G1315">
        <v>20</v>
      </c>
      <c r="H1315">
        <v>35882</v>
      </c>
      <c r="I1315">
        <v>717640</v>
      </c>
      <c r="J1315" t="s">
        <v>20</v>
      </c>
    </row>
    <row r="1316" spans="1:10" x14ac:dyDescent="0.25">
      <c r="A1316" t="s">
        <v>247</v>
      </c>
      <c r="B1316" t="s">
        <v>33</v>
      </c>
      <c r="C1316" t="s">
        <v>12</v>
      </c>
      <c r="D1316" t="s">
        <v>48</v>
      </c>
      <c r="E1316" t="s">
        <v>35</v>
      </c>
      <c r="F1316" t="s">
        <v>15</v>
      </c>
      <c r="G1316">
        <v>2</v>
      </c>
      <c r="H1316">
        <v>29181</v>
      </c>
      <c r="I1316">
        <v>58362</v>
      </c>
      <c r="J1316" t="s">
        <v>20</v>
      </c>
    </row>
    <row r="1317" spans="1:10" x14ac:dyDescent="0.25">
      <c r="A1317" t="s">
        <v>285</v>
      </c>
      <c r="B1317" t="s">
        <v>22</v>
      </c>
      <c r="C1317" t="s">
        <v>38</v>
      </c>
      <c r="D1317" t="s">
        <v>44</v>
      </c>
      <c r="E1317" t="s">
        <v>19</v>
      </c>
      <c r="F1317" t="s">
        <v>15</v>
      </c>
      <c r="G1317">
        <v>15</v>
      </c>
      <c r="H1317">
        <v>27744</v>
      </c>
      <c r="I1317">
        <v>416160</v>
      </c>
      <c r="J1317" t="s">
        <v>36</v>
      </c>
    </row>
    <row r="1318" spans="1:10" x14ac:dyDescent="0.25">
      <c r="A1318" t="s">
        <v>373</v>
      </c>
      <c r="B1318" t="s">
        <v>33</v>
      </c>
      <c r="C1318" t="s">
        <v>38</v>
      </c>
      <c r="D1318" t="s">
        <v>44</v>
      </c>
      <c r="E1318" t="s">
        <v>19</v>
      </c>
      <c r="F1318" t="s">
        <v>26</v>
      </c>
      <c r="G1318">
        <v>19</v>
      </c>
      <c r="H1318">
        <v>48116</v>
      </c>
      <c r="I1318">
        <v>914204</v>
      </c>
      <c r="J1318" t="s">
        <v>27</v>
      </c>
    </row>
    <row r="1319" spans="1:10" x14ac:dyDescent="0.25">
      <c r="A1319" t="s">
        <v>304</v>
      </c>
      <c r="B1319" t="s">
        <v>22</v>
      </c>
      <c r="C1319" t="s">
        <v>29</v>
      </c>
      <c r="D1319" t="s">
        <v>39</v>
      </c>
      <c r="E1319" t="s">
        <v>30</v>
      </c>
      <c r="F1319" t="s">
        <v>26</v>
      </c>
      <c r="G1319">
        <v>17</v>
      </c>
      <c r="H1319">
        <v>34833</v>
      </c>
      <c r="I1319">
        <v>592161</v>
      </c>
      <c r="J1319" t="s">
        <v>36</v>
      </c>
    </row>
    <row r="1320" spans="1:10" x14ac:dyDescent="0.25">
      <c r="A1320" t="s">
        <v>114</v>
      </c>
      <c r="B1320" t="s">
        <v>22</v>
      </c>
      <c r="C1320" t="s">
        <v>38</v>
      </c>
      <c r="D1320" t="s">
        <v>13</v>
      </c>
      <c r="E1320" t="s">
        <v>25</v>
      </c>
      <c r="F1320" t="s">
        <v>40</v>
      </c>
      <c r="G1320">
        <v>7</v>
      </c>
      <c r="H1320">
        <v>45128</v>
      </c>
      <c r="I1320">
        <v>315896</v>
      </c>
      <c r="J1320" t="s">
        <v>20</v>
      </c>
    </row>
    <row r="1321" spans="1:10" x14ac:dyDescent="0.25">
      <c r="A1321" t="s">
        <v>197</v>
      </c>
      <c r="B1321" t="s">
        <v>42</v>
      </c>
      <c r="C1321" t="s">
        <v>38</v>
      </c>
      <c r="D1321" t="s">
        <v>39</v>
      </c>
      <c r="E1321" t="s">
        <v>25</v>
      </c>
      <c r="F1321" t="s">
        <v>40</v>
      </c>
      <c r="G1321">
        <v>2</v>
      </c>
      <c r="H1321">
        <v>48939</v>
      </c>
      <c r="I1321">
        <v>97878</v>
      </c>
      <c r="J1321" t="s">
        <v>20</v>
      </c>
    </row>
    <row r="1322" spans="1:10" x14ac:dyDescent="0.25">
      <c r="A1322" t="s">
        <v>84</v>
      </c>
      <c r="B1322" t="s">
        <v>22</v>
      </c>
      <c r="C1322" t="s">
        <v>38</v>
      </c>
      <c r="D1322" t="s">
        <v>39</v>
      </c>
      <c r="E1322" t="s">
        <v>30</v>
      </c>
      <c r="F1322" t="s">
        <v>15</v>
      </c>
      <c r="G1322">
        <v>3</v>
      </c>
      <c r="H1322">
        <v>58351</v>
      </c>
      <c r="I1322">
        <v>175053</v>
      </c>
      <c r="J1322" t="s">
        <v>16</v>
      </c>
    </row>
    <row r="1323" spans="1:10" x14ac:dyDescent="0.25">
      <c r="A1323" t="s">
        <v>47</v>
      </c>
      <c r="B1323" t="s">
        <v>33</v>
      </c>
      <c r="C1323" t="s">
        <v>34</v>
      </c>
      <c r="D1323" t="s">
        <v>44</v>
      </c>
      <c r="E1323" t="s">
        <v>30</v>
      </c>
      <c r="F1323" t="s">
        <v>26</v>
      </c>
      <c r="G1323">
        <v>19</v>
      </c>
      <c r="H1323">
        <v>48610</v>
      </c>
      <c r="I1323">
        <v>923590</v>
      </c>
      <c r="J1323" t="s">
        <v>16</v>
      </c>
    </row>
    <row r="1324" spans="1:10" x14ac:dyDescent="0.25">
      <c r="A1324" t="s">
        <v>332</v>
      </c>
      <c r="B1324" t="s">
        <v>33</v>
      </c>
      <c r="C1324" t="s">
        <v>34</v>
      </c>
      <c r="D1324" t="s">
        <v>39</v>
      </c>
      <c r="E1324" t="s">
        <v>19</v>
      </c>
      <c r="F1324" t="s">
        <v>26</v>
      </c>
      <c r="G1324">
        <v>12</v>
      </c>
      <c r="H1324">
        <v>52204</v>
      </c>
      <c r="I1324">
        <v>626448</v>
      </c>
      <c r="J1324" t="s">
        <v>16</v>
      </c>
    </row>
    <row r="1325" spans="1:10" x14ac:dyDescent="0.25">
      <c r="A1325" t="s">
        <v>378</v>
      </c>
      <c r="B1325" t="s">
        <v>42</v>
      </c>
      <c r="C1325" t="s">
        <v>38</v>
      </c>
      <c r="D1325" t="s">
        <v>24</v>
      </c>
      <c r="E1325" t="s">
        <v>30</v>
      </c>
      <c r="F1325" t="s">
        <v>15</v>
      </c>
      <c r="G1325">
        <v>12</v>
      </c>
      <c r="H1325">
        <v>51803</v>
      </c>
      <c r="I1325">
        <v>621636</v>
      </c>
      <c r="J1325" t="s">
        <v>36</v>
      </c>
    </row>
    <row r="1326" spans="1:10" x14ac:dyDescent="0.25">
      <c r="A1326" t="s">
        <v>255</v>
      </c>
      <c r="B1326" t="s">
        <v>22</v>
      </c>
      <c r="C1326" t="s">
        <v>38</v>
      </c>
      <c r="D1326" t="s">
        <v>24</v>
      </c>
      <c r="E1326" t="s">
        <v>30</v>
      </c>
      <c r="F1326" t="s">
        <v>15</v>
      </c>
      <c r="G1326">
        <v>7</v>
      </c>
      <c r="H1326">
        <v>17363</v>
      </c>
      <c r="I1326">
        <v>121541</v>
      </c>
      <c r="J1326" t="s">
        <v>27</v>
      </c>
    </row>
    <row r="1327" spans="1:10" x14ac:dyDescent="0.25">
      <c r="A1327" t="s">
        <v>249</v>
      </c>
      <c r="B1327" t="s">
        <v>22</v>
      </c>
      <c r="C1327" t="s">
        <v>38</v>
      </c>
      <c r="D1327" t="s">
        <v>48</v>
      </c>
      <c r="E1327" t="s">
        <v>14</v>
      </c>
      <c r="F1327" t="s">
        <v>40</v>
      </c>
      <c r="G1327">
        <v>13</v>
      </c>
      <c r="H1327">
        <v>45190</v>
      </c>
      <c r="I1327">
        <v>587470</v>
      </c>
      <c r="J1327" t="s">
        <v>16</v>
      </c>
    </row>
    <row r="1328" spans="1:10" x14ac:dyDescent="0.25">
      <c r="A1328" t="s">
        <v>242</v>
      </c>
      <c r="B1328" t="s">
        <v>18</v>
      </c>
      <c r="C1328" t="s">
        <v>34</v>
      </c>
      <c r="D1328" t="s">
        <v>39</v>
      </c>
      <c r="E1328" t="s">
        <v>19</v>
      </c>
      <c r="F1328" t="s">
        <v>15</v>
      </c>
      <c r="G1328">
        <v>9</v>
      </c>
      <c r="H1328">
        <v>21367</v>
      </c>
      <c r="I1328">
        <v>192303</v>
      </c>
      <c r="J1328" t="s">
        <v>16</v>
      </c>
    </row>
    <row r="1329" spans="1:10" x14ac:dyDescent="0.25">
      <c r="A1329" t="s">
        <v>160</v>
      </c>
      <c r="B1329" t="s">
        <v>11</v>
      </c>
      <c r="C1329" t="s">
        <v>29</v>
      </c>
      <c r="D1329" t="s">
        <v>24</v>
      </c>
      <c r="E1329" t="s">
        <v>14</v>
      </c>
      <c r="F1329" t="s">
        <v>40</v>
      </c>
      <c r="G1329">
        <v>13</v>
      </c>
      <c r="H1329">
        <v>58828</v>
      </c>
      <c r="I1329">
        <v>764764</v>
      </c>
      <c r="J1329" t="s">
        <v>36</v>
      </c>
    </row>
    <row r="1330" spans="1:10" x14ac:dyDescent="0.25">
      <c r="A1330" t="s">
        <v>306</v>
      </c>
      <c r="B1330" t="s">
        <v>22</v>
      </c>
      <c r="C1330" t="s">
        <v>12</v>
      </c>
      <c r="D1330" t="s">
        <v>44</v>
      </c>
      <c r="E1330" t="s">
        <v>35</v>
      </c>
      <c r="F1330" t="s">
        <v>26</v>
      </c>
      <c r="G1330">
        <v>10</v>
      </c>
      <c r="H1330">
        <v>34107</v>
      </c>
      <c r="I1330">
        <v>341070</v>
      </c>
      <c r="J1330" t="s">
        <v>20</v>
      </c>
    </row>
    <row r="1331" spans="1:10" x14ac:dyDescent="0.25">
      <c r="A1331" t="s">
        <v>226</v>
      </c>
      <c r="B1331" t="s">
        <v>22</v>
      </c>
      <c r="C1331" t="s">
        <v>12</v>
      </c>
      <c r="D1331" t="s">
        <v>13</v>
      </c>
      <c r="E1331" t="s">
        <v>19</v>
      </c>
      <c r="F1331" t="s">
        <v>26</v>
      </c>
      <c r="G1331">
        <v>18</v>
      </c>
      <c r="H1331">
        <v>39158</v>
      </c>
      <c r="I1331">
        <v>704844</v>
      </c>
      <c r="J1331" t="s">
        <v>20</v>
      </c>
    </row>
    <row r="1332" spans="1:10" x14ac:dyDescent="0.25">
      <c r="A1332" t="s">
        <v>149</v>
      </c>
      <c r="B1332" t="s">
        <v>33</v>
      </c>
      <c r="C1332" t="s">
        <v>34</v>
      </c>
      <c r="D1332" t="s">
        <v>24</v>
      </c>
      <c r="E1332" t="s">
        <v>35</v>
      </c>
      <c r="F1332" t="s">
        <v>26</v>
      </c>
      <c r="G1332">
        <v>6</v>
      </c>
      <c r="H1332">
        <v>25611</v>
      </c>
      <c r="I1332">
        <v>153666</v>
      </c>
      <c r="J1332" t="s">
        <v>16</v>
      </c>
    </row>
    <row r="1333" spans="1:10" x14ac:dyDescent="0.25">
      <c r="A1333" t="s">
        <v>62</v>
      </c>
      <c r="B1333" t="s">
        <v>11</v>
      </c>
      <c r="C1333" t="s">
        <v>29</v>
      </c>
      <c r="D1333" t="s">
        <v>13</v>
      </c>
      <c r="E1333" t="s">
        <v>14</v>
      </c>
      <c r="F1333" t="s">
        <v>26</v>
      </c>
      <c r="G1333">
        <v>14</v>
      </c>
      <c r="H1333">
        <v>22041</v>
      </c>
      <c r="I1333">
        <v>308574</v>
      </c>
      <c r="J1333" t="s">
        <v>27</v>
      </c>
    </row>
    <row r="1334" spans="1:10" x14ac:dyDescent="0.25">
      <c r="A1334" t="s">
        <v>197</v>
      </c>
      <c r="B1334" t="s">
        <v>18</v>
      </c>
      <c r="C1334" t="s">
        <v>29</v>
      </c>
      <c r="D1334" t="s">
        <v>13</v>
      </c>
      <c r="E1334" t="s">
        <v>30</v>
      </c>
      <c r="F1334" t="s">
        <v>40</v>
      </c>
      <c r="G1334">
        <v>11</v>
      </c>
      <c r="H1334">
        <v>53316</v>
      </c>
      <c r="I1334">
        <v>586476</v>
      </c>
      <c r="J1334" t="s">
        <v>20</v>
      </c>
    </row>
    <row r="1335" spans="1:10" x14ac:dyDescent="0.25">
      <c r="A1335" t="s">
        <v>143</v>
      </c>
      <c r="B1335" t="s">
        <v>11</v>
      </c>
      <c r="C1335" t="s">
        <v>29</v>
      </c>
      <c r="D1335" t="s">
        <v>44</v>
      </c>
      <c r="E1335" t="s">
        <v>14</v>
      </c>
      <c r="F1335" t="s">
        <v>15</v>
      </c>
      <c r="G1335">
        <v>13</v>
      </c>
      <c r="H1335">
        <v>52359</v>
      </c>
      <c r="I1335">
        <v>680667</v>
      </c>
      <c r="J1335" t="s">
        <v>36</v>
      </c>
    </row>
    <row r="1336" spans="1:10" x14ac:dyDescent="0.25">
      <c r="A1336" t="s">
        <v>334</v>
      </c>
      <c r="B1336" t="s">
        <v>42</v>
      </c>
      <c r="C1336" t="s">
        <v>29</v>
      </c>
      <c r="D1336" t="s">
        <v>44</v>
      </c>
      <c r="E1336" t="s">
        <v>35</v>
      </c>
      <c r="F1336" t="s">
        <v>15</v>
      </c>
      <c r="G1336">
        <v>14</v>
      </c>
      <c r="H1336">
        <v>58314</v>
      </c>
      <c r="I1336">
        <v>816396</v>
      </c>
      <c r="J1336" t="s">
        <v>16</v>
      </c>
    </row>
    <row r="1337" spans="1:10" x14ac:dyDescent="0.25">
      <c r="A1337" t="s">
        <v>123</v>
      </c>
      <c r="B1337" t="s">
        <v>22</v>
      </c>
      <c r="C1337" t="s">
        <v>38</v>
      </c>
      <c r="D1337" t="s">
        <v>13</v>
      </c>
      <c r="E1337" t="s">
        <v>14</v>
      </c>
      <c r="F1337" t="s">
        <v>40</v>
      </c>
      <c r="G1337">
        <v>20</v>
      </c>
      <c r="H1337">
        <v>18281</v>
      </c>
      <c r="I1337">
        <v>365620</v>
      </c>
      <c r="J1337" t="s">
        <v>16</v>
      </c>
    </row>
    <row r="1338" spans="1:10" x14ac:dyDescent="0.25">
      <c r="A1338" t="s">
        <v>289</v>
      </c>
      <c r="B1338" t="s">
        <v>11</v>
      </c>
      <c r="C1338" t="s">
        <v>23</v>
      </c>
      <c r="D1338" t="s">
        <v>39</v>
      </c>
      <c r="E1338" t="s">
        <v>30</v>
      </c>
      <c r="F1338" t="s">
        <v>40</v>
      </c>
      <c r="G1338">
        <v>6</v>
      </c>
      <c r="H1338">
        <v>18790</v>
      </c>
      <c r="I1338">
        <v>112740</v>
      </c>
      <c r="J1338" t="s">
        <v>16</v>
      </c>
    </row>
    <row r="1339" spans="1:10" x14ac:dyDescent="0.25">
      <c r="A1339" t="s">
        <v>72</v>
      </c>
      <c r="B1339" t="s">
        <v>22</v>
      </c>
      <c r="C1339" t="s">
        <v>23</v>
      </c>
      <c r="D1339" t="s">
        <v>24</v>
      </c>
      <c r="E1339" t="s">
        <v>35</v>
      </c>
      <c r="F1339" t="s">
        <v>15</v>
      </c>
      <c r="G1339">
        <v>17</v>
      </c>
      <c r="H1339">
        <v>47132</v>
      </c>
      <c r="I1339">
        <v>801244</v>
      </c>
      <c r="J1339" t="s">
        <v>36</v>
      </c>
    </row>
    <row r="1340" spans="1:10" x14ac:dyDescent="0.25">
      <c r="A1340" t="s">
        <v>252</v>
      </c>
      <c r="B1340" t="s">
        <v>22</v>
      </c>
      <c r="C1340" t="s">
        <v>29</v>
      </c>
      <c r="D1340" t="s">
        <v>44</v>
      </c>
      <c r="E1340" t="s">
        <v>19</v>
      </c>
      <c r="F1340" t="s">
        <v>15</v>
      </c>
      <c r="G1340">
        <v>4</v>
      </c>
      <c r="H1340">
        <v>24568</v>
      </c>
      <c r="I1340">
        <v>98272</v>
      </c>
      <c r="J1340" t="s">
        <v>16</v>
      </c>
    </row>
    <row r="1341" spans="1:10" x14ac:dyDescent="0.25">
      <c r="A1341" t="s">
        <v>308</v>
      </c>
      <c r="B1341" t="s">
        <v>33</v>
      </c>
      <c r="C1341" t="s">
        <v>38</v>
      </c>
      <c r="D1341" t="s">
        <v>39</v>
      </c>
      <c r="E1341" t="s">
        <v>25</v>
      </c>
      <c r="F1341" t="s">
        <v>40</v>
      </c>
      <c r="G1341">
        <v>8</v>
      </c>
      <c r="H1341">
        <v>33148</v>
      </c>
      <c r="I1341">
        <v>265184</v>
      </c>
      <c r="J1341" t="s">
        <v>36</v>
      </c>
    </row>
    <row r="1342" spans="1:10" x14ac:dyDescent="0.25">
      <c r="A1342" t="s">
        <v>106</v>
      </c>
      <c r="B1342" t="s">
        <v>22</v>
      </c>
      <c r="C1342" t="s">
        <v>12</v>
      </c>
      <c r="D1342" t="s">
        <v>24</v>
      </c>
      <c r="E1342" t="s">
        <v>30</v>
      </c>
      <c r="F1342" t="s">
        <v>26</v>
      </c>
      <c r="G1342">
        <v>8</v>
      </c>
      <c r="H1342">
        <v>53249</v>
      </c>
      <c r="I1342">
        <v>425992</v>
      </c>
      <c r="J1342" t="s">
        <v>16</v>
      </c>
    </row>
    <row r="1343" spans="1:10" x14ac:dyDescent="0.25">
      <c r="A1343" t="s">
        <v>41</v>
      </c>
      <c r="B1343" t="s">
        <v>18</v>
      </c>
      <c r="C1343" t="s">
        <v>12</v>
      </c>
      <c r="D1343" t="s">
        <v>24</v>
      </c>
      <c r="E1343" t="s">
        <v>19</v>
      </c>
      <c r="F1343" t="s">
        <v>26</v>
      </c>
      <c r="G1343">
        <v>16</v>
      </c>
      <c r="H1343">
        <v>17149</v>
      </c>
      <c r="I1343">
        <v>274384</v>
      </c>
      <c r="J1343" t="s">
        <v>20</v>
      </c>
    </row>
    <row r="1344" spans="1:10" x14ac:dyDescent="0.25">
      <c r="A1344" t="s">
        <v>113</v>
      </c>
      <c r="B1344" t="s">
        <v>22</v>
      </c>
      <c r="C1344" t="s">
        <v>29</v>
      </c>
      <c r="D1344" t="s">
        <v>44</v>
      </c>
      <c r="E1344" t="s">
        <v>19</v>
      </c>
      <c r="F1344" t="s">
        <v>40</v>
      </c>
      <c r="G1344">
        <v>15</v>
      </c>
      <c r="H1344">
        <v>55860</v>
      </c>
      <c r="I1344">
        <v>837900</v>
      </c>
      <c r="J1344" t="s">
        <v>20</v>
      </c>
    </row>
    <row r="1345" spans="1:10" x14ac:dyDescent="0.25">
      <c r="A1345" t="s">
        <v>247</v>
      </c>
      <c r="B1345" t="s">
        <v>42</v>
      </c>
      <c r="C1345" t="s">
        <v>23</v>
      </c>
      <c r="D1345" t="s">
        <v>13</v>
      </c>
      <c r="E1345" t="s">
        <v>19</v>
      </c>
      <c r="F1345" t="s">
        <v>15</v>
      </c>
      <c r="G1345">
        <v>13</v>
      </c>
      <c r="H1345">
        <v>50480</v>
      </c>
      <c r="I1345">
        <v>656240</v>
      </c>
      <c r="J1345" t="s">
        <v>27</v>
      </c>
    </row>
    <row r="1346" spans="1:10" x14ac:dyDescent="0.25">
      <c r="A1346" t="s">
        <v>300</v>
      </c>
      <c r="B1346" t="s">
        <v>22</v>
      </c>
      <c r="C1346" t="s">
        <v>12</v>
      </c>
      <c r="D1346" t="s">
        <v>48</v>
      </c>
      <c r="E1346" t="s">
        <v>35</v>
      </c>
      <c r="F1346" t="s">
        <v>15</v>
      </c>
      <c r="G1346">
        <v>8</v>
      </c>
      <c r="H1346">
        <v>27548</v>
      </c>
      <c r="I1346">
        <v>220384</v>
      </c>
      <c r="J1346" t="s">
        <v>20</v>
      </c>
    </row>
    <row r="1347" spans="1:10" x14ac:dyDescent="0.25">
      <c r="A1347" t="s">
        <v>268</v>
      </c>
      <c r="B1347" t="s">
        <v>11</v>
      </c>
      <c r="C1347" t="s">
        <v>12</v>
      </c>
      <c r="D1347" t="s">
        <v>48</v>
      </c>
      <c r="E1347" t="s">
        <v>35</v>
      </c>
      <c r="F1347" t="s">
        <v>15</v>
      </c>
      <c r="G1347">
        <v>17</v>
      </c>
      <c r="H1347">
        <v>20652</v>
      </c>
      <c r="I1347">
        <v>351084</v>
      </c>
      <c r="J1347" t="s">
        <v>36</v>
      </c>
    </row>
    <row r="1348" spans="1:10" x14ac:dyDescent="0.25">
      <c r="A1348" t="s">
        <v>261</v>
      </c>
      <c r="B1348" t="s">
        <v>22</v>
      </c>
      <c r="C1348" t="s">
        <v>38</v>
      </c>
      <c r="D1348" t="s">
        <v>24</v>
      </c>
      <c r="E1348" t="s">
        <v>25</v>
      </c>
      <c r="F1348" t="s">
        <v>26</v>
      </c>
      <c r="G1348">
        <v>12</v>
      </c>
      <c r="H1348">
        <v>31610</v>
      </c>
      <c r="I1348">
        <v>379320</v>
      </c>
      <c r="J1348" t="s">
        <v>27</v>
      </c>
    </row>
    <row r="1349" spans="1:10" x14ac:dyDescent="0.25">
      <c r="A1349" t="s">
        <v>79</v>
      </c>
      <c r="B1349" t="s">
        <v>42</v>
      </c>
      <c r="C1349" t="s">
        <v>12</v>
      </c>
      <c r="D1349" t="s">
        <v>44</v>
      </c>
      <c r="E1349" t="s">
        <v>30</v>
      </c>
      <c r="F1349" t="s">
        <v>26</v>
      </c>
      <c r="G1349">
        <v>1</v>
      </c>
      <c r="H1349">
        <v>20292</v>
      </c>
      <c r="I1349">
        <v>20292</v>
      </c>
      <c r="J1349" t="s">
        <v>27</v>
      </c>
    </row>
    <row r="1350" spans="1:10" x14ac:dyDescent="0.25">
      <c r="A1350" t="s">
        <v>282</v>
      </c>
      <c r="B1350" t="s">
        <v>42</v>
      </c>
      <c r="C1350" t="s">
        <v>38</v>
      </c>
      <c r="D1350" t="s">
        <v>48</v>
      </c>
      <c r="E1350" t="s">
        <v>19</v>
      </c>
      <c r="F1350" t="s">
        <v>26</v>
      </c>
      <c r="G1350">
        <v>2</v>
      </c>
      <c r="H1350">
        <v>36577</v>
      </c>
      <c r="I1350">
        <v>73154</v>
      </c>
      <c r="J1350" t="s">
        <v>36</v>
      </c>
    </row>
    <row r="1351" spans="1:10" x14ac:dyDescent="0.25">
      <c r="A1351" t="s">
        <v>224</v>
      </c>
      <c r="B1351" t="s">
        <v>18</v>
      </c>
      <c r="C1351" t="s">
        <v>12</v>
      </c>
      <c r="D1351" t="s">
        <v>48</v>
      </c>
      <c r="E1351" t="s">
        <v>14</v>
      </c>
      <c r="F1351" t="s">
        <v>40</v>
      </c>
      <c r="G1351">
        <v>5</v>
      </c>
      <c r="H1351">
        <v>15590</v>
      </c>
      <c r="I1351">
        <v>77950</v>
      </c>
      <c r="J1351" t="s">
        <v>36</v>
      </c>
    </row>
    <row r="1352" spans="1:10" x14ac:dyDescent="0.25">
      <c r="A1352" t="s">
        <v>353</v>
      </c>
      <c r="B1352" t="s">
        <v>33</v>
      </c>
      <c r="C1352" t="s">
        <v>29</v>
      </c>
      <c r="D1352" t="s">
        <v>44</v>
      </c>
      <c r="E1352" t="s">
        <v>14</v>
      </c>
      <c r="F1352" t="s">
        <v>40</v>
      </c>
      <c r="G1352">
        <v>1</v>
      </c>
      <c r="H1352">
        <v>35057</v>
      </c>
      <c r="I1352">
        <v>35057</v>
      </c>
      <c r="J1352" t="s">
        <v>20</v>
      </c>
    </row>
    <row r="1353" spans="1:10" x14ac:dyDescent="0.25">
      <c r="A1353" t="s">
        <v>217</v>
      </c>
      <c r="B1353" t="s">
        <v>22</v>
      </c>
      <c r="C1353" t="s">
        <v>29</v>
      </c>
      <c r="D1353" t="s">
        <v>39</v>
      </c>
      <c r="E1353" t="s">
        <v>19</v>
      </c>
      <c r="F1353" t="s">
        <v>40</v>
      </c>
      <c r="G1353">
        <v>6</v>
      </c>
      <c r="H1353">
        <v>28686</v>
      </c>
      <c r="I1353">
        <v>172116</v>
      </c>
      <c r="J1353" t="s">
        <v>16</v>
      </c>
    </row>
    <row r="1354" spans="1:10" x14ac:dyDescent="0.25">
      <c r="A1354" t="s">
        <v>372</v>
      </c>
      <c r="B1354" t="s">
        <v>42</v>
      </c>
      <c r="C1354" t="s">
        <v>34</v>
      </c>
      <c r="D1354" t="s">
        <v>24</v>
      </c>
      <c r="E1354" t="s">
        <v>25</v>
      </c>
      <c r="F1354" t="s">
        <v>15</v>
      </c>
      <c r="G1354">
        <v>15</v>
      </c>
      <c r="H1354">
        <v>39742</v>
      </c>
      <c r="I1354">
        <v>596130</v>
      </c>
      <c r="J1354" t="s">
        <v>36</v>
      </c>
    </row>
    <row r="1355" spans="1:10" x14ac:dyDescent="0.25">
      <c r="A1355" t="s">
        <v>370</v>
      </c>
      <c r="B1355" t="s">
        <v>42</v>
      </c>
      <c r="C1355" t="s">
        <v>34</v>
      </c>
      <c r="D1355" t="s">
        <v>24</v>
      </c>
      <c r="E1355" t="s">
        <v>25</v>
      </c>
      <c r="F1355" t="s">
        <v>40</v>
      </c>
      <c r="G1355">
        <v>5</v>
      </c>
      <c r="H1355">
        <v>16744</v>
      </c>
      <c r="I1355">
        <v>83720</v>
      </c>
      <c r="J1355" t="s">
        <v>20</v>
      </c>
    </row>
    <row r="1356" spans="1:10" x14ac:dyDescent="0.25">
      <c r="A1356" t="s">
        <v>296</v>
      </c>
      <c r="B1356" t="s">
        <v>11</v>
      </c>
      <c r="C1356" t="s">
        <v>38</v>
      </c>
      <c r="D1356" t="s">
        <v>13</v>
      </c>
      <c r="E1356" t="s">
        <v>19</v>
      </c>
      <c r="F1356" t="s">
        <v>15</v>
      </c>
      <c r="G1356">
        <v>20</v>
      </c>
      <c r="H1356">
        <v>39928</v>
      </c>
      <c r="I1356">
        <v>798560</v>
      </c>
      <c r="J1356" t="s">
        <v>36</v>
      </c>
    </row>
    <row r="1357" spans="1:10" x14ac:dyDescent="0.25">
      <c r="A1357" t="s">
        <v>184</v>
      </c>
      <c r="B1357" t="s">
        <v>22</v>
      </c>
      <c r="C1357" t="s">
        <v>29</v>
      </c>
      <c r="D1357" t="s">
        <v>24</v>
      </c>
      <c r="E1357" t="s">
        <v>30</v>
      </c>
      <c r="F1357" t="s">
        <v>15</v>
      </c>
      <c r="G1357">
        <v>13</v>
      </c>
      <c r="H1357">
        <v>29276</v>
      </c>
      <c r="I1357">
        <v>380588</v>
      </c>
      <c r="J1357" t="s">
        <v>27</v>
      </c>
    </row>
    <row r="1358" spans="1:10" x14ac:dyDescent="0.25">
      <c r="A1358" t="s">
        <v>285</v>
      </c>
      <c r="B1358" t="s">
        <v>22</v>
      </c>
      <c r="C1358" t="s">
        <v>38</v>
      </c>
      <c r="D1358" t="s">
        <v>24</v>
      </c>
      <c r="E1358" t="s">
        <v>14</v>
      </c>
      <c r="F1358" t="s">
        <v>40</v>
      </c>
      <c r="G1358">
        <v>9</v>
      </c>
      <c r="H1358">
        <v>35303</v>
      </c>
      <c r="I1358">
        <v>317727</v>
      </c>
      <c r="J1358" t="s">
        <v>27</v>
      </c>
    </row>
    <row r="1359" spans="1:10" x14ac:dyDescent="0.25">
      <c r="A1359" t="s">
        <v>235</v>
      </c>
      <c r="B1359" t="s">
        <v>18</v>
      </c>
      <c r="C1359" t="s">
        <v>23</v>
      </c>
      <c r="D1359" t="s">
        <v>48</v>
      </c>
      <c r="E1359" t="s">
        <v>14</v>
      </c>
      <c r="F1359" t="s">
        <v>40</v>
      </c>
      <c r="G1359">
        <v>13</v>
      </c>
      <c r="H1359">
        <v>36291</v>
      </c>
      <c r="I1359">
        <v>471783</v>
      </c>
      <c r="J1359" t="s">
        <v>16</v>
      </c>
    </row>
    <row r="1360" spans="1:10" x14ac:dyDescent="0.25">
      <c r="A1360" t="s">
        <v>339</v>
      </c>
      <c r="B1360" t="s">
        <v>22</v>
      </c>
      <c r="C1360" t="s">
        <v>34</v>
      </c>
      <c r="D1360" t="s">
        <v>48</v>
      </c>
      <c r="E1360" t="s">
        <v>35</v>
      </c>
      <c r="F1360" t="s">
        <v>15</v>
      </c>
      <c r="G1360">
        <v>15</v>
      </c>
      <c r="H1360">
        <v>30972</v>
      </c>
      <c r="I1360">
        <v>464580</v>
      </c>
      <c r="J1360" t="s">
        <v>16</v>
      </c>
    </row>
    <row r="1361" spans="1:10" x14ac:dyDescent="0.25">
      <c r="A1361" t="s">
        <v>242</v>
      </c>
      <c r="B1361" t="s">
        <v>11</v>
      </c>
      <c r="C1361" t="s">
        <v>29</v>
      </c>
      <c r="D1361" t="s">
        <v>39</v>
      </c>
      <c r="E1361" t="s">
        <v>35</v>
      </c>
      <c r="F1361" t="s">
        <v>26</v>
      </c>
      <c r="G1361">
        <v>1</v>
      </c>
      <c r="H1361">
        <v>27817</v>
      </c>
      <c r="I1361">
        <v>27817</v>
      </c>
      <c r="J1361" t="s">
        <v>27</v>
      </c>
    </row>
    <row r="1362" spans="1:10" x14ac:dyDescent="0.25">
      <c r="A1362" t="s">
        <v>311</v>
      </c>
      <c r="B1362" t="s">
        <v>33</v>
      </c>
      <c r="C1362" t="s">
        <v>12</v>
      </c>
      <c r="D1362" t="s">
        <v>44</v>
      </c>
      <c r="E1362" t="s">
        <v>19</v>
      </c>
      <c r="F1362" t="s">
        <v>26</v>
      </c>
      <c r="G1362">
        <v>18</v>
      </c>
      <c r="H1362">
        <v>34152</v>
      </c>
      <c r="I1362">
        <v>614736</v>
      </c>
      <c r="J1362" t="s">
        <v>20</v>
      </c>
    </row>
    <row r="1363" spans="1:10" x14ac:dyDescent="0.25">
      <c r="A1363" t="s">
        <v>235</v>
      </c>
      <c r="B1363" t="s">
        <v>42</v>
      </c>
      <c r="C1363" t="s">
        <v>23</v>
      </c>
      <c r="D1363" t="s">
        <v>39</v>
      </c>
      <c r="E1363" t="s">
        <v>19</v>
      </c>
      <c r="F1363" t="s">
        <v>40</v>
      </c>
      <c r="G1363">
        <v>17</v>
      </c>
      <c r="H1363">
        <v>19057</v>
      </c>
      <c r="I1363">
        <v>323969</v>
      </c>
      <c r="J1363" t="s">
        <v>36</v>
      </c>
    </row>
    <row r="1364" spans="1:10" x14ac:dyDescent="0.25">
      <c r="A1364" t="s">
        <v>328</v>
      </c>
      <c r="B1364" t="s">
        <v>18</v>
      </c>
      <c r="C1364" t="s">
        <v>38</v>
      </c>
      <c r="D1364" t="s">
        <v>48</v>
      </c>
      <c r="E1364" t="s">
        <v>30</v>
      </c>
      <c r="F1364" t="s">
        <v>26</v>
      </c>
      <c r="G1364">
        <v>6</v>
      </c>
      <c r="H1364">
        <v>48798</v>
      </c>
      <c r="I1364">
        <v>292788</v>
      </c>
      <c r="J1364" t="s">
        <v>36</v>
      </c>
    </row>
    <row r="1365" spans="1:10" x14ac:dyDescent="0.25">
      <c r="A1365" t="s">
        <v>170</v>
      </c>
      <c r="B1365" t="s">
        <v>22</v>
      </c>
      <c r="C1365" t="s">
        <v>29</v>
      </c>
      <c r="D1365" t="s">
        <v>48</v>
      </c>
      <c r="E1365" t="s">
        <v>19</v>
      </c>
      <c r="F1365" t="s">
        <v>15</v>
      </c>
      <c r="G1365">
        <v>4</v>
      </c>
      <c r="H1365">
        <v>51097</v>
      </c>
      <c r="I1365">
        <v>204388</v>
      </c>
      <c r="J1365" t="s">
        <v>16</v>
      </c>
    </row>
    <row r="1366" spans="1:10" x14ac:dyDescent="0.25">
      <c r="A1366" t="s">
        <v>151</v>
      </c>
      <c r="B1366" t="s">
        <v>18</v>
      </c>
      <c r="C1366" t="s">
        <v>38</v>
      </c>
      <c r="D1366" t="s">
        <v>44</v>
      </c>
      <c r="E1366" t="s">
        <v>25</v>
      </c>
      <c r="F1366" t="s">
        <v>26</v>
      </c>
      <c r="G1366">
        <v>17</v>
      </c>
      <c r="H1366">
        <v>43430</v>
      </c>
      <c r="I1366">
        <v>738310</v>
      </c>
      <c r="J1366" t="s">
        <v>16</v>
      </c>
    </row>
    <row r="1367" spans="1:10" x14ac:dyDescent="0.25">
      <c r="A1367" t="s">
        <v>193</v>
      </c>
      <c r="B1367" t="s">
        <v>11</v>
      </c>
      <c r="C1367" t="s">
        <v>29</v>
      </c>
      <c r="D1367" t="s">
        <v>13</v>
      </c>
      <c r="E1367" t="s">
        <v>25</v>
      </c>
      <c r="F1367" t="s">
        <v>26</v>
      </c>
      <c r="G1367">
        <v>10</v>
      </c>
      <c r="H1367">
        <v>37585</v>
      </c>
      <c r="I1367">
        <v>375850</v>
      </c>
      <c r="J1367" t="s">
        <v>20</v>
      </c>
    </row>
    <row r="1368" spans="1:10" x14ac:dyDescent="0.25">
      <c r="A1368" t="s">
        <v>145</v>
      </c>
      <c r="B1368" t="s">
        <v>22</v>
      </c>
      <c r="C1368" t="s">
        <v>29</v>
      </c>
      <c r="D1368" t="s">
        <v>48</v>
      </c>
      <c r="E1368" t="s">
        <v>19</v>
      </c>
      <c r="F1368" t="s">
        <v>40</v>
      </c>
      <c r="G1368">
        <v>15</v>
      </c>
      <c r="H1368">
        <v>55907</v>
      </c>
      <c r="I1368">
        <v>838605</v>
      </c>
      <c r="J1368" t="s">
        <v>36</v>
      </c>
    </row>
    <row r="1369" spans="1:10" x14ac:dyDescent="0.25">
      <c r="A1369" t="s">
        <v>191</v>
      </c>
      <c r="B1369" t="s">
        <v>18</v>
      </c>
      <c r="C1369" t="s">
        <v>34</v>
      </c>
      <c r="D1369" t="s">
        <v>13</v>
      </c>
      <c r="E1369" t="s">
        <v>25</v>
      </c>
      <c r="F1369" t="s">
        <v>40</v>
      </c>
      <c r="G1369">
        <v>6</v>
      </c>
      <c r="H1369">
        <v>57788</v>
      </c>
      <c r="I1369">
        <v>346728</v>
      </c>
      <c r="J1369" t="s">
        <v>27</v>
      </c>
    </row>
    <row r="1370" spans="1:10" x14ac:dyDescent="0.25">
      <c r="A1370" t="s">
        <v>163</v>
      </c>
      <c r="B1370" t="s">
        <v>11</v>
      </c>
      <c r="C1370" t="s">
        <v>12</v>
      </c>
      <c r="D1370" t="s">
        <v>24</v>
      </c>
      <c r="E1370" t="s">
        <v>35</v>
      </c>
      <c r="F1370" t="s">
        <v>26</v>
      </c>
      <c r="G1370">
        <v>6</v>
      </c>
      <c r="H1370">
        <v>54963</v>
      </c>
      <c r="I1370">
        <v>329778</v>
      </c>
      <c r="J1370" t="s">
        <v>36</v>
      </c>
    </row>
    <row r="1371" spans="1:10" x14ac:dyDescent="0.25">
      <c r="A1371" t="s">
        <v>231</v>
      </c>
      <c r="B1371" t="s">
        <v>22</v>
      </c>
      <c r="C1371" t="s">
        <v>38</v>
      </c>
      <c r="D1371" t="s">
        <v>48</v>
      </c>
      <c r="E1371" t="s">
        <v>14</v>
      </c>
      <c r="F1371" t="s">
        <v>26</v>
      </c>
      <c r="G1371">
        <v>20</v>
      </c>
      <c r="H1371">
        <v>47338</v>
      </c>
      <c r="I1371">
        <v>946760</v>
      </c>
      <c r="J1371" t="s">
        <v>20</v>
      </c>
    </row>
    <row r="1372" spans="1:10" x14ac:dyDescent="0.25">
      <c r="A1372" t="s">
        <v>393</v>
      </c>
      <c r="B1372" t="s">
        <v>11</v>
      </c>
      <c r="C1372" t="s">
        <v>23</v>
      </c>
      <c r="D1372" t="s">
        <v>44</v>
      </c>
      <c r="E1372" t="s">
        <v>19</v>
      </c>
      <c r="F1372" t="s">
        <v>15</v>
      </c>
      <c r="G1372">
        <v>18</v>
      </c>
      <c r="H1372">
        <v>42485</v>
      </c>
      <c r="I1372">
        <v>764730</v>
      </c>
      <c r="J1372" t="s">
        <v>36</v>
      </c>
    </row>
    <row r="1373" spans="1:10" x14ac:dyDescent="0.25">
      <c r="A1373" t="s">
        <v>311</v>
      </c>
      <c r="B1373" t="s">
        <v>22</v>
      </c>
      <c r="C1373" t="s">
        <v>38</v>
      </c>
      <c r="D1373" t="s">
        <v>39</v>
      </c>
      <c r="E1373" t="s">
        <v>19</v>
      </c>
      <c r="F1373" t="s">
        <v>15</v>
      </c>
      <c r="G1373">
        <v>20</v>
      </c>
      <c r="H1373">
        <v>58871</v>
      </c>
      <c r="I1373">
        <v>1177420</v>
      </c>
      <c r="J1373" t="s">
        <v>27</v>
      </c>
    </row>
    <row r="1374" spans="1:10" x14ac:dyDescent="0.25">
      <c r="A1374" t="s">
        <v>73</v>
      </c>
      <c r="B1374" t="s">
        <v>18</v>
      </c>
      <c r="C1374" t="s">
        <v>23</v>
      </c>
      <c r="D1374" t="s">
        <v>48</v>
      </c>
      <c r="E1374" t="s">
        <v>25</v>
      </c>
      <c r="F1374" t="s">
        <v>26</v>
      </c>
      <c r="G1374">
        <v>10</v>
      </c>
      <c r="H1374">
        <v>28769</v>
      </c>
      <c r="I1374">
        <v>287690</v>
      </c>
      <c r="J1374" t="s">
        <v>16</v>
      </c>
    </row>
    <row r="1375" spans="1:10" x14ac:dyDescent="0.25">
      <c r="A1375" t="s">
        <v>371</v>
      </c>
      <c r="B1375" t="s">
        <v>33</v>
      </c>
      <c r="C1375" t="s">
        <v>23</v>
      </c>
      <c r="D1375" t="s">
        <v>48</v>
      </c>
      <c r="E1375" t="s">
        <v>25</v>
      </c>
      <c r="F1375" t="s">
        <v>26</v>
      </c>
      <c r="G1375">
        <v>3</v>
      </c>
      <c r="H1375">
        <v>15956</v>
      </c>
      <c r="I1375">
        <v>47868</v>
      </c>
      <c r="J1375" t="s">
        <v>16</v>
      </c>
    </row>
    <row r="1376" spans="1:10" x14ac:dyDescent="0.25">
      <c r="A1376" t="s">
        <v>302</v>
      </c>
      <c r="B1376" t="s">
        <v>22</v>
      </c>
      <c r="C1376" t="s">
        <v>38</v>
      </c>
      <c r="D1376" t="s">
        <v>44</v>
      </c>
      <c r="E1376" t="s">
        <v>19</v>
      </c>
      <c r="F1376" t="s">
        <v>40</v>
      </c>
      <c r="G1376">
        <v>13</v>
      </c>
      <c r="H1376">
        <v>17779</v>
      </c>
      <c r="I1376">
        <v>231127</v>
      </c>
      <c r="J1376" t="s">
        <v>20</v>
      </c>
    </row>
    <row r="1377" spans="1:10" x14ac:dyDescent="0.25">
      <c r="A1377" t="s">
        <v>127</v>
      </c>
      <c r="B1377" t="s">
        <v>22</v>
      </c>
      <c r="C1377" t="s">
        <v>29</v>
      </c>
      <c r="D1377" t="s">
        <v>44</v>
      </c>
      <c r="E1377" t="s">
        <v>30</v>
      </c>
      <c r="F1377" t="s">
        <v>15</v>
      </c>
      <c r="G1377">
        <v>8</v>
      </c>
      <c r="H1377">
        <v>20778</v>
      </c>
      <c r="I1377">
        <v>166224</v>
      </c>
      <c r="J1377" t="s">
        <v>36</v>
      </c>
    </row>
    <row r="1378" spans="1:10" x14ac:dyDescent="0.25">
      <c r="A1378" t="s">
        <v>70</v>
      </c>
      <c r="B1378" t="s">
        <v>22</v>
      </c>
      <c r="C1378" t="s">
        <v>38</v>
      </c>
      <c r="D1378" t="s">
        <v>44</v>
      </c>
      <c r="E1378" t="s">
        <v>14</v>
      </c>
      <c r="F1378" t="s">
        <v>40</v>
      </c>
      <c r="G1378">
        <v>1</v>
      </c>
      <c r="H1378">
        <v>44436</v>
      </c>
      <c r="I1378">
        <v>44436</v>
      </c>
      <c r="J1378" t="s">
        <v>16</v>
      </c>
    </row>
    <row r="1379" spans="1:10" x14ac:dyDescent="0.25">
      <c r="A1379" t="s">
        <v>359</v>
      </c>
      <c r="B1379" t="s">
        <v>18</v>
      </c>
      <c r="C1379" t="s">
        <v>38</v>
      </c>
      <c r="D1379" t="s">
        <v>48</v>
      </c>
      <c r="E1379" t="s">
        <v>14</v>
      </c>
      <c r="F1379" t="s">
        <v>40</v>
      </c>
      <c r="G1379">
        <v>15</v>
      </c>
      <c r="H1379">
        <v>27237</v>
      </c>
      <c r="I1379">
        <v>408555</v>
      </c>
      <c r="J1379" t="s">
        <v>20</v>
      </c>
    </row>
    <row r="1380" spans="1:10" x14ac:dyDescent="0.25">
      <c r="A1380" t="s">
        <v>93</v>
      </c>
      <c r="B1380" t="s">
        <v>33</v>
      </c>
      <c r="C1380" t="s">
        <v>38</v>
      </c>
      <c r="D1380" t="s">
        <v>39</v>
      </c>
      <c r="E1380" t="s">
        <v>14</v>
      </c>
      <c r="F1380" t="s">
        <v>15</v>
      </c>
      <c r="G1380">
        <v>9</v>
      </c>
      <c r="H1380">
        <v>46921</v>
      </c>
      <c r="I1380">
        <v>422289</v>
      </c>
      <c r="J1380" t="s">
        <v>36</v>
      </c>
    </row>
    <row r="1381" spans="1:10" x14ac:dyDescent="0.25">
      <c r="A1381" t="s">
        <v>106</v>
      </c>
      <c r="B1381" t="s">
        <v>33</v>
      </c>
      <c r="C1381" t="s">
        <v>12</v>
      </c>
      <c r="D1381" t="s">
        <v>24</v>
      </c>
      <c r="E1381" t="s">
        <v>19</v>
      </c>
      <c r="F1381" t="s">
        <v>15</v>
      </c>
      <c r="G1381">
        <v>13</v>
      </c>
      <c r="H1381">
        <v>58744</v>
      </c>
      <c r="I1381">
        <v>763672</v>
      </c>
      <c r="J1381" t="s">
        <v>20</v>
      </c>
    </row>
    <row r="1382" spans="1:10" x14ac:dyDescent="0.25">
      <c r="A1382" t="s">
        <v>130</v>
      </c>
      <c r="B1382" t="s">
        <v>11</v>
      </c>
      <c r="C1382" t="s">
        <v>12</v>
      </c>
      <c r="D1382" t="s">
        <v>13</v>
      </c>
      <c r="E1382" t="s">
        <v>30</v>
      </c>
      <c r="F1382" t="s">
        <v>40</v>
      </c>
      <c r="G1382">
        <v>6</v>
      </c>
      <c r="H1382">
        <v>24847</v>
      </c>
      <c r="I1382">
        <v>149082</v>
      </c>
      <c r="J1382" t="s">
        <v>20</v>
      </c>
    </row>
    <row r="1383" spans="1:10" x14ac:dyDescent="0.25">
      <c r="A1383" t="s">
        <v>241</v>
      </c>
      <c r="B1383" t="s">
        <v>42</v>
      </c>
      <c r="C1383" t="s">
        <v>34</v>
      </c>
      <c r="D1383" t="s">
        <v>44</v>
      </c>
      <c r="E1383" t="s">
        <v>14</v>
      </c>
      <c r="F1383" t="s">
        <v>15</v>
      </c>
      <c r="G1383">
        <v>15</v>
      </c>
      <c r="H1383">
        <v>22656</v>
      </c>
      <c r="I1383">
        <v>339840</v>
      </c>
      <c r="J1383" t="s">
        <v>20</v>
      </c>
    </row>
    <row r="1384" spans="1:10" x14ac:dyDescent="0.25">
      <c r="A1384" t="s">
        <v>231</v>
      </c>
      <c r="B1384" t="s">
        <v>33</v>
      </c>
      <c r="C1384" t="s">
        <v>12</v>
      </c>
      <c r="D1384" t="s">
        <v>48</v>
      </c>
      <c r="E1384" t="s">
        <v>19</v>
      </c>
      <c r="F1384" t="s">
        <v>40</v>
      </c>
      <c r="G1384">
        <v>17</v>
      </c>
      <c r="H1384">
        <v>20009</v>
      </c>
      <c r="I1384">
        <v>340153</v>
      </c>
      <c r="J1384" t="s">
        <v>20</v>
      </c>
    </row>
    <row r="1385" spans="1:10" x14ac:dyDescent="0.25">
      <c r="A1385" t="s">
        <v>51</v>
      </c>
      <c r="B1385" t="s">
        <v>11</v>
      </c>
      <c r="C1385" t="s">
        <v>34</v>
      </c>
      <c r="D1385" t="s">
        <v>48</v>
      </c>
      <c r="E1385" t="s">
        <v>35</v>
      </c>
      <c r="F1385" t="s">
        <v>26</v>
      </c>
      <c r="G1385">
        <v>16</v>
      </c>
      <c r="H1385">
        <v>22654</v>
      </c>
      <c r="I1385">
        <v>362464</v>
      </c>
      <c r="J1385" t="s">
        <v>27</v>
      </c>
    </row>
    <row r="1386" spans="1:10" x14ac:dyDescent="0.25">
      <c r="A1386" t="s">
        <v>304</v>
      </c>
      <c r="B1386" t="s">
        <v>22</v>
      </c>
      <c r="C1386" t="s">
        <v>23</v>
      </c>
      <c r="D1386" t="s">
        <v>39</v>
      </c>
      <c r="E1386" t="s">
        <v>25</v>
      </c>
      <c r="F1386" t="s">
        <v>40</v>
      </c>
      <c r="G1386">
        <v>20</v>
      </c>
      <c r="H1386">
        <v>46419</v>
      </c>
      <c r="I1386">
        <v>928380</v>
      </c>
      <c r="J1386" t="s">
        <v>20</v>
      </c>
    </row>
    <row r="1387" spans="1:10" x14ac:dyDescent="0.25">
      <c r="A1387" t="s">
        <v>354</v>
      </c>
      <c r="B1387" t="s">
        <v>11</v>
      </c>
      <c r="C1387" t="s">
        <v>38</v>
      </c>
      <c r="D1387" t="s">
        <v>44</v>
      </c>
      <c r="E1387" t="s">
        <v>30</v>
      </c>
      <c r="F1387" t="s">
        <v>15</v>
      </c>
      <c r="G1387">
        <v>5</v>
      </c>
      <c r="H1387">
        <v>34875</v>
      </c>
      <c r="I1387">
        <v>174375</v>
      </c>
      <c r="J1387" t="s">
        <v>20</v>
      </c>
    </row>
    <row r="1388" spans="1:10" x14ac:dyDescent="0.25">
      <c r="A1388" t="s">
        <v>103</v>
      </c>
      <c r="B1388" t="s">
        <v>33</v>
      </c>
      <c r="C1388" t="s">
        <v>34</v>
      </c>
      <c r="D1388" t="s">
        <v>39</v>
      </c>
      <c r="E1388" t="s">
        <v>25</v>
      </c>
      <c r="F1388" t="s">
        <v>26</v>
      </c>
      <c r="G1388">
        <v>1</v>
      </c>
      <c r="H1388">
        <v>38293</v>
      </c>
      <c r="I1388">
        <v>38293</v>
      </c>
      <c r="J1388" t="s">
        <v>27</v>
      </c>
    </row>
    <row r="1389" spans="1:10" x14ac:dyDescent="0.25">
      <c r="A1389" t="s">
        <v>323</v>
      </c>
      <c r="B1389" t="s">
        <v>42</v>
      </c>
      <c r="C1389" t="s">
        <v>29</v>
      </c>
      <c r="D1389" t="s">
        <v>13</v>
      </c>
      <c r="E1389" t="s">
        <v>30</v>
      </c>
      <c r="F1389" t="s">
        <v>15</v>
      </c>
      <c r="G1389">
        <v>15</v>
      </c>
      <c r="H1389">
        <v>54023</v>
      </c>
      <c r="I1389">
        <v>810345</v>
      </c>
      <c r="J1389" t="s">
        <v>27</v>
      </c>
    </row>
    <row r="1390" spans="1:10" x14ac:dyDescent="0.25">
      <c r="A1390" t="s">
        <v>84</v>
      </c>
      <c r="B1390" t="s">
        <v>22</v>
      </c>
      <c r="C1390" t="s">
        <v>34</v>
      </c>
      <c r="D1390" t="s">
        <v>24</v>
      </c>
      <c r="E1390" t="s">
        <v>35</v>
      </c>
      <c r="F1390" t="s">
        <v>26</v>
      </c>
      <c r="G1390">
        <v>3</v>
      </c>
      <c r="H1390">
        <v>56806</v>
      </c>
      <c r="I1390">
        <v>170418</v>
      </c>
      <c r="J1390" t="s">
        <v>20</v>
      </c>
    </row>
    <row r="1391" spans="1:10" x14ac:dyDescent="0.25">
      <c r="A1391" t="s">
        <v>52</v>
      </c>
      <c r="B1391" t="s">
        <v>18</v>
      </c>
      <c r="C1391" t="s">
        <v>34</v>
      </c>
      <c r="D1391" t="s">
        <v>24</v>
      </c>
      <c r="E1391" t="s">
        <v>35</v>
      </c>
      <c r="F1391" t="s">
        <v>40</v>
      </c>
      <c r="G1391">
        <v>11</v>
      </c>
      <c r="H1391">
        <v>37318</v>
      </c>
      <c r="I1391">
        <v>410498</v>
      </c>
      <c r="J1391" t="s">
        <v>16</v>
      </c>
    </row>
    <row r="1392" spans="1:10" x14ac:dyDescent="0.25">
      <c r="A1392" t="s">
        <v>257</v>
      </c>
      <c r="B1392" t="s">
        <v>33</v>
      </c>
      <c r="C1392" t="s">
        <v>23</v>
      </c>
      <c r="D1392" t="s">
        <v>13</v>
      </c>
      <c r="E1392" t="s">
        <v>19</v>
      </c>
      <c r="F1392" t="s">
        <v>26</v>
      </c>
      <c r="G1392">
        <v>20</v>
      </c>
      <c r="H1392">
        <v>35312</v>
      </c>
      <c r="I1392">
        <v>706240</v>
      </c>
      <c r="J1392" t="s">
        <v>27</v>
      </c>
    </row>
    <row r="1393" spans="1:10" x14ac:dyDescent="0.25">
      <c r="A1393" t="s">
        <v>269</v>
      </c>
      <c r="B1393" t="s">
        <v>11</v>
      </c>
      <c r="C1393" t="s">
        <v>29</v>
      </c>
      <c r="D1393" t="s">
        <v>13</v>
      </c>
      <c r="E1393" t="s">
        <v>25</v>
      </c>
      <c r="F1393" t="s">
        <v>40</v>
      </c>
      <c r="G1393">
        <v>10</v>
      </c>
      <c r="H1393">
        <v>32754</v>
      </c>
      <c r="I1393">
        <v>327540</v>
      </c>
      <c r="J1393" t="s">
        <v>16</v>
      </c>
    </row>
    <row r="1394" spans="1:10" x14ac:dyDescent="0.25">
      <c r="A1394" t="s">
        <v>154</v>
      </c>
      <c r="B1394" t="s">
        <v>42</v>
      </c>
      <c r="C1394" t="s">
        <v>38</v>
      </c>
      <c r="D1394" t="s">
        <v>48</v>
      </c>
      <c r="E1394" t="s">
        <v>19</v>
      </c>
      <c r="F1394" t="s">
        <v>40</v>
      </c>
      <c r="G1394">
        <v>16</v>
      </c>
      <c r="H1394">
        <v>22602</v>
      </c>
      <c r="I1394">
        <v>361632</v>
      </c>
      <c r="J1394" t="s">
        <v>27</v>
      </c>
    </row>
    <row r="1395" spans="1:10" x14ac:dyDescent="0.25">
      <c r="A1395" t="s">
        <v>273</v>
      </c>
      <c r="B1395" t="s">
        <v>11</v>
      </c>
      <c r="C1395" t="s">
        <v>12</v>
      </c>
      <c r="D1395" t="s">
        <v>13</v>
      </c>
      <c r="E1395" t="s">
        <v>19</v>
      </c>
      <c r="F1395" t="s">
        <v>15</v>
      </c>
      <c r="G1395">
        <v>7</v>
      </c>
      <c r="H1395">
        <v>45982</v>
      </c>
      <c r="I1395">
        <v>321874</v>
      </c>
      <c r="J1395" t="s">
        <v>27</v>
      </c>
    </row>
    <row r="1396" spans="1:10" x14ac:dyDescent="0.25">
      <c r="A1396" t="s">
        <v>81</v>
      </c>
      <c r="B1396" t="s">
        <v>42</v>
      </c>
      <c r="C1396" t="s">
        <v>12</v>
      </c>
      <c r="D1396" t="s">
        <v>44</v>
      </c>
      <c r="E1396" t="s">
        <v>30</v>
      </c>
      <c r="F1396" t="s">
        <v>40</v>
      </c>
      <c r="G1396">
        <v>14</v>
      </c>
      <c r="H1396">
        <v>25071</v>
      </c>
      <c r="I1396">
        <v>350994</v>
      </c>
      <c r="J1396" t="s">
        <v>16</v>
      </c>
    </row>
    <row r="1397" spans="1:10" x14ac:dyDescent="0.25">
      <c r="A1397" t="s">
        <v>154</v>
      </c>
      <c r="B1397" t="s">
        <v>11</v>
      </c>
      <c r="C1397" t="s">
        <v>12</v>
      </c>
      <c r="D1397" t="s">
        <v>39</v>
      </c>
      <c r="E1397" t="s">
        <v>30</v>
      </c>
      <c r="F1397" t="s">
        <v>26</v>
      </c>
      <c r="G1397">
        <v>18</v>
      </c>
      <c r="H1397">
        <v>15606</v>
      </c>
      <c r="I1397">
        <v>280908</v>
      </c>
      <c r="J1397" t="s">
        <v>27</v>
      </c>
    </row>
    <row r="1398" spans="1:10" x14ac:dyDescent="0.25">
      <c r="A1398" t="s">
        <v>130</v>
      </c>
      <c r="B1398" t="s">
        <v>33</v>
      </c>
      <c r="C1398" t="s">
        <v>38</v>
      </c>
      <c r="D1398" t="s">
        <v>48</v>
      </c>
      <c r="E1398" t="s">
        <v>30</v>
      </c>
      <c r="F1398" t="s">
        <v>15</v>
      </c>
      <c r="G1398">
        <v>10</v>
      </c>
      <c r="H1398">
        <v>43603</v>
      </c>
      <c r="I1398">
        <v>436030</v>
      </c>
      <c r="J1398" t="s">
        <v>20</v>
      </c>
    </row>
    <row r="1399" spans="1:10" x14ac:dyDescent="0.25">
      <c r="A1399" t="s">
        <v>142</v>
      </c>
      <c r="B1399" t="s">
        <v>33</v>
      </c>
      <c r="C1399" t="s">
        <v>23</v>
      </c>
      <c r="D1399" t="s">
        <v>39</v>
      </c>
      <c r="E1399" t="s">
        <v>25</v>
      </c>
      <c r="F1399" t="s">
        <v>15</v>
      </c>
      <c r="G1399">
        <v>11</v>
      </c>
      <c r="H1399">
        <v>49112</v>
      </c>
      <c r="I1399">
        <v>540232</v>
      </c>
      <c r="J1399" t="s">
        <v>36</v>
      </c>
    </row>
    <row r="1400" spans="1:10" x14ac:dyDescent="0.25">
      <c r="A1400" t="s">
        <v>89</v>
      </c>
      <c r="B1400" t="s">
        <v>18</v>
      </c>
      <c r="C1400" t="s">
        <v>12</v>
      </c>
      <c r="D1400" t="s">
        <v>13</v>
      </c>
      <c r="E1400" t="s">
        <v>25</v>
      </c>
      <c r="F1400" t="s">
        <v>26</v>
      </c>
      <c r="G1400">
        <v>12</v>
      </c>
      <c r="H1400">
        <v>37841</v>
      </c>
      <c r="I1400">
        <v>454092</v>
      </c>
      <c r="J1400" t="s">
        <v>20</v>
      </c>
    </row>
    <row r="1401" spans="1:10" x14ac:dyDescent="0.25">
      <c r="A1401" t="s">
        <v>299</v>
      </c>
      <c r="B1401" t="s">
        <v>42</v>
      </c>
      <c r="C1401" t="s">
        <v>34</v>
      </c>
      <c r="D1401" t="s">
        <v>24</v>
      </c>
      <c r="E1401" t="s">
        <v>35</v>
      </c>
      <c r="F1401" t="s">
        <v>15</v>
      </c>
      <c r="G1401">
        <v>15</v>
      </c>
      <c r="H1401">
        <v>43251</v>
      </c>
      <c r="I1401">
        <v>648765</v>
      </c>
      <c r="J1401" t="s">
        <v>27</v>
      </c>
    </row>
    <row r="1402" spans="1:10" x14ac:dyDescent="0.25">
      <c r="A1402" t="s">
        <v>180</v>
      </c>
      <c r="B1402" t="s">
        <v>33</v>
      </c>
      <c r="C1402" t="s">
        <v>12</v>
      </c>
      <c r="D1402" t="s">
        <v>24</v>
      </c>
      <c r="E1402" t="s">
        <v>19</v>
      </c>
      <c r="F1402" t="s">
        <v>40</v>
      </c>
      <c r="G1402">
        <v>6</v>
      </c>
      <c r="H1402">
        <v>46094</v>
      </c>
      <c r="I1402">
        <v>276564</v>
      </c>
      <c r="J1402" t="s">
        <v>16</v>
      </c>
    </row>
    <row r="1403" spans="1:10" x14ac:dyDescent="0.25">
      <c r="A1403" t="s">
        <v>150</v>
      </c>
      <c r="B1403" t="s">
        <v>18</v>
      </c>
      <c r="C1403" t="s">
        <v>23</v>
      </c>
      <c r="D1403" t="s">
        <v>44</v>
      </c>
      <c r="E1403" t="s">
        <v>35</v>
      </c>
      <c r="F1403" t="s">
        <v>15</v>
      </c>
      <c r="G1403">
        <v>19</v>
      </c>
      <c r="H1403">
        <v>16798</v>
      </c>
      <c r="I1403">
        <v>319162</v>
      </c>
      <c r="J1403" t="s">
        <v>36</v>
      </c>
    </row>
    <row r="1404" spans="1:10" x14ac:dyDescent="0.25">
      <c r="A1404" t="s">
        <v>237</v>
      </c>
      <c r="B1404" t="s">
        <v>42</v>
      </c>
      <c r="C1404" t="s">
        <v>23</v>
      </c>
      <c r="D1404" t="s">
        <v>24</v>
      </c>
      <c r="E1404" t="s">
        <v>14</v>
      </c>
      <c r="F1404" t="s">
        <v>15</v>
      </c>
      <c r="G1404">
        <v>10</v>
      </c>
      <c r="H1404">
        <v>53793</v>
      </c>
      <c r="I1404">
        <v>537930</v>
      </c>
      <c r="J1404" t="s">
        <v>36</v>
      </c>
    </row>
    <row r="1405" spans="1:10" x14ac:dyDescent="0.25">
      <c r="A1405" t="s">
        <v>209</v>
      </c>
      <c r="B1405" t="s">
        <v>33</v>
      </c>
      <c r="C1405" t="s">
        <v>38</v>
      </c>
      <c r="D1405" t="s">
        <v>44</v>
      </c>
      <c r="E1405" t="s">
        <v>19</v>
      </c>
      <c r="F1405" t="s">
        <v>40</v>
      </c>
      <c r="G1405">
        <v>17</v>
      </c>
      <c r="H1405">
        <v>53768</v>
      </c>
      <c r="I1405">
        <v>914056</v>
      </c>
      <c r="J1405" t="s">
        <v>36</v>
      </c>
    </row>
    <row r="1406" spans="1:10" x14ac:dyDescent="0.25">
      <c r="A1406" t="s">
        <v>215</v>
      </c>
      <c r="B1406" t="s">
        <v>33</v>
      </c>
      <c r="C1406" t="s">
        <v>34</v>
      </c>
      <c r="D1406" t="s">
        <v>44</v>
      </c>
      <c r="E1406" t="s">
        <v>14</v>
      </c>
      <c r="F1406" t="s">
        <v>40</v>
      </c>
      <c r="G1406">
        <v>6</v>
      </c>
      <c r="H1406">
        <v>53443</v>
      </c>
      <c r="I1406">
        <v>320658</v>
      </c>
      <c r="J1406" t="s">
        <v>16</v>
      </c>
    </row>
    <row r="1407" spans="1:10" x14ac:dyDescent="0.25">
      <c r="A1407" t="s">
        <v>309</v>
      </c>
      <c r="B1407" t="s">
        <v>22</v>
      </c>
      <c r="C1407" t="s">
        <v>23</v>
      </c>
      <c r="D1407" t="s">
        <v>44</v>
      </c>
      <c r="E1407" t="s">
        <v>14</v>
      </c>
      <c r="F1407" t="s">
        <v>40</v>
      </c>
      <c r="G1407">
        <v>4</v>
      </c>
      <c r="H1407">
        <v>55506</v>
      </c>
      <c r="I1407">
        <v>222024</v>
      </c>
      <c r="J1407" t="s">
        <v>20</v>
      </c>
    </row>
    <row r="1408" spans="1:10" x14ac:dyDescent="0.25">
      <c r="A1408" t="s">
        <v>195</v>
      </c>
      <c r="B1408" t="s">
        <v>22</v>
      </c>
      <c r="C1408" t="s">
        <v>34</v>
      </c>
      <c r="D1408" t="s">
        <v>44</v>
      </c>
      <c r="E1408" t="s">
        <v>14</v>
      </c>
      <c r="F1408" t="s">
        <v>26</v>
      </c>
      <c r="G1408">
        <v>19</v>
      </c>
      <c r="H1408">
        <v>40053</v>
      </c>
      <c r="I1408">
        <v>761007</v>
      </c>
      <c r="J1408" t="s">
        <v>36</v>
      </c>
    </row>
    <row r="1409" spans="1:10" x14ac:dyDescent="0.25">
      <c r="A1409" t="s">
        <v>213</v>
      </c>
      <c r="B1409" t="s">
        <v>18</v>
      </c>
      <c r="C1409" t="s">
        <v>34</v>
      </c>
      <c r="D1409" t="s">
        <v>39</v>
      </c>
      <c r="E1409" t="s">
        <v>30</v>
      </c>
      <c r="F1409" t="s">
        <v>40</v>
      </c>
      <c r="G1409">
        <v>14</v>
      </c>
      <c r="H1409">
        <v>24737</v>
      </c>
      <c r="I1409">
        <v>346318</v>
      </c>
      <c r="J1409" t="s">
        <v>27</v>
      </c>
    </row>
    <row r="1410" spans="1:10" x14ac:dyDescent="0.25">
      <c r="A1410" t="s">
        <v>96</v>
      </c>
      <c r="B1410" t="s">
        <v>33</v>
      </c>
      <c r="C1410" t="s">
        <v>23</v>
      </c>
      <c r="D1410" t="s">
        <v>39</v>
      </c>
      <c r="E1410" t="s">
        <v>14</v>
      </c>
      <c r="F1410" t="s">
        <v>40</v>
      </c>
      <c r="G1410">
        <v>4</v>
      </c>
      <c r="H1410">
        <v>24380</v>
      </c>
      <c r="I1410">
        <v>97520</v>
      </c>
      <c r="J1410" t="s">
        <v>36</v>
      </c>
    </row>
    <row r="1411" spans="1:10" x14ac:dyDescent="0.25">
      <c r="A1411" t="s">
        <v>21</v>
      </c>
      <c r="B1411" t="s">
        <v>22</v>
      </c>
      <c r="C1411" t="s">
        <v>34</v>
      </c>
      <c r="D1411" t="s">
        <v>39</v>
      </c>
      <c r="E1411" t="s">
        <v>19</v>
      </c>
      <c r="F1411" t="s">
        <v>26</v>
      </c>
      <c r="G1411">
        <v>18</v>
      </c>
      <c r="H1411">
        <v>22216</v>
      </c>
      <c r="I1411">
        <v>399888</v>
      </c>
      <c r="J1411" t="s">
        <v>16</v>
      </c>
    </row>
    <row r="1412" spans="1:10" x14ac:dyDescent="0.25">
      <c r="A1412" t="s">
        <v>242</v>
      </c>
      <c r="B1412" t="s">
        <v>22</v>
      </c>
      <c r="C1412" t="s">
        <v>34</v>
      </c>
      <c r="D1412" t="s">
        <v>24</v>
      </c>
      <c r="E1412" t="s">
        <v>19</v>
      </c>
      <c r="F1412" t="s">
        <v>15</v>
      </c>
      <c r="G1412">
        <v>9</v>
      </c>
      <c r="H1412">
        <v>23985</v>
      </c>
      <c r="I1412">
        <v>215865</v>
      </c>
      <c r="J1412" t="s">
        <v>16</v>
      </c>
    </row>
    <row r="1413" spans="1:10" x14ac:dyDescent="0.25">
      <c r="A1413" t="s">
        <v>201</v>
      </c>
      <c r="B1413" t="s">
        <v>42</v>
      </c>
      <c r="C1413" t="s">
        <v>29</v>
      </c>
      <c r="D1413" t="s">
        <v>13</v>
      </c>
      <c r="E1413" t="s">
        <v>25</v>
      </c>
      <c r="F1413" t="s">
        <v>40</v>
      </c>
      <c r="G1413">
        <v>14</v>
      </c>
      <c r="H1413">
        <v>30727</v>
      </c>
      <c r="I1413">
        <v>430178</v>
      </c>
      <c r="J1413" t="s">
        <v>27</v>
      </c>
    </row>
    <row r="1414" spans="1:10" x14ac:dyDescent="0.25">
      <c r="A1414" t="s">
        <v>213</v>
      </c>
      <c r="B1414" t="s">
        <v>22</v>
      </c>
      <c r="C1414" t="s">
        <v>29</v>
      </c>
      <c r="D1414" t="s">
        <v>39</v>
      </c>
      <c r="E1414" t="s">
        <v>25</v>
      </c>
      <c r="F1414" t="s">
        <v>15</v>
      </c>
      <c r="G1414">
        <v>5</v>
      </c>
      <c r="H1414">
        <v>33495</v>
      </c>
      <c r="I1414">
        <v>167475</v>
      </c>
      <c r="J1414" t="s">
        <v>36</v>
      </c>
    </row>
    <row r="1415" spans="1:10" x14ac:dyDescent="0.25">
      <c r="A1415" t="s">
        <v>376</v>
      </c>
      <c r="B1415" t="s">
        <v>33</v>
      </c>
      <c r="C1415" t="s">
        <v>29</v>
      </c>
      <c r="D1415" t="s">
        <v>39</v>
      </c>
      <c r="E1415" t="s">
        <v>14</v>
      </c>
      <c r="F1415" t="s">
        <v>15</v>
      </c>
      <c r="G1415">
        <v>3</v>
      </c>
      <c r="H1415">
        <v>26950</v>
      </c>
      <c r="I1415">
        <v>80850</v>
      </c>
      <c r="J1415" t="s">
        <v>16</v>
      </c>
    </row>
    <row r="1416" spans="1:10" x14ac:dyDescent="0.25">
      <c r="A1416" t="s">
        <v>74</v>
      </c>
      <c r="B1416" t="s">
        <v>18</v>
      </c>
      <c r="C1416" t="s">
        <v>34</v>
      </c>
      <c r="D1416" t="s">
        <v>13</v>
      </c>
      <c r="E1416" t="s">
        <v>30</v>
      </c>
      <c r="F1416" t="s">
        <v>26</v>
      </c>
      <c r="G1416">
        <v>10</v>
      </c>
      <c r="H1416">
        <v>16026</v>
      </c>
      <c r="I1416">
        <v>160260</v>
      </c>
      <c r="J1416" t="s">
        <v>36</v>
      </c>
    </row>
    <row r="1417" spans="1:10" x14ac:dyDescent="0.25">
      <c r="A1417" t="s">
        <v>189</v>
      </c>
      <c r="B1417" t="s">
        <v>18</v>
      </c>
      <c r="C1417" t="s">
        <v>38</v>
      </c>
      <c r="D1417" t="s">
        <v>24</v>
      </c>
      <c r="E1417" t="s">
        <v>35</v>
      </c>
      <c r="F1417" t="s">
        <v>26</v>
      </c>
      <c r="G1417">
        <v>6</v>
      </c>
      <c r="H1417">
        <v>17429</v>
      </c>
      <c r="I1417">
        <v>104574</v>
      </c>
      <c r="J1417" t="s">
        <v>16</v>
      </c>
    </row>
    <row r="1418" spans="1:10" x14ac:dyDescent="0.25">
      <c r="A1418" t="s">
        <v>312</v>
      </c>
      <c r="B1418" t="s">
        <v>22</v>
      </c>
      <c r="C1418" t="s">
        <v>29</v>
      </c>
      <c r="D1418" t="s">
        <v>39</v>
      </c>
      <c r="E1418" t="s">
        <v>19</v>
      </c>
      <c r="F1418" t="s">
        <v>15</v>
      </c>
      <c r="G1418">
        <v>5</v>
      </c>
      <c r="H1418">
        <v>42608</v>
      </c>
      <c r="I1418">
        <v>213040</v>
      </c>
      <c r="J1418" t="s">
        <v>20</v>
      </c>
    </row>
    <row r="1419" spans="1:10" x14ac:dyDescent="0.25">
      <c r="A1419" t="s">
        <v>66</v>
      </c>
      <c r="B1419" t="s">
        <v>42</v>
      </c>
      <c r="C1419" t="s">
        <v>23</v>
      </c>
      <c r="D1419" t="s">
        <v>48</v>
      </c>
      <c r="E1419" t="s">
        <v>19</v>
      </c>
      <c r="F1419" t="s">
        <v>15</v>
      </c>
      <c r="G1419">
        <v>14</v>
      </c>
      <c r="H1419">
        <v>38042</v>
      </c>
      <c r="I1419">
        <v>532588</v>
      </c>
      <c r="J1419" t="s">
        <v>16</v>
      </c>
    </row>
    <row r="1420" spans="1:10" x14ac:dyDescent="0.25">
      <c r="A1420" t="s">
        <v>218</v>
      </c>
      <c r="B1420" t="s">
        <v>11</v>
      </c>
      <c r="C1420" t="s">
        <v>12</v>
      </c>
      <c r="D1420" t="s">
        <v>13</v>
      </c>
      <c r="E1420" t="s">
        <v>25</v>
      </c>
      <c r="F1420" t="s">
        <v>40</v>
      </c>
      <c r="G1420">
        <v>4</v>
      </c>
      <c r="H1420">
        <v>48801</v>
      </c>
      <c r="I1420">
        <v>195204</v>
      </c>
      <c r="J1420" t="s">
        <v>16</v>
      </c>
    </row>
    <row r="1421" spans="1:10" x14ac:dyDescent="0.25">
      <c r="A1421" t="s">
        <v>121</v>
      </c>
      <c r="B1421" t="s">
        <v>33</v>
      </c>
      <c r="C1421" t="s">
        <v>12</v>
      </c>
      <c r="D1421" t="s">
        <v>39</v>
      </c>
      <c r="E1421" t="s">
        <v>14</v>
      </c>
      <c r="F1421" t="s">
        <v>40</v>
      </c>
      <c r="G1421">
        <v>9</v>
      </c>
      <c r="H1421">
        <v>51838</v>
      </c>
      <c r="I1421">
        <v>466542</v>
      </c>
      <c r="J1421" t="s">
        <v>36</v>
      </c>
    </row>
    <row r="1422" spans="1:10" x14ac:dyDescent="0.25">
      <c r="A1422" t="s">
        <v>94</v>
      </c>
      <c r="B1422" t="s">
        <v>18</v>
      </c>
      <c r="C1422" t="s">
        <v>12</v>
      </c>
      <c r="D1422" t="s">
        <v>24</v>
      </c>
      <c r="E1422" t="s">
        <v>19</v>
      </c>
      <c r="F1422" t="s">
        <v>26</v>
      </c>
      <c r="G1422">
        <v>17</v>
      </c>
      <c r="H1422">
        <v>59429</v>
      </c>
      <c r="I1422">
        <v>1010293</v>
      </c>
      <c r="J1422" t="s">
        <v>20</v>
      </c>
    </row>
    <row r="1423" spans="1:10" x14ac:dyDescent="0.25">
      <c r="A1423" t="s">
        <v>126</v>
      </c>
      <c r="B1423" t="s">
        <v>33</v>
      </c>
      <c r="C1423" t="s">
        <v>23</v>
      </c>
      <c r="D1423" t="s">
        <v>13</v>
      </c>
      <c r="E1423" t="s">
        <v>30</v>
      </c>
      <c r="F1423" t="s">
        <v>26</v>
      </c>
      <c r="G1423">
        <v>3</v>
      </c>
      <c r="H1423">
        <v>44249</v>
      </c>
      <c r="I1423">
        <v>132747</v>
      </c>
      <c r="J1423" t="s">
        <v>36</v>
      </c>
    </row>
    <row r="1424" spans="1:10" x14ac:dyDescent="0.25">
      <c r="A1424" t="s">
        <v>62</v>
      </c>
      <c r="B1424" t="s">
        <v>11</v>
      </c>
      <c r="C1424" t="s">
        <v>38</v>
      </c>
      <c r="D1424" t="s">
        <v>44</v>
      </c>
      <c r="E1424" t="s">
        <v>14</v>
      </c>
      <c r="F1424" t="s">
        <v>26</v>
      </c>
      <c r="G1424">
        <v>16</v>
      </c>
      <c r="H1424">
        <v>59160</v>
      </c>
      <c r="I1424">
        <v>946560</v>
      </c>
      <c r="J1424" t="s">
        <v>36</v>
      </c>
    </row>
    <row r="1425" spans="1:10" x14ac:dyDescent="0.25">
      <c r="A1425" t="s">
        <v>212</v>
      </c>
      <c r="B1425" t="s">
        <v>42</v>
      </c>
      <c r="C1425" t="s">
        <v>38</v>
      </c>
      <c r="D1425" t="s">
        <v>44</v>
      </c>
      <c r="E1425" t="s">
        <v>35</v>
      </c>
      <c r="F1425" t="s">
        <v>26</v>
      </c>
      <c r="G1425">
        <v>15</v>
      </c>
      <c r="H1425">
        <v>52684</v>
      </c>
      <c r="I1425">
        <v>790260</v>
      </c>
      <c r="J1425" t="s">
        <v>36</v>
      </c>
    </row>
    <row r="1426" spans="1:10" x14ac:dyDescent="0.25">
      <c r="A1426" t="s">
        <v>358</v>
      </c>
      <c r="B1426" t="s">
        <v>33</v>
      </c>
      <c r="C1426" t="s">
        <v>12</v>
      </c>
      <c r="D1426" t="s">
        <v>39</v>
      </c>
      <c r="E1426" t="s">
        <v>19</v>
      </c>
      <c r="F1426" t="s">
        <v>26</v>
      </c>
      <c r="G1426">
        <v>16</v>
      </c>
      <c r="H1426">
        <v>55963</v>
      </c>
      <c r="I1426">
        <v>895408</v>
      </c>
      <c r="J1426" t="s">
        <v>27</v>
      </c>
    </row>
    <row r="1427" spans="1:10" x14ac:dyDescent="0.25">
      <c r="A1427" t="s">
        <v>254</v>
      </c>
      <c r="B1427" t="s">
        <v>18</v>
      </c>
      <c r="C1427" t="s">
        <v>23</v>
      </c>
      <c r="D1427" t="s">
        <v>48</v>
      </c>
      <c r="E1427" t="s">
        <v>25</v>
      </c>
      <c r="F1427" t="s">
        <v>26</v>
      </c>
      <c r="G1427">
        <v>10</v>
      </c>
      <c r="H1427">
        <v>56641</v>
      </c>
      <c r="I1427">
        <v>566410</v>
      </c>
      <c r="J1427" t="s">
        <v>27</v>
      </c>
    </row>
    <row r="1428" spans="1:10" x14ac:dyDescent="0.25">
      <c r="A1428" t="s">
        <v>141</v>
      </c>
      <c r="B1428" t="s">
        <v>42</v>
      </c>
      <c r="C1428" t="s">
        <v>12</v>
      </c>
      <c r="D1428" t="s">
        <v>39</v>
      </c>
      <c r="E1428" t="s">
        <v>30</v>
      </c>
      <c r="F1428" t="s">
        <v>40</v>
      </c>
      <c r="G1428">
        <v>20</v>
      </c>
      <c r="H1428">
        <v>39996</v>
      </c>
      <c r="I1428">
        <v>799920</v>
      </c>
      <c r="J1428" t="s">
        <v>27</v>
      </c>
    </row>
    <row r="1429" spans="1:10" x14ac:dyDescent="0.25">
      <c r="A1429" t="s">
        <v>109</v>
      </c>
      <c r="B1429" t="s">
        <v>42</v>
      </c>
      <c r="C1429" t="s">
        <v>12</v>
      </c>
      <c r="D1429" t="s">
        <v>48</v>
      </c>
      <c r="E1429" t="s">
        <v>30</v>
      </c>
      <c r="F1429" t="s">
        <v>40</v>
      </c>
      <c r="G1429">
        <v>12</v>
      </c>
      <c r="H1429">
        <v>41050</v>
      </c>
      <c r="I1429">
        <v>492600</v>
      </c>
      <c r="J1429" t="s">
        <v>36</v>
      </c>
    </row>
    <row r="1430" spans="1:10" x14ac:dyDescent="0.25">
      <c r="A1430" t="s">
        <v>82</v>
      </c>
      <c r="B1430" t="s">
        <v>22</v>
      </c>
      <c r="C1430" t="s">
        <v>12</v>
      </c>
      <c r="D1430" t="s">
        <v>44</v>
      </c>
      <c r="E1430" t="s">
        <v>30</v>
      </c>
      <c r="F1430" t="s">
        <v>40</v>
      </c>
      <c r="G1430">
        <v>6</v>
      </c>
      <c r="H1430">
        <v>24656</v>
      </c>
      <c r="I1430">
        <v>147936</v>
      </c>
      <c r="J1430" t="s">
        <v>16</v>
      </c>
    </row>
    <row r="1431" spans="1:10" x14ac:dyDescent="0.25">
      <c r="A1431" t="s">
        <v>345</v>
      </c>
      <c r="B1431" t="s">
        <v>11</v>
      </c>
      <c r="C1431" t="s">
        <v>12</v>
      </c>
      <c r="D1431" t="s">
        <v>44</v>
      </c>
      <c r="E1431" t="s">
        <v>25</v>
      </c>
      <c r="F1431" t="s">
        <v>40</v>
      </c>
      <c r="G1431">
        <v>8</v>
      </c>
      <c r="H1431">
        <v>26845</v>
      </c>
      <c r="I1431">
        <v>214760</v>
      </c>
      <c r="J1431" t="s">
        <v>20</v>
      </c>
    </row>
    <row r="1432" spans="1:10" x14ac:dyDescent="0.25">
      <c r="A1432" t="s">
        <v>290</v>
      </c>
      <c r="B1432" t="s">
        <v>11</v>
      </c>
      <c r="C1432" t="s">
        <v>23</v>
      </c>
      <c r="D1432" t="s">
        <v>48</v>
      </c>
      <c r="E1432" t="s">
        <v>30</v>
      </c>
      <c r="F1432" t="s">
        <v>26</v>
      </c>
      <c r="G1432">
        <v>20</v>
      </c>
      <c r="H1432">
        <v>38685</v>
      </c>
      <c r="I1432">
        <v>773700</v>
      </c>
      <c r="J1432" t="s">
        <v>20</v>
      </c>
    </row>
    <row r="1433" spans="1:10" x14ac:dyDescent="0.25">
      <c r="A1433" t="s">
        <v>283</v>
      </c>
      <c r="B1433" t="s">
        <v>42</v>
      </c>
      <c r="C1433" t="s">
        <v>12</v>
      </c>
      <c r="D1433" t="s">
        <v>39</v>
      </c>
      <c r="E1433" t="s">
        <v>30</v>
      </c>
      <c r="F1433" t="s">
        <v>40</v>
      </c>
      <c r="G1433">
        <v>13</v>
      </c>
      <c r="H1433">
        <v>32880</v>
      </c>
      <c r="I1433">
        <v>427440</v>
      </c>
      <c r="J1433" t="s">
        <v>16</v>
      </c>
    </row>
    <row r="1434" spans="1:10" x14ac:dyDescent="0.25">
      <c r="A1434" t="s">
        <v>311</v>
      </c>
      <c r="B1434" t="s">
        <v>42</v>
      </c>
      <c r="C1434" t="s">
        <v>12</v>
      </c>
      <c r="D1434" t="s">
        <v>39</v>
      </c>
      <c r="E1434" t="s">
        <v>14</v>
      </c>
      <c r="F1434" t="s">
        <v>15</v>
      </c>
      <c r="G1434">
        <v>4</v>
      </c>
      <c r="H1434">
        <v>25965</v>
      </c>
      <c r="I1434">
        <v>103860</v>
      </c>
      <c r="J1434" t="s">
        <v>20</v>
      </c>
    </row>
    <row r="1435" spans="1:10" x14ac:dyDescent="0.25">
      <c r="A1435" t="s">
        <v>390</v>
      </c>
      <c r="B1435" t="s">
        <v>33</v>
      </c>
      <c r="C1435" t="s">
        <v>38</v>
      </c>
      <c r="D1435" t="s">
        <v>24</v>
      </c>
      <c r="E1435" t="s">
        <v>30</v>
      </c>
      <c r="F1435" t="s">
        <v>40</v>
      </c>
      <c r="G1435">
        <v>20</v>
      </c>
      <c r="H1435">
        <v>32571</v>
      </c>
      <c r="I1435">
        <v>651420</v>
      </c>
      <c r="J1435" t="s">
        <v>36</v>
      </c>
    </row>
    <row r="1436" spans="1:10" x14ac:dyDescent="0.25">
      <c r="A1436" t="s">
        <v>299</v>
      </c>
      <c r="B1436" t="s">
        <v>22</v>
      </c>
      <c r="C1436" t="s">
        <v>38</v>
      </c>
      <c r="D1436" t="s">
        <v>48</v>
      </c>
      <c r="E1436" t="s">
        <v>19</v>
      </c>
      <c r="F1436" t="s">
        <v>15</v>
      </c>
      <c r="G1436">
        <v>17</v>
      </c>
      <c r="H1436">
        <v>59769</v>
      </c>
      <c r="I1436">
        <v>1016073</v>
      </c>
      <c r="J1436" t="s">
        <v>27</v>
      </c>
    </row>
    <row r="1437" spans="1:10" x14ac:dyDescent="0.25">
      <c r="A1437" t="s">
        <v>117</v>
      </c>
      <c r="B1437" t="s">
        <v>22</v>
      </c>
      <c r="C1437" t="s">
        <v>29</v>
      </c>
      <c r="D1437" t="s">
        <v>39</v>
      </c>
      <c r="E1437" t="s">
        <v>25</v>
      </c>
      <c r="F1437" t="s">
        <v>26</v>
      </c>
      <c r="G1437">
        <v>20</v>
      </c>
      <c r="H1437">
        <v>55299</v>
      </c>
      <c r="I1437">
        <v>1105980</v>
      </c>
      <c r="J1437" t="s">
        <v>20</v>
      </c>
    </row>
    <row r="1438" spans="1:10" x14ac:dyDescent="0.25">
      <c r="A1438" t="s">
        <v>175</v>
      </c>
      <c r="B1438" t="s">
        <v>18</v>
      </c>
      <c r="C1438" t="s">
        <v>38</v>
      </c>
      <c r="D1438" t="s">
        <v>48</v>
      </c>
      <c r="E1438" t="s">
        <v>14</v>
      </c>
      <c r="F1438" t="s">
        <v>15</v>
      </c>
      <c r="G1438">
        <v>16</v>
      </c>
      <c r="H1438">
        <v>43227</v>
      </c>
      <c r="I1438">
        <v>691632</v>
      </c>
      <c r="J1438" t="s">
        <v>27</v>
      </c>
    </row>
    <row r="1439" spans="1:10" x14ac:dyDescent="0.25">
      <c r="A1439" t="s">
        <v>377</v>
      </c>
      <c r="B1439" t="s">
        <v>42</v>
      </c>
      <c r="C1439" t="s">
        <v>34</v>
      </c>
      <c r="D1439" t="s">
        <v>44</v>
      </c>
      <c r="E1439" t="s">
        <v>14</v>
      </c>
      <c r="F1439" t="s">
        <v>15</v>
      </c>
      <c r="G1439">
        <v>8</v>
      </c>
      <c r="H1439">
        <v>45511</v>
      </c>
      <c r="I1439">
        <v>364088</v>
      </c>
      <c r="J1439" t="s">
        <v>16</v>
      </c>
    </row>
    <row r="1440" spans="1:10" x14ac:dyDescent="0.25">
      <c r="A1440" t="s">
        <v>284</v>
      </c>
      <c r="B1440" t="s">
        <v>11</v>
      </c>
      <c r="C1440" t="s">
        <v>29</v>
      </c>
      <c r="D1440" t="s">
        <v>48</v>
      </c>
      <c r="E1440" t="s">
        <v>14</v>
      </c>
      <c r="F1440" t="s">
        <v>15</v>
      </c>
      <c r="G1440">
        <v>4</v>
      </c>
      <c r="H1440">
        <v>37159</v>
      </c>
      <c r="I1440">
        <v>148636</v>
      </c>
      <c r="J1440" t="s">
        <v>20</v>
      </c>
    </row>
    <row r="1441" spans="1:10" x14ac:dyDescent="0.25">
      <c r="A1441" t="s">
        <v>129</v>
      </c>
      <c r="B1441" t="s">
        <v>42</v>
      </c>
      <c r="C1441" t="s">
        <v>38</v>
      </c>
      <c r="D1441" t="s">
        <v>39</v>
      </c>
      <c r="E1441" t="s">
        <v>25</v>
      </c>
      <c r="F1441" t="s">
        <v>26</v>
      </c>
      <c r="G1441">
        <v>15</v>
      </c>
      <c r="H1441">
        <v>30367</v>
      </c>
      <c r="I1441">
        <v>455505</v>
      </c>
      <c r="J1441" t="s">
        <v>16</v>
      </c>
    </row>
    <row r="1442" spans="1:10" x14ac:dyDescent="0.25">
      <c r="A1442" t="s">
        <v>257</v>
      </c>
      <c r="B1442" t="s">
        <v>11</v>
      </c>
      <c r="C1442" t="s">
        <v>12</v>
      </c>
      <c r="D1442" t="s">
        <v>24</v>
      </c>
      <c r="E1442" t="s">
        <v>30</v>
      </c>
      <c r="F1442" t="s">
        <v>40</v>
      </c>
      <c r="G1442">
        <v>13</v>
      </c>
      <c r="H1442">
        <v>45918</v>
      </c>
      <c r="I1442">
        <v>596934</v>
      </c>
      <c r="J1442" t="s">
        <v>16</v>
      </c>
    </row>
    <row r="1443" spans="1:10" x14ac:dyDescent="0.25">
      <c r="A1443" t="s">
        <v>202</v>
      </c>
      <c r="B1443" t="s">
        <v>11</v>
      </c>
      <c r="C1443" t="s">
        <v>34</v>
      </c>
      <c r="D1443" t="s">
        <v>13</v>
      </c>
      <c r="E1443" t="s">
        <v>19</v>
      </c>
      <c r="F1443" t="s">
        <v>15</v>
      </c>
      <c r="G1443">
        <v>6</v>
      </c>
      <c r="H1443">
        <v>43315</v>
      </c>
      <c r="I1443">
        <v>259890</v>
      </c>
      <c r="J1443" t="s">
        <v>27</v>
      </c>
    </row>
    <row r="1444" spans="1:10" x14ac:dyDescent="0.25">
      <c r="A1444" t="s">
        <v>184</v>
      </c>
      <c r="B1444" t="s">
        <v>22</v>
      </c>
      <c r="C1444" t="s">
        <v>38</v>
      </c>
      <c r="D1444" t="s">
        <v>24</v>
      </c>
      <c r="E1444" t="s">
        <v>35</v>
      </c>
      <c r="F1444" t="s">
        <v>15</v>
      </c>
      <c r="G1444">
        <v>8</v>
      </c>
      <c r="H1444">
        <v>44885</v>
      </c>
      <c r="I1444">
        <v>359080</v>
      </c>
      <c r="J1444" t="s">
        <v>36</v>
      </c>
    </row>
    <row r="1445" spans="1:10" x14ac:dyDescent="0.25">
      <c r="A1445" t="s">
        <v>115</v>
      </c>
      <c r="B1445" t="s">
        <v>22</v>
      </c>
      <c r="C1445" t="s">
        <v>34</v>
      </c>
      <c r="D1445" t="s">
        <v>48</v>
      </c>
      <c r="E1445" t="s">
        <v>35</v>
      </c>
      <c r="F1445" t="s">
        <v>40</v>
      </c>
      <c r="G1445">
        <v>20</v>
      </c>
      <c r="H1445">
        <v>55950</v>
      </c>
      <c r="I1445">
        <v>1119000</v>
      </c>
      <c r="J1445" t="s">
        <v>27</v>
      </c>
    </row>
    <row r="1446" spans="1:10" x14ac:dyDescent="0.25">
      <c r="A1446" t="s">
        <v>199</v>
      </c>
      <c r="B1446" t="s">
        <v>18</v>
      </c>
      <c r="C1446" t="s">
        <v>23</v>
      </c>
      <c r="D1446" t="s">
        <v>48</v>
      </c>
      <c r="E1446" t="s">
        <v>30</v>
      </c>
      <c r="F1446" t="s">
        <v>15</v>
      </c>
      <c r="G1446">
        <v>1</v>
      </c>
      <c r="H1446">
        <v>40932</v>
      </c>
      <c r="I1446">
        <v>40932</v>
      </c>
      <c r="J1446" t="s">
        <v>20</v>
      </c>
    </row>
    <row r="1447" spans="1:10" x14ac:dyDescent="0.25">
      <c r="A1447" t="s">
        <v>234</v>
      </c>
      <c r="B1447" t="s">
        <v>11</v>
      </c>
      <c r="C1447" t="s">
        <v>29</v>
      </c>
      <c r="D1447" t="s">
        <v>48</v>
      </c>
      <c r="E1447" t="s">
        <v>30</v>
      </c>
      <c r="F1447" t="s">
        <v>26</v>
      </c>
      <c r="G1447">
        <v>8</v>
      </c>
      <c r="H1447">
        <v>20567</v>
      </c>
      <c r="I1447">
        <v>164536</v>
      </c>
      <c r="J1447" t="s">
        <v>36</v>
      </c>
    </row>
    <row r="1448" spans="1:10" x14ac:dyDescent="0.25">
      <c r="A1448" t="s">
        <v>365</v>
      </c>
      <c r="B1448" t="s">
        <v>42</v>
      </c>
      <c r="C1448" t="s">
        <v>29</v>
      </c>
      <c r="D1448" t="s">
        <v>48</v>
      </c>
      <c r="E1448" t="s">
        <v>30</v>
      </c>
      <c r="F1448" t="s">
        <v>40</v>
      </c>
      <c r="G1448">
        <v>4</v>
      </c>
      <c r="H1448">
        <v>25599</v>
      </c>
      <c r="I1448">
        <v>102396</v>
      </c>
      <c r="J1448" t="s">
        <v>27</v>
      </c>
    </row>
    <row r="1449" spans="1:10" x14ac:dyDescent="0.25">
      <c r="A1449" t="s">
        <v>211</v>
      </c>
      <c r="B1449" t="s">
        <v>11</v>
      </c>
      <c r="C1449" t="s">
        <v>34</v>
      </c>
      <c r="D1449" t="s">
        <v>24</v>
      </c>
      <c r="E1449" t="s">
        <v>19</v>
      </c>
      <c r="F1449" t="s">
        <v>15</v>
      </c>
      <c r="G1449">
        <v>10</v>
      </c>
      <c r="H1449">
        <v>31007</v>
      </c>
      <c r="I1449">
        <v>310070</v>
      </c>
      <c r="J1449" t="s">
        <v>20</v>
      </c>
    </row>
    <row r="1450" spans="1:10" x14ac:dyDescent="0.25">
      <c r="A1450" t="s">
        <v>194</v>
      </c>
      <c r="B1450" t="s">
        <v>11</v>
      </c>
      <c r="C1450" t="s">
        <v>38</v>
      </c>
      <c r="D1450" t="s">
        <v>24</v>
      </c>
      <c r="E1450" t="s">
        <v>30</v>
      </c>
      <c r="F1450" t="s">
        <v>40</v>
      </c>
      <c r="G1450">
        <v>8</v>
      </c>
      <c r="H1450">
        <v>52674</v>
      </c>
      <c r="I1450">
        <v>421392</v>
      </c>
      <c r="J1450" t="s">
        <v>27</v>
      </c>
    </row>
    <row r="1451" spans="1:10" x14ac:dyDescent="0.25">
      <c r="A1451" t="s">
        <v>350</v>
      </c>
      <c r="B1451" t="s">
        <v>18</v>
      </c>
      <c r="C1451" t="s">
        <v>38</v>
      </c>
      <c r="D1451" t="s">
        <v>48</v>
      </c>
      <c r="E1451" t="s">
        <v>14</v>
      </c>
      <c r="F1451" t="s">
        <v>15</v>
      </c>
      <c r="G1451">
        <v>20</v>
      </c>
      <c r="H1451">
        <v>31059</v>
      </c>
      <c r="I1451">
        <v>621180</v>
      </c>
      <c r="J1451" t="s">
        <v>36</v>
      </c>
    </row>
    <row r="1452" spans="1:10" x14ac:dyDescent="0.25">
      <c r="A1452" t="s">
        <v>212</v>
      </c>
      <c r="B1452" t="s">
        <v>22</v>
      </c>
      <c r="C1452" t="s">
        <v>34</v>
      </c>
      <c r="D1452" t="s">
        <v>13</v>
      </c>
      <c r="E1452" t="s">
        <v>30</v>
      </c>
      <c r="F1452" t="s">
        <v>15</v>
      </c>
      <c r="G1452">
        <v>16</v>
      </c>
      <c r="H1452">
        <v>44629</v>
      </c>
      <c r="I1452">
        <v>714064</v>
      </c>
      <c r="J1452" t="s">
        <v>20</v>
      </c>
    </row>
    <row r="1453" spans="1:10" x14ac:dyDescent="0.25">
      <c r="A1453" t="s">
        <v>129</v>
      </c>
      <c r="B1453" t="s">
        <v>42</v>
      </c>
      <c r="C1453" t="s">
        <v>34</v>
      </c>
      <c r="D1453" t="s">
        <v>24</v>
      </c>
      <c r="E1453" t="s">
        <v>14</v>
      </c>
      <c r="F1453" t="s">
        <v>26</v>
      </c>
      <c r="G1453">
        <v>14</v>
      </c>
      <c r="H1453">
        <v>20230</v>
      </c>
      <c r="I1453">
        <v>283220</v>
      </c>
      <c r="J1453" t="s">
        <v>20</v>
      </c>
    </row>
    <row r="1454" spans="1:10" x14ac:dyDescent="0.25">
      <c r="A1454" t="s">
        <v>262</v>
      </c>
      <c r="B1454" t="s">
        <v>22</v>
      </c>
      <c r="C1454" t="s">
        <v>12</v>
      </c>
      <c r="D1454" t="s">
        <v>39</v>
      </c>
      <c r="E1454" t="s">
        <v>35</v>
      </c>
      <c r="F1454" t="s">
        <v>15</v>
      </c>
      <c r="G1454">
        <v>13</v>
      </c>
      <c r="H1454">
        <v>44838</v>
      </c>
      <c r="I1454">
        <v>582894</v>
      </c>
      <c r="J1454" t="s">
        <v>16</v>
      </c>
    </row>
    <row r="1455" spans="1:10" x14ac:dyDescent="0.25">
      <c r="A1455" t="s">
        <v>394</v>
      </c>
      <c r="B1455" t="s">
        <v>18</v>
      </c>
      <c r="C1455" t="s">
        <v>29</v>
      </c>
      <c r="D1455" t="s">
        <v>48</v>
      </c>
      <c r="E1455" t="s">
        <v>19</v>
      </c>
      <c r="F1455" t="s">
        <v>26</v>
      </c>
      <c r="G1455">
        <v>1</v>
      </c>
      <c r="H1455">
        <v>54929</v>
      </c>
      <c r="I1455">
        <v>54929</v>
      </c>
      <c r="J1455" t="s">
        <v>36</v>
      </c>
    </row>
    <row r="1456" spans="1:10" x14ac:dyDescent="0.25">
      <c r="A1456" t="s">
        <v>341</v>
      </c>
      <c r="B1456" t="s">
        <v>18</v>
      </c>
      <c r="C1456" t="s">
        <v>12</v>
      </c>
      <c r="D1456" t="s">
        <v>44</v>
      </c>
      <c r="E1456" t="s">
        <v>25</v>
      </c>
      <c r="F1456" t="s">
        <v>26</v>
      </c>
      <c r="G1456">
        <v>8</v>
      </c>
      <c r="H1456">
        <v>30229</v>
      </c>
      <c r="I1456">
        <v>241832</v>
      </c>
      <c r="J1456" t="s">
        <v>16</v>
      </c>
    </row>
    <row r="1457" spans="1:10" x14ac:dyDescent="0.25">
      <c r="A1457" t="s">
        <v>198</v>
      </c>
      <c r="B1457" t="s">
        <v>11</v>
      </c>
      <c r="C1457" t="s">
        <v>34</v>
      </c>
      <c r="D1457" t="s">
        <v>24</v>
      </c>
      <c r="E1457" t="s">
        <v>35</v>
      </c>
      <c r="F1457" t="s">
        <v>40</v>
      </c>
      <c r="G1457">
        <v>8</v>
      </c>
      <c r="H1457">
        <v>40187</v>
      </c>
      <c r="I1457">
        <v>321496</v>
      </c>
      <c r="J1457" t="s">
        <v>16</v>
      </c>
    </row>
    <row r="1458" spans="1:10" x14ac:dyDescent="0.25">
      <c r="A1458" t="s">
        <v>190</v>
      </c>
      <c r="B1458" t="s">
        <v>18</v>
      </c>
      <c r="C1458" t="s">
        <v>38</v>
      </c>
      <c r="D1458" t="s">
        <v>39</v>
      </c>
      <c r="E1458" t="s">
        <v>14</v>
      </c>
      <c r="F1458" t="s">
        <v>15</v>
      </c>
      <c r="G1458">
        <v>1</v>
      </c>
      <c r="H1458">
        <v>51331</v>
      </c>
      <c r="I1458">
        <v>51331</v>
      </c>
      <c r="J1458" t="s">
        <v>36</v>
      </c>
    </row>
    <row r="1459" spans="1:10" x14ac:dyDescent="0.25">
      <c r="A1459" t="s">
        <v>256</v>
      </c>
      <c r="B1459" t="s">
        <v>33</v>
      </c>
      <c r="C1459" t="s">
        <v>12</v>
      </c>
      <c r="D1459" t="s">
        <v>24</v>
      </c>
      <c r="E1459" t="s">
        <v>25</v>
      </c>
      <c r="F1459" t="s">
        <v>15</v>
      </c>
      <c r="G1459">
        <v>15</v>
      </c>
      <c r="H1459">
        <v>47630</v>
      </c>
      <c r="I1459">
        <v>714450</v>
      </c>
      <c r="J1459" t="s">
        <v>16</v>
      </c>
    </row>
    <row r="1460" spans="1:10" x14ac:dyDescent="0.25">
      <c r="A1460" t="s">
        <v>177</v>
      </c>
      <c r="B1460" t="s">
        <v>18</v>
      </c>
      <c r="C1460" t="s">
        <v>23</v>
      </c>
      <c r="D1460" t="s">
        <v>44</v>
      </c>
      <c r="E1460" t="s">
        <v>14</v>
      </c>
      <c r="F1460" t="s">
        <v>26</v>
      </c>
      <c r="G1460">
        <v>8</v>
      </c>
      <c r="H1460">
        <v>15395</v>
      </c>
      <c r="I1460">
        <v>123160</v>
      </c>
      <c r="J1460" t="s">
        <v>36</v>
      </c>
    </row>
    <row r="1461" spans="1:10" x14ac:dyDescent="0.25">
      <c r="A1461" t="s">
        <v>381</v>
      </c>
      <c r="B1461" t="s">
        <v>22</v>
      </c>
      <c r="C1461" t="s">
        <v>12</v>
      </c>
      <c r="D1461" t="s">
        <v>39</v>
      </c>
      <c r="E1461" t="s">
        <v>25</v>
      </c>
      <c r="F1461" t="s">
        <v>40</v>
      </c>
      <c r="G1461">
        <v>6</v>
      </c>
      <c r="H1461">
        <v>15329</v>
      </c>
      <c r="I1461">
        <v>91974</v>
      </c>
      <c r="J1461" t="s">
        <v>36</v>
      </c>
    </row>
    <row r="1462" spans="1:10" x14ac:dyDescent="0.25">
      <c r="A1462" t="s">
        <v>353</v>
      </c>
      <c r="B1462" t="s">
        <v>42</v>
      </c>
      <c r="C1462" t="s">
        <v>29</v>
      </c>
      <c r="D1462" t="s">
        <v>13</v>
      </c>
      <c r="E1462" t="s">
        <v>14</v>
      </c>
      <c r="F1462" t="s">
        <v>15</v>
      </c>
      <c r="G1462">
        <v>19</v>
      </c>
      <c r="H1462">
        <v>30158</v>
      </c>
      <c r="I1462">
        <v>573002</v>
      </c>
      <c r="J1462" t="s">
        <v>27</v>
      </c>
    </row>
    <row r="1463" spans="1:10" x14ac:dyDescent="0.25">
      <c r="A1463" t="s">
        <v>343</v>
      </c>
      <c r="B1463" t="s">
        <v>18</v>
      </c>
      <c r="C1463" t="s">
        <v>12</v>
      </c>
      <c r="D1463" t="s">
        <v>48</v>
      </c>
      <c r="E1463" t="s">
        <v>35</v>
      </c>
      <c r="F1463" t="s">
        <v>40</v>
      </c>
      <c r="G1463">
        <v>16</v>
      </c>
      <c r="H1463">
        <v>56906</v>
      </c>
      <c r="I1463">
        <v>910496</v>
      </c>
      <c r="J1463" t="s">
        <v>27</v>
      </c>
    </row>
    <row r="1464" spans="1:10" x14ac:dyDescent="0.25">
      <c r="A1464" t="s">
        <v>381</v>
      </c>
      <c r="B1464" t="s">
        <v>22</v>
      </c>
      <c r="C1464" t="s">
        <v>12</v>
      </c>
      <c r="D1464" t="s">
        <v>24</v>
      </c>
      <c r="E1464" t="s">
        <v>30</v>
      </c>
      <c r="F1464" t="s">
        <v>15</v>
      </c>
      <c r="G1464">
        <v>13</v>
      </c>
      <c r="H1464">
        <v>49262</v>
      </c>
      <c r="I1464">
        <v>640406</v>
      </c>
      <c r="J1464" t="s">
        <v>27</v>
      </c>
    </row>
    <row r="1465" spans="1:10" x14ac:dyDescent="0.25">
      <c r="A1465" t="s">
        <v>252</v>
      </c>
      <c r="B1465" t="s">
        <v>11</v>
      </c>
      <c r="C1465" t="s">
        <v>38</v>
      </c>
      <c r="D1465" t="s">
        <v>13</v>
      </c>
      <c r="E1465" t="s">
        <v>30</v>
      </c>
      <c r="F1465" t="s">
        <v>15</v>
      </c>
      <c r="G1465">
        <v>20</v>
      </c>
      <c r="H1465">
        <v>27976</v>
      </c>
      <c r="I1465">
        <v>559520</v>
      </c>
      <c r="J1465" t="s">
        <v>27</v>
      </c>
    </row>
    <row r="1466" spans="1:10" x14ac:dyDescent="0.25">
      <c r="A1466" t="s">
        <v>181</v>
      </c>
      <c r="B1466" t="s">
        <v>42</v>
      </c>
      <c r="C1466" t="s">
        <v>29</v>
      </c>
      <c r="D1466" t="s">
        <v>48</v>
      </c>
      <c r="E1466" t="s">
        <v>35</v>
      </c>
      <c r="F1466" t="s">
        <v>15</v>
      </c>
      <c r="G1466">
        <v>18</v>
      </c>
      <c r="H1466">
        <v>50935</v>
      </c>
      <c r="I1466">
        <v>916830</v>
      </c>
      <c r="J1466" t="s">
        <v>20</v>
      </c>
    </row>
    <row r="1467" spans="1:10" x14ac:dyDescent="0.25">
      <c r="A1467" t="s">
        <v>387</v>
      </c>
      <c r="B1467" t="s">
        <v>42</v>
      </c>
      <c r="C1467" t="s">
        <v>38</v>
      </c>
      <c r="D1467" t="s">
        <v>44</v>
      </c>
      <c r="E1467" t="s">
        <v>25</v>
      </c>
      <c r="F1467" t="s">
        <v>40</v>
      </c>
      <c r="G1467">
        <v>14</v>
      </c>
      <c r="H1467">
        <v>48990</v>
      </c>
      <c r="I1467">
        <v>685860</v>
      </c>
      <c r="J1467" t="s">
        <v>27</v>
      </c>
    </row>
    <row r="1468" spans="1:10" x14ac:dyDescent="0.25">
      <c r="A1468" t="s">
        <v>326</v>
      </c>
      <c r="B1468" t="s">
        <v>42</v>
      </c>
      <c r="C1468" t="s">
        <v>12</v>
      </c>
      <c r="D1468" t="s">
        <v>44</v>
      </c>
      <c r="E1468" t="s">
        <v>19</v>
      </c>
      <c r="F1468" t="s">
        <v>26</v>
      </c>
      <c r="G1468">
        <v>6</v>
      </c>
      <c r="H1468">
        <v>39269</v>
      </c>
      <c r="I1468">
        <v>235614</v>
      </c>
      <c r="J1468" t="s">
        <v>36</v>
      </c>
    </row>
    <row r="1469" spans="1:10" x14ac:dyDescent="0.25">
      <c r="A1469" t="s">
        <v>332</v>
      </c>
      <c r="B1469" t="s">
        <v>33</v>
      </c>
      <c r="C1469" t="s">
        <v>29</v>
      </c>
      <c r="D1469" t="s">
        <v>24</v>
      </c>
      <c r="E1469" t="s">
        <v>25</v>
      </c>
      <c r="F1469" t="s">
        <v>26</v>
      </c>
      <c r="G1469">
        <v>5</v>
      </c>
      <c r="H1469">
        <v>46589</v>
      </c>
      <c r="I1469">
        <v>232945</v>
      </c>
      <c r="J1469" t="s">
        <v>36</v>
      </c>
    </row>
    <row r="1470" spans="1:10" x14ac:dyDescent="0.25">
      <c r="A1470" t="s">
        <v>315</v>
      </c>
      <c r="B1470" t="s">
        <v>22</v>
      </c>
      <c r="C1470" t="s">
        <v>12</v>
      </c>
      <c r="D1470" t="s">
        <v>48</v>
      </c>
      <c r="E1470" t="s">
        <v>19</v>
      </c>
      <c r="F1470" t="s">
        <v>26</v>
      </c>
      <c r="G1470">
        <v>8</v>
      </c>
      <c r="H1470">
        <v>56350</v>
      </c>
      <c r="I1470">
        <v>450800</v>
      </c>
      <c r="J1470" t="s">
        <v>16</v>
      </c>
    </row>
    <row r="1471" spans="1:10" x14ac:dyDescent="0.25">
      <c r="A1471" t="s">
        <v>359</v>
      </c>
      <c r="B1471" t="s">
        <v>42</v>
      </c>
      <c r="C1471" t="s">
        <v>12</v>
      </c>
      <c r="D1471" t="s">
        <v>48</v>
      </c>
      <c r="E1471" t="s">
        <v>25</v>
      </c>
      <c r="F1471" t="s">
        <v>40</v>
      </c>
      <c r="G1471">
        <v>11</v>
      </c>
      <c r="H1471">
        <v>56457</v>
      </c>
      <c r="I1471">
        <v>621027</v>
      </c>
      <c r="J1471" t="s">
        <v>36</v>
      </c>
    </row>
    <row r="1472" spans="1:10" x14ac:dyDescent="0.25">
      <c r="A1472" t="s">
        <v>166</v>
      </c>
      <c r="B1472" t="s">
        <v>11</v>
      </c>
      <c r="C1472" t="s">
        <v>23</v>
      </c>
      <c r="D1472" t="s">
        <v>48</v>
      </c>
      <c r="E1472" t="s">
        <v>35</v>
      </c>
      <c r="F1472" t="s">
        <v>26</v>
      </c>
      <c r="G1472">
        <v>14</v>
      </c>
      <c r="H1472">
        <v>59672</v>
      </c>
      <c r="I1472">
        <v>835408</v>
      </c>
      <c r="J1472" t="s">
        <v>27</v>
      </c>
    </row>
    <row r="1473" spans="1:10" x14ac:dyDescent="0.25">
      <c r="A1473" t="s">
        <v>219</v>
      </c>
      <c r="B1473" t="s">
        <v>42</v>
      </c>
      <c r="C1473" t="s">
        <v>12</v>
      </c>
      <c r="D1473" t="s">
        <v>39</v>
      </c>
      <c r="E1473" t="s">
        <v>25</v>
      </c>
      <c r="F1473" t="s">
        <v>40</v>
      </c>
      <c r="G1473">
        <v>19</v>
      </c>
      <c r="H1473">
        <v>51390</v>
      </c>
      <c r="I1473">
        <v>976410</v>
      </c>
      <c r="J1473" t="s">
        <v>27</v>
      </c>
    </row>
    <row r="1474" spans="1:10" x14ac:dyDescent="0.25">
      <c r="A1474" t="s">
        <v>393</v>
      </c>
      <c r="B1474" t="s">
        <v>33</v>
      </c>
      <c r="C1474" t="s">
        <v>38</v>
      </c>
      <c r="D1474" t="s">
        <v>39</v>
      </c>
      <c r="E1474" t="s">
        <v>25</v>
      </c>
      <c r="F1474" t="s">
        <v>15</v>
      </c>
      <c r="G1474">
        <v>8</v>
      </c>
      <c r="H1474">
        <v>48606</v>
      </c>
      <c r="I1474">
        <v>388848</v>
      </c>
      <c r="J1474" t="s">
        <v>36</v>
      </c>
    </row>
    <row r="1475" spans="1:10" x14ac:dyDescent="0.25">
      <c r="A1475" t="s">
        <v>192</v>
      </c>
      <c r="B1475" t="s">
        <v>33</v>
      </c>
      <c r="C1475" t="s">
        <v>34</v>
      </c>
      <c r="D1475" t="s">
        <v>39</v>
      </c>
      <c r="E1475" t="s">
        <v>25</v>
      </c>
      <c r="F1475" t="s">
        <v>40</v>
      </c>
      <c r="G1475">
        <v>12</v>
      </c>
      <c r="H1475">
        <v>32304</v>
      </c>
      <c r="I1475">
        <v>387648</v>
      </c>
      <c r="J1475" t="s">
        <v>27</v>
      </c>
    </row>
    <row r="1476" spans="1:10" x14ac:dyDescent="0.25">
      <c r="A1476" t="s">
        <v>330</v>
      </c>
      <c r="B1476" t="s">
        <v>22</v>
      </c>
      <c r="C1476" t="s">
        <v>12</v>
      </c>
      <c r="D1476" t="s">
        <v>24</v>
      </c>
      <c r="E1476" t="s">
        <v>19</v>
      </c>
      <c r="F1476" t="s">
        <v>40</v>
      </c>
      <c r="G1476">
        <v>17</v>
      </c>
      <c r="H1476">
        <v>56359</v>
      </c>
      <c r="I1476">
        <v>958103</v>
      </c>
      <c r="J1476" t="s">
        <v>27</v>
      </c>
    </row>
    <row r="1477" spans="1:10" x14ac:dyDescent="0.25">
      <c r="A1477" t="s">
        <v>168</v>
      </c>
      <c r="B1477" t="s">
        <v>22</v>
      </c>
      <c r="C1477" t="s">
        <v>34</v>
      </c>
      <c r="D1477" t="s">
        <v>39</v>
      </c>
      <c r="E1477" t="s">
        <v>30</v>
      </c>
      <c r="F1477" t="s">
        <v>26</v>
      </c>
      <c r="G1477">
        <v>4</v>
      </c>
      <c r="H1477">
        <v>27577</v>
      </c>
      <c r="I1477">
        <v>110308</v>
      </c>
      <c r="J1477" t="s">
        <v>36</v>
      </c>
    </row>
    <row r="1478" spans="1:10" x14ac:dyDescent="0.25">
      <c r="A1478" t="s">
        <v>175</v>
      </c>
      <c r="B1478" t="s">
        <v>33</v>
      </c>
      <c r="C1478" t="s">
        <v>12</v>
      </c>
      <c r="D1478" t="s">
        <v>24</v>
      </c>
      <c r="E1478" t="s">
        <v>30</v>
      </c>
      <c r="F1478" t="s">
        <v>40</v>
      </c>
      <c r="G1478">
        <v>14</v>
      </c>
      <c r="H1478">
        <v>56286</v>
      </c>
      <c r="I1478">
        <v>788004</v>
      </c>
      <c r="J1478" t="s">
        <v>36</v>
      </c>
    </row>
    <row r="1479" spans="1:10" x14ac:dyDescent="0.25">
      <c r="A1479" t="s">
        <v>349</v>
      </c>
      <c r="B1479" t="s">
        <v>11</v>
      </c>
      <c r="C1479" t="s">
        <v>23</v>
      </c>
      <c r="D1479" t="s">
        <v>13</v>
      </c>
      <c r="E1479" t="s">
        <v>14</v>
      </c>
      <c r="F1479" t="s">
        <v>15</v>
      </c>
      <c r="G1479">
        <v>3</v>
      </c>
      <c r="H1479">
        <v>28873</v>
      </c>
      <c r="I1479">
        <v>86619</v>
      </c>
      <c r="J1479" t="s">
        <v>36</v>
      </c>
    </row>
    <row r="1480" spans="1:10" x14ac:dyDescent="0.25">
      <c r="A1480" t="s">
        <v>57</v>
      </c>
      <c r="B1480" t="s">
        <v>22</v>
      </c>
      <c r="C1480" t="s">
        <v>12</v>
      </c>
      <c r="D1480" t="s">
        <v>39</v>
      </c>
      <c r="E1480" t="s">
        <v>14</v>
      </c>
      <c r="F1480" t="s">
        <v>26</v>
      </c>
      <c r="G1480">
        <v>19</v>
      </c>
      <c r="H1480">
        <v>53854</v>
      </c>
      <c r="I1480">
        <v>1023226</v>
      </c>
      <c r="J1480" t="s">
        <v>20</v>
      </c>
    </row>
    <row r="1481" spans="1:10" x14ac:dyDescent="0.25">
      <c r="A1481" t="s">
        <v>182</v>
      </c>
      <c r="B1481" t="s">
        <v>33</v>
      </c>
      <c r="C1481" t="s">
        <v>23</v>
      </c>
      <c r="D1481" t="s">
        <v>24</v>
      </c>
      <c r="E1481" t="s">
        <v>25</v>
      </c>
      <c r="F1481" t="s">
        <v>40</v>
      </c>
      <c r="G1481">
        <v>12</v>
      </c>
      <c r="H1481">
        <v>55295</v>
      </c>
      <c r="I1481">
        <v>663540</v>
      </c>
      <c r="J1481" t="s">
        <v>27</v>
      </c>
    </row>
    <row r="1482" spans="1:10" x14ac:dyDescent="0.25">
      <c r="A1482" t="s">
        <v>292</v>
      </c>
      <c r="B1482" t="s">
        <v>42</v>
      </c>
      <c r="C1482" t="s">
        <v>29</v>
      </c>
      <c r="D1482" t="s">
        <v>44</v>
      </c>
      <c r="E1482" t="s">
        <v>35</v>
      </c>
      <c r="F1482" t="s">
        <v>40</v>
      </c>
      <c r="G1482">
        <v>9</v>
      </c>
      <c r="H1482">
        <v>38913</v>
      </c>
      <c r="I1482">
        <v>350217</v>
      </c>
      <c r="J1482" t="s">
        <v>36</v>
      </c>
    </row>
    <row r="1483" spans="1:10" x14ac:dyDescent="0.25">
      <c r="A1483" t="s">
        <v>226</v>
      </c>
      <c r="B1483" t="s">
        <v>42</v>
      </c>
      <c r="C1483" t="s">
        <v>12</v>
      </c>
      <c r="D1483" t="s">
        <v>44</v>
      </c>
      <c r="E1483" t="s">
        <v>30</v>
      </c>
      <c r="F1483" t="s">
        <v>26</v>
      </c>
      <c r="G1483">
        <v>9</v>
      </c>
      <c r="H1483">
        <v>50039</v>
      </c>
      <c r="I1483">
        <v>450351</v>
      </c>
      <c r="J1483" t="s">
        <v>27</v>
      </c>
    </row>
    <row r="1484" spans="1:10" x14ac:dyDescent="0.25">
      <c r="A1484" t="s">
        <v>344</v>
      </c>
      <c r="B1484" t="s">
        <v>33</v>
      </c>
      <c r="C1484" t="s">
        <v>12</v>
      </c>
      <c r="D1484" t="s">
        <v>39</v>
      </c>
      <c r="E1484" t="s">
        <v>19</v>
      </c>
      <c r="F1484" t="s">
        <v>15</v>
      </c>
      <c r="G1484">
        <v>20</v>
      </c>
      <c r="H1484">
        <v>19368</v>
      </c>
      <c r="I1484">
        <v>387360</v>
      </c>
      <c r="J1484" t="s">
        <v>20</v>
      </c>
    </row>
    <row r="1485" spans="1:10" x14ac:dyDescent="0.25">
      <c r="A1485" t="s">
        <v>352</v>
      </c>
      <c r="B1485" t="s">
        <v>11</v>
      </c>
      <c r="C1485" t="s">
        <v>23</v>
      </c>
      <c r="D1485" t="s">
        <v>48</v>
      </c>
      <c r="E1485" t="s">
        <v>14</v>
      </c>
      <c r="F1485" t="s">
        <v>15</v>
      </c>
      <c r="G1485">
        <v>17</v>
      </c>
      <c r="H1485">
        <v>50880</v>
      </c>
      <c r="I1485">
        <v>864960</v>
      </c>
      <c r="J1485" t="s">
        <v>27</v>
      </c>
    </row>
    <row r="1486" spans="1:10" x14ac:dyDescent="0.25">
      <c r="A1486" t="s">
        <v>99</v>
      </c>
      <c r="B1486" t="s">
        <v>22</v>
      </c>
      <c r="C1486" t="s">
        <v>29</v>
      </c>
      <c r="D1486" t="s">
        <v>24</v>
      </c>
      <c r="E1486" t="s">
        <v>14</v>
      </c>
      <c r="F1486" t="s">
        <v>40</v>
      </c>
      <c r="G1486">
        <v>1</v>
      </c>
      <c r="H1486">
        <v>39642</v>
      </c>
      <c r="I1486">
        <v>39642</v>
      </c>
      <c r="J1486" t="s">
        <v>27</v>
      </c>
    </row>
    <row r="1487" spans="1:10" x14ac:dyDescent="0.25">
      <c r="A1487" t="s">
        <v>135</v>
      </c>
      <c r="B1487" t="s">
        <v>42</v>
      </c>
      <c r="C1487" t="s">
        <v>12</v>
      </c>
      <c r="D1487" t="s">
        <v>39</v>
      </c>
      <c r="E1487" t="s">
        <v>14</v>
      </c>
      <c r="F1487" t="s">
        <v>40</v>
      </c>
      <c r="G1487">
        <v>10</v>
      </c>
      <c r="H1487">
        <v>20729</v>
      </c>
      <c r="I1487">
        <v>207290</v>
      </c>
      <c r="J1487" t="s">
        <v>16</v>
      </c>
    </row>
    <row r="1488" spans="1:10" x14ac:dyDescent="0.25">
      <c r="A1488" t="s">
        <v>342</v>
      </c>
      <c r="B1488" t="s">
        <v>18</v>
      </c>
      <c r="C1488" t="s">
        <v>29</v>
      </c>
      <c r="D1488" t="s">
        <v>48</v>
      </c>
      <c r="E1488" t="s">
        <v>35</v>
      </c>
      <c r="F1488" t="s">
        <v>40</v>
      </c>
      <c r="G1488">
        <v>20</v>
      </c>
      <c r="H1488">
        <v>30680</v>
      </c>
      <c r="I1488">
        <v>613600</v>
      </c>
      <c r="J1488" t="s">
        <v>27</v>
      </c>
    </row>
    <row r="1489" spans="1:10" x14ac:dyDescent="0.25">
      <c r="A1489" t="s">
        <v>62</v>
      </c>
      <c r="B1489" t="s">
        <v>22</v>
      </c>
      <c r="C1489" t="s">
        <v>29</v>
      </c>
      <c r="D1489" t="s">
        <v>44</v>
      </c>
      <c r="E1489" t="s">
        <v>19</v>
      </c>
      <c r="F1489" t="s">
        <v>26</v>
      </c>
      <c r="G1489">
        <v>2</v>
      </c>
      <c r="H1489">
        <v>59950</v>
      </c>
      <c r="I1489">
        <v>119900</v>
      </c>
      <c r="J1489" t="s">
        <v>27</v>
      </c>
    </row>
    <row r="1490" spans="1:10" x14ac:dyDescent="0.25">
      <c r="A1490" t="s">
        <v>252</v>
      </c>
      <c r="B1490" t="s">
        <v>18</v>
      </c>
      <c r="C1490" t="s">
        <v>29</v>
      </c>
      <c r="D1490" t="s">
        <v>13</v>
      </c>
      <c r="E1490" t="s">
        <v>14</v>
      </c>
      <c r="F1490" t="s">
        <v>26</v>
      </c>
      <c r="G1490">
        <v>17</v>
      </c>
      <c r="H1490">
        <v>19019</v>
      </c>
      <c r="I1490">
        <v>323323</v>
      </c>
      <c r="J1490" t="s">
        <v>27</v>
      </c>
    </row>
    <row r="1491" spans="1:10" x14ac:dyDescent="0.25">
      <c r="A1491" t="s">
        <v>295</v>
      </c>
      <c r="B1491" t="s">
        <v>11</v>
      </c>
      <c r="C1491" t="s">
        <v>38</v>
      </c>
      <c r="D1491" t="s">
        <v>13</v>
      </c>
      <c r="E1491" t="s">
        <v>19</v>
      </c>
      <c r="F1491" t="s">
        <v>26</v>
      </c>
      <c r="G1491">
        <v>1</v>
      </c>
      <c r="H1491">
        <v>19087</v>
      </c>
      <c r="I1491">
        <v>19087</v>
      </c>
      <c r="J1491" t="s">
        <v>16</v>
      </c>
    </row>
    <row r="1492" spans="1:10" x14ac:dyDescent="0.25">
      <c r="A1492" t="s">
        <v>253</v>
      </c>
      <c r="B1492" t="s">
        <v>22</v>
      </c>
      <c r="C1492" t="s">
        <v>38</v>
      </c>
      <c r="D1492" t="s">
        <v>44</v>
      </c>
      <c r="E1492" t="s">
        <v>25</v>
      </c>
      <c r="F1492" t="s">
        <v>40</v>
      </c>
      <c r="G1492">
        <v>19</v>
      </c>
      <c r="H1492">
        <v>51902</v>
      </c>
      <c r="I1492">
        <v>986138</v>
      </c>
      <c r="J1492" t="s">
        <v>20</v>
      </c>
    </row>
    <row r="1493" spans="1:10" x14ac:dyDescent="0.25">
      <c r="A1493" t="s">
        <v>65</v>
      </c>
      <c r="B1493" t="s">
        <v>18</v>
      </c>
      <c r="C1493" t="s">
        <v>34</v>
      </c>
      <c r="D1493" t="s">
        <v>13</v>
      </c>
      <c r="E1493" t="s">
        <v>14</v>
      </c>
      <c r="F1493" t="s">
        <v>40</v>
      </c>
      <c r="G1493">
        <v>3</v>
      </c>
      <c r="H1493">
        <v>57382</v>
      </c>
      <c r="I1493">
        <v>172146</v>
      </c>
      <c r="J1493" t="s">
        <v>16</v>
      </c>
    </row>
    <row r="1494" spans="1:10" x14ac:dyDescent="0.25">
      <c r="A1494" t="s">
        <v>228</v>
      </c>
      <c r="B1494" t="s">
        <v>42</v>
      </c>
      <c r="C1494" t="s">
        <v>38</v>
      </c>
      <c r="D1494" t="s">
        <v>39</v>
      </c>
      <c r="E1494" t="s">
        <v>35</v>
      </c>
      <c r="F1494" t="s">
        <v>40</v>
      </c>
      <c r="G1494">
        <v>13</v>
      </c>
      <c r="H1494">
        <v>17290</v>
      </c>
      <c r="I1494">
        <v>224770</v>
      </c>
      <c r="J1494" t="s">
        <v>20</v>
      </c>
    </row>
    <row r="1495" spans="1:10" x14ac:dyDescent="0.25">
      <c r="A1495" t="s">
        <v>282</v>
      </c>
      <c r="B1495" t="s">
        <v>18</v>
      </c>
      <c r="C1495" t="s">
        <v>23</v>
      </c>
      <c r="D1495" t="s">
        <v>48</v>
      </c>
      <c r="E1495" t="s">
        <v>35</v>
      </c>
      <c r="F1495" t="s">
        <v>26</v>
      </c>
      <c r="G1495">
        <v>14</v>
      </c>
      <c r="H1495">
        <v>47604</v>
      </c>
      <c r="I1495">
        <v>666456</v>
      </c>
      <c r="J1495" t="s">
        <v>27</v>
      </c>
    </row>
    <row r="1496" spans="1:10" x14ac:dyDescent="0.25">
      <c r="A1496" t="s">
        <v>246</v>
      </c>
      <c r="B1496" t="s">
        <v>18</v>
      </c>
      <c r="C1496" t="s">
        <v>38</v>
      </c>
      <c r="D1496" t="s">
        <v>39</v>
      </c>
      <c r="E1496" t="s">
        <v>35</v>
      </c>
      <c r="F1496" t="s">
        <v>15</v>
      </c>
      <c r="G1496">
        <v>8</v>
      </c>
      <c r="H1496">
        <v>56188</v>
      </c>
      <c r="I1496">
        <v>449504</v>
      </c>
      <c r="J1496" t="s">
        <v>20</v>
      </c>
    </row>
    <row r="1497" spans="1:10" x14ac:dyDescent="0.25">
      <c r="A1497" t="s">
        <v>71</v>
      </c>
      <c r="B1497" t="s">
        <v>22</v>
      </c>
      <c r="C1497" t="s">
        <v>38</v>
      </c>
      <c r="D1497" t="s">
        <v>13</v>
      </c>
      <c r="E1497" t="s">
        <v>30</v>
      </c>
      <c r="F1497" t="s">
        <v>26</v>
      </c>
      <c r="G1497">
        <v>16</v>
      </c>
      <c r="H1497">
        <v>28720</v>
      </c>
      <c r="I1497">
        <v>459520</v>
      </c>
      <c r="J1497" t="s">
        <v>16</v>
      </c>
    </row>
    <row r="1498" spans="1:10" x14ac:dyDescent="0.25">
      <c r="A1498" t="s">
        <v>128</v>
      </c>
      <c r="B1498" t="s">
        <v>33</v>
      </c>
      <c r="C1498" t="s">
        <v>12</v>
      </c>
      <c r="D1498" t="s">
        <v>44</v>
      </c>
      <c r="E1498" t="s">
        <v>19</v>
      </c>
      <c r="F1498" t="s">
        <v>26</v>
      </c>
      <c r="G1498">
        <v>5</v>
      </c>
      <c r="H1498">
        <v>52120</v>
      </c>
      <c r="I1498">
        <v>260600</v>
      </c>
      <c r="J1498" t="s">
        <v>36</v>
      </c>
    </row>
    <row r="1499" spans="1:10" x14ac:dyDescent="0.25">
      <c r="A1499" t="s">
        <v>249</v>
      </c>
      <c r="B1499" t="s">
        <v>42</v>
      </c>
      <c r="C1499" t="s">
        <v>38</v>
      </c>
      <c r="D1499" t="s">
        <v>48</v>
      </c>
      <c r="E1499" t="s">
        <v>30</v>
      </c>
      <c r="F1499" t="s">
        <v>40</v>
      </c>
      <c r="G1499">
        <v>11</v>
      </c>
      <c r="H1499">
        <v>35957</v>
      </c>
      <c r="I1499">
        <v>395527</v>
      </c>
      <c r="J1499" t="s">
        <v>20</v>
      </c>
    </row>
    <row r="1500" spans="1:10" x14ac:dyDescent="0.25">
      <c r="A1500" t="s">
        <v>166</v>
      </c>
      <c r="B1500" t="s">
        <v>18</v>
      </c>
      <c r="C1500" t="s">
        <v>29</v>
      </c>
      <c r="D1500" t="s">
        <v>48</v>
      </c>
      <c r="E1500" t="s">
        <v>25</v>
      </c>
      <c r="F1500" t="s">
        <v>26</v>
      </c>
      <c r="G1500">
        <v>6</v>
      </c>
      <c r="H1500">
        <v>21174</v>
      </c>
      <c r="I1500">
        <v>127044</v>
      </c>
      <c r="J1500" t="s">
        <v>27</v>
      </c>
    </row>
    <row r="1501" spans="1:10" x14ac:dyDescent="0.25">
      <c r="A1501" t="s">
        <v>158</v>
      </c>
      <c r="B1501" t="s">
        <v>11</v>
      </c>
      <c r="C1501" t="s">
        <v>29</v>
      </c>
      <c r="D1501" t="s">
        <v>44</v>
      </c>
      <c r="E1501" t="s">
        <v>35</v>
      </c>
      <c r="F1501" t="s">
        <v>15</v>
      </c>
      <c r="G1501">
        <v>2</v>
      </c>
      <c r="H1501">
        <v>26691</v>
      </c>
      <c r="I1501">
        <v>53382</v>
      </c>
      <c r="J1501" t="s">
        <v>27</v>
      </c>
    </row>
    <row r="1502" spans="1:10" x14ac:dyDescent="0.25">
      <c r="A1502" t="s">
        <v>226</v>
      </c>
      <c r="B1502" t="s">
        <v>22</v>
      </c>
      <c r="C1502" t="s">
        <v>29</v>
      </c>
      <c r="D1502" t="s">
        <v>13</v>
      </c>
      <c r="E1502" t="s">
        <v>35</v>
      </c>
      <c r="F1502" t="s">
        <v>40</v>
      </c>
      <c r="G1502">
        <v>20</v>
      </c>
      <c r="H1502">
        <v>20323</v>
      </c>
      <c r="I1502">
        <v>406460</v>
      </c>
      <c r="J1502" t="s">
        <v>27</v>
      </c>
    </row>
    <row r="1503" spans="1:10" x14ac:dyDescent="0.25">
      <c r="A1503" t="s">
        <v>322</v>
      </c>
      <c r="B1503" t="s">
        <v>18</v>
      </c>
      <c r="C1503" t="s">
        <v>38</v>
      </c>
      <c r="D1503" t="s">
        <v>39</v>
      </c>
      <c r="E1503" t="s">
        <v>19</v>
      </c>
      <c r="F1503" t="s">
        <v>40</v>
      </c>
      <c r="G1503">
        <v>17</v>
      </c>
      <c r="H1503">
        <v>15484</v>
      </c>
      <c r="I1503">
        <v>263228</v>
      </c>
      <c r="J1503" t="s">
        <v>27</v>
      </c>
    </row>
    <row r="1504" spans="1:10" x14ac:dyDescent="0.25">
      <c r="A1504" t="s">
        <v>270</v>
      </c>
      <c r="B1504" t="s">
        <v>42</v>
      </c>
      <c r="C1504" t="s">
        <v>12</v>
      </c>
      <c r="D1504" t="s">
        <v>44</v>
      </c>
      <c r="E1504" t="s">
        <v>30</v>
      </c>
      <c r="F1504" t="s">
        <v>26</v>
      </c>
      <c r="G1504">
        <v>3</v>
      </c>
      <c r="H1504">
        <v>41700</v>
      </c>
      <c r="I1504">
        <v>125100</v>
      </c>
      <c r="J1504" t="s">
        <v>36</v>
      </c>
    </row>
    <row r="1505" spans="1:10" x14ac:dyDescent="0.25">
      <c r="A1505" t="s">
        <v>192</v>
      </c>
      <c r="B1505" t="s">
        <v>33</v>
      </c>
      <c r="C1505" t="s">
        <v>23</v>
      </c>
      <c r="D1505" t="s">
        <v>48</v>
      </c>
      <c r="E1505" t="s">
        <v>30</v>
      </c>
      <c r="F1505" t="s">
        <v>15</v>
      </c>
      <c r="G1505">
        <v>17</v>
      </c>
      <c r="H1505">
        <v>16911</v>
      </c>
      <c r="I1505">
        <v>287487</v>
      </c>
      <c r="J1505" t="s">
        <v>16</v>
      </c>
    </row>
    <row r="1506" spans="1:10" x14ac:dyDescent="0.25">
      <c r="A1506" t="s">
        <v>126</v>
      </c>
      <c r="B1506" t="s">
        <v>42</v>
      </c>
      <c r="C1506" t="s">
        <v>23</v>
      </c>
      <c r="D1506" t="s">
        <v>44</v>
      </c>
      <c r="E1506" t="s">
        <v>35</v>
      </c>
      <c r="F1506" t="s">
        <v>26</v>
      </c>
      <c r="G1506">
        <v>3</v>
      </c>
      <c r="H1506">
        <v>15047</v>
      </c>
      <c r="I1506">
        <v>45141</v>
      </c>
      <c r="J1506" t="s">
        <v>16</v>
      </c>
    </row>
    <row r="1507" spans="1:10" x14ac:dyDescent="0.25">
      <c r="A1507" t="s">
        <v>131</v>
      </c>
      <c r="B1507" t="s">
        <v>18</v>
      </c>
      <c r="C1507" t="s">
        <v>34</v>
      </c>
      <c r="D1507" t="s">
        <v>48</v>
      </c>
      <c r="E1507" t="s">
        <v>19</v>
      </c>
      <c r="F1507" t="s">
        <v>26</v>
      </c>
      <c r="G1507">
        <v>18</v>
      </c>
      <c r="H1507">
        <v>53600</v>
      </c>
      <c r="I1507">
        <v>964800</v>
      </c>
      <c r="J1507" t="s">
        <v>16</v>
      </c>
    </row>
    <row r="1508" spans="1:10" x14ac:dyDescent="0.25">
      <c r="A1508" t="s">
        <v>394</v>
      </c>
      <c r="B1508" t="s">
        <v>33</v>
      </c>
      <c r="C1508" t="s">
        <v>12</v>
      </c>
      <c r="D1508" t="s">
        <v>24</v>
      </c>
      <c r="E1508" t="s">
        <v>25</v>
      </c>
      <c r="F1508" t="s">
        <v>26</v>
      </c>
      <c r="G1508">
        <v>3</v>
      </c>
      <c r="H1508">
        <v>20451</v>
      </c>
      <c r="I1508">
        <v>61353</v>
      </c>
      <c r="J1508" t="s">
        <v>36</v>
      </c>
    </row>
    <row r="1509" spans="1:10" x14ac:dyDescent="0.25">
      <c r="A1509" t="s">
        <v>349</v>
      </c>
      <c r="B1509" t="s">
        <v>18</v>
      </c>
      <c r="C1509" t="s">
        <v>29</v>
      </c>
      <c r="D1509" t="s">
        <v>39</v>
      </c>
      <c r="E1509" t="s">
        <v>14</v>
      </c>
      <c r="F1509" t="s">
        <v>15</v>
      </c>
      <c r="G1509">
        <v>13</v>
      </c>
      <c r="H1509">
        <v>55870</v>
      </c>
      <c r="I1509">
        <v>726310</v>
      </c>
      <c r="J1509" t="s">
        <v>16</v>
      </c>
    </row>
    <row r="1510" spans="1:10" x14ac:dyDescent="0.25">
      <c r="A1510" t="s">
        <v>269</v>
      </c>
      <c r="B1510" t="s">
        <v>11</v>
      </c>
      <c r="C1510" t="s">
        <v>38</v>
      </c>
      <c r="D1510" t="s">
        <v>48</v>
      </c>
      <c r="E1510" t="s">
        <v>25</v>
      </c>
      <c r="F1510" t="s">
        <v>40</v>
      </c>
      <c r="G1510">
        <v>3</v>
      </c>
      <c r="H1510">
        <v>37887</v>
      </c>
      <c r="I1510">
        <v>113661</v>
      </c>
      <c r="J1510" t="s">
        <v>27</v>
      </c>
    </row>
    <row r="1511" spans="1:10" x14ac:dyDescent="0.25">
      <c r="A1511" t="s">
        <v>104</v>
      </c>
      <c r="B1511" t="s">
        <v>33</v>
      </c>
      <c r="C1511" t="s">
        <v>29</v>
      </c>
      <c r="D1511" t="s">
        <v>13</v>
      </c>
      <c r="E1511" t="s">
        <v>19</v>
      </c>
      <c r="F1511" t="s">
        <v>26</v>
      </c>
      <c r="G1511">
        <v>13</v>
      </c>
      <c r="H1511">
        <v>40629</v>
      </c>
      <c r="I1511">
        <v>528177</v>
      </c>
      <c r="J1511" t="s">
        <v>27</v>
      </c>
    </row>
    <row r="1512" spans="1:10" x14ac:dyDescent="0.25">
      <c r="A1512" t="s">
        <v>47</v>
      </c>
      <c r="B1512" t="s">
        <v>42</v>
      </c>
      <c r="C1512" t="s">
        <v>29</v>
      </c>
      <c r="D1512" t="s">
        <v>13</v>
      </c>
      <c r="E1512" t="s">
        <v>25</v>
      </c>
      <c r="F1512" t="s">
        <v>40</v>
      </c>
      <c r="G1512">
        <v>8</v>
      </c>
      <c r="H1512">
        <v>20923</v>
      </c>
      <c r="I1512">
        <v>167384</v>
      </c>
      <c r="J1512" t="s">
        <v>16</v>
      </c>
    </row>
    <row r="1513" spans="1:10" x14ac:dyDescent="0.25">
      <c r="A1513" t="s">
        <v>87</v>
      </c>
      <c r="B1513" t="s">
        <v>22</v>
      </c>
      <c r="C1513" t="s">
        <v>23</v>
      </c>
      <c r="D1513" t="s">
        <v>48</v>
      </c>
      <c r="E1513" t="s">
        <v>25</v>
      </c>
      <c r="F1513" t="s">
        <v>15</v>
      </c>
      <c r="G1513">
        <v>19</v>
      </c>
      <c r="H1513">
        <v>16803</v>
      </c>
      <c r="I1513">
        <v>319257</v>
      </c>
      <c r="J1513" t="s">
        <v>20</v>
      </c>
    </row>
    <row r="1514" spans="1:10" x14ac:dyDescent="0.25">
      <c r="A1514" t="s">
        <v>153</v>
      </c>
      <c r="B1514" t="s">
        <v>42</v>
      </c>
      <c r="C1514" t="s">
        <v>34</v>
      </c>
      <c r="D1514" t="s">
        <v>24</v>
      </c>
      <c r="E1514" t="s">
        <v>25</v>
      </c>
      <c r="F1514" t="s">
        <v>15</v>
      </c>
      <c r="G1514">
        <v>8</v>
      </c>
      <c r="H1514">
        <v>29386</v>
      </c>
      <c r="I1514">
        <v>235088</v>
      </c>
      <c r="J1514" t="s">
        <v>27</v>
      </c>
    </row>
    <row r="1515" spans="1:10" x14ac:dyDescent="0.25">
      <c r="A1515" t="s">
        <v>326</v>
      </c>
      <c r="B1515" t="s">
        <v>18</v>
      </c>
      <c r="C1515" t="s">
        <v>34</v>
      </c>
      <c r="D1515" t="s">
        <v>39</v>
      </c>
      <c r="E1515" t="s">
        <v>14</v>
      </c>
      <c r="F1515" t="s">
        <v>26</v>
      </c>
      <c r="G1515">
        <v>20</v>
      </c>
      <c r="H1515">
        <v>23865</v>
      </c>
      <c r="I1515">
        <v>477300</v>
      </c>
      <c r="J1515" t="s">
        <v>20</v>
      </c>
    </row>
    <row r="1516" spans="1:10" x14ac:dyDescent="0.25">
      <c r="A1516" t="s">
        <v>196</v>
      </c>
      <c r="B1516" t="s">
        <v>42</v>
      </c>
      <c r="C1516" t="s">
        <v>34</v>
      </c>
      <c r="D1516" t="s">
        <v>13</v>
      </c>
      <c r="E1516" t="s">
        <v>25</v>
      </c>
      <c r="F1516" t="s">
        <v>40</v>
      </c>
      <c r="G1516">
        <v>12</v>
      </c>
      <c r="H1516">
        <v>24765</v>
      </c>
      <c r="I1516">
        <v>297180</v>
      </c>
      <c r="J1516" t="s">
        <v>27</v>
      </c>
    </row>
    <row r="1517" spans="1:10" x14ac:dyDescent="0.25">
      <c r="A1517" t="s">
        <v>64</v>
      </c>
      <c r="B1517" t="s">
        <v>42</v>
      </c>
      <c r="C1517" t="s">
        <v>34</v>
      </c>
      <c r="D1517" t="s">
        <v>48</v>
      </c>
      <c r="E1517" t="s">
        <v>19</v>
      </c>
      <c r="F1517" t="s">
        <v>40</v>
      </c>
      <c r="G1517">
        <v>2</v>
      </c>
      <c r="H1517">
        <v>27513</v>
      </c>
      <c r="I1517">
        <v>55026</v>
      </c>
      <c r="J1517" t="s">
        <v>27</v>
      </c>
    </row>
    <row r="1518" spans="1:10" x14ac:dyDescent="0.25">
      <c r="A1518" t="s">
        <v>313</v>
      </c>
      <c r="B1518" t="s">
        <v>42</v>
      </c>
      <c r="C1518" t="s">
        <v>34</v>
      </c>
      <c r="D1518" t="s">
        <v>44</v>
      </c>
      <c r="E1518" t="s">
        <v>19</v>
      </c>
      <c r="F1518" t="s">
        <v>15</v>
      </c>
      <c r="G1518">
        <v>15</v>
      </c>
      <c r="H1518">
        <v>43207</v>
      </c>
      <c r="I1518">
        <v>648105</v>
      </c>
      <c r="J1518" t="s">
        <v>20</v>
      </c>
    </row>
    <row r="1519" spans="1:10" x14ac:dyDescent="0.25">
      <c r="A1519" t="s">
        <v>205</v>
      </c>
      <c r="B1519" t="s">
        <v>18</v>
      </c>
      <c r="C1519" t="s">
        <v>34</v>
      </c>
      <c r="D1519" t="s">
        <v>39</v>
      </c>
      <c r="E1519" t="s">
        <v>14</v>
      </c>
      <c r="F1519" t="s">
        <v>40</v>
      </c>
      <c r="G1519">
        <v>6</v>
      </c>
      <c r="H1519">
        <v>44944</v>
      </c>
      <c r="I1519">
        <v>269664</v>
      </c>
      <c r="J1519" t="s">
        <v>20</v>
      </c>
    </row>
    <row r="1520" spans="1:10" x14ac:dyDescent="0.25">
      <c r="A1520" t="s">
        <v>228</v>
      </c>
      <c r="B1520" t="s">
        <v>33</v>
      </c>
      <c r="C1520" t="s">
        <v>29</v>
      </c>
      <c r="D1520" t="s">
        <v>24</v>
      </c>
      <c r="E1520" t="s">
        <v>19</v>
      </c>
      <c r="F1520" t="s">
        <v>15</v>
      </c>
      <c r="G1520">
        <v>9</v>
      </c>
      <c r="H1520">
        <v>35941</v>
      </c>
      <c r="I1520">
        <v>323469</v>
      </c>
      <c r="J1520" t="s">
        <v>27</v>
      </c>
    </row>
    <row r="1521" spans="1:10" x14ac:dyDescent="0.25">
      <c r="A1521" t="s">
        <v>317</v>
      </c>
      <c r="B1521" t="s">
        <v>33</v>
      </c>
      <c r="C1521" t="s">
        <v>38</v>
      </c>
      <c r="D1521" t="s">
        <v>39</v>
      </c>
      <c r="E1521" t="s">
        <v>30</v>
      </c>
      <c r="F1521" t="s">
        <v>40</v>
      </c>
      <c r="G1521">
        <v>17</v>
      </c>
      <c r="H1521">
        <v>37869</v>
      </c>
      <c r="I1521">
        <v>643773</v>
      </c>
      <c r="J1521" t="s">
        <v>36</v>
      </c>
    </row>
    <row r="1522" spans="1:10" x14ac:dyDescent="0.25">
      <c r="A1522" t="s">
        <v>31</v>
      </c>
      <c r="B1522" t="s">
        <v>18</v>
      </c>
      <c r="C1522" t="s">
        <v>29</v>
      </c>
      <c r="D1522" t="s">
        <v>13</v>
      </c>
      <c r="E1522" t="s">
        <v>19</v>
      </c>
      <c r="F1522" t="s">
        <v>26</v>
      </c>
      <c r="G1522">
        <v>11</v>
      </c>
      <c r="H1522">
        <v>30696</v>
      </c>
      <c r="I1522">
        <v>337656</v>
      </c>
      <c r="J1522" t="s">
        <v>27</v>
      </c>
    </row>
    <row r="1523" spans="1:10" x14ac:dyDescent="0.25">
      <c r="A1523" t="s">
        <v>336</v>
      </c>
      <c r="B1523" t="s">
        <v>22</v>
      </c>
      <c r="C1523" t="s">
        <v>34</v>
      </c>
      <c r="D1523" t="s">
        <v>39</v>
      </c>
      <c r="E1523" t="s">
        <v>14</v>
      </c>
      <c r="F1523" t="s">
        <v>40</v>
      </c>
      <c r="G1523">
        <v>18</v>
      </c>
      <c r="H1523">
        <v>17081</v>
      </c>
      <c r="I1523">
        <v>307458</v>
      </c>
      <c r="J1523" t="s">
        <v>27</v>
      </c>
    </row>
    <row r="1524" spans="1:10" x14ac:dyDescent="0.25">
      <c r="A1524" t="s">
        <v>106</v>
      </c>
      <c r="B1524" t="s">
        <v>42</v>
      </c>
      <c r="C1524" t="s">
        <v>12</v>
      </c>
      <c r="D1524" t="s">
        <v>13</v>
      </c>
      <c r="E1524" t="s">
        <v>35</v>
      </c>
      <c r="F1524" t="s">
        <v>15</v>
      </c>
      <c r="G1524">
        <v>14</v>
      </c>
      <c r="H1524">
        <v>40687</v>
      </c>
      <c r="I1524">
        <v>569618</v>
      </c>
      <c r="J1524" t="s">
        <v>36</v>
      </c>
    </row>
    <row r="1525" spans="1:10" x14ac:dyDescent="0.25">
      <c r="A1525" t="s">
        <v>272</v>
      </c>
      <c r="B1525" t="s">
        <v>11</v>
      </c>
      <c r="C1525" t="s">
        <v>38</v>
      </c>
      <c r="D1525" t="s">
        <v>48</v>
      </c>
      <c r="E1525" t="s">
        <v>19</v>
      </c>
      <c r="F1525" t="s">
        <v>15</v>
      </c>
      <c r="G1525">
        <v>7</v>
      </c>
      <c r="H1525">
        <v>48281</v>
      </c>
      <c r="I1525">
        <v>337967</v>
      </c>
      <c r="J1525" t="s">
        <v>20</v>
      </c>
    </row>
    <row r="1526" spans="1:10" x14ac:dyDescent="0.25">
      <c r="A1526" t="s">
        <v>217</v>
      </c>
      <c r="B1526" t="s">
        <v>18</v>
      </c>
      <c r="C1526" t="s">
        <v>38</v>
      </c>
      <c r="D1526" t="s">
        <v>44</v>
      </c>
      <c r="E1526" t="s">
        <v>19</v>
      </c>
      <c r="F1526" t="s">
        <v>15</v>
      </c>
      <c r="G1526">
        <v>10</v>
      </c>
      <c r="H1526">
        <v>45090</v>
      </c>
      <c r="I1526">
        <v>450900</v>
      </c>
      <c r="J1526" t="s">
        <v>16</v>
      </c>
    </row>
    <row r="1527" spans="1:10" x14ac:dyDescent="0.25">
      <c r="A1527" t="s">
        <v>193</v>
      </c>
      <c r="B1527" t="s">
        <v>11</v>
      </c>
      <c r="C1527" t="s">
        <v>38</v>
      </c>
      <c r="D1527" t="s">
        <v>44</v>
      </c>
      <c r="E1527" t="s">
        <v>35</v>
      </c>
      <c r="F1527" t="s">
        <v>40</v>
      </c>
      <c r="G1527">
        <v>12</v>
      </c>
      <c r="H1527">
        <v>40684</v>
      </c>
      <c r="I1527">
        <v>488208</v>
      </c>
      <c r="J1527" t="s">
        <v>16</v>
      </c>
    </row>
    <row r="1528" spans="1:10" x14ac:dyDescent="0.25">
      <c r="A1528" t="s">
        <v>326</v>
      </c>
      <c r="B1528" t="s">
        <v>18</v>
      </c>
      <c r="C1528" t="s">
        <v>34</v>
      </c>
      <c r="D1528" t="s">
        <v>39</v>
      </c>
      <c r="E1528" t="s">
        <v>14</v>
      </c>
      <c r="F1528" t="s">
        <v>40</v>
      </c>
      <c r="G1528">
        <v>11</v>
      </c>
      <c r="H1528">
        <v>27814</v>
      </c>
      <c r="I1528">
        <v>305954</v>
      </c>
      <c r="J1528" t="s">
        <v>20</v>
      </c>
    </row>
    <row r="1529" spans="1:10" x14ac:dyDescent="0.25">
      <c r="A1529" t="s">
        <v>336</v>
      </c>
      <c r="B1529" t="s">
        <v>11</v>
      </c>
      <c r="C1529" t="s">
        <v>12</v>
      </c>
      <c r="D1529" t="s">
        <v>48</v>
      </c>
      <c r="E1529" t="s">
        <v>30</v>
      </c>
      <c r="F1529" t="s">
        <v>26</v>
      </c>
      <c r="G1529">
        <v>14</v>
      </c>
      <c r="H1529">
        <v>30468</v>
      </c>
      <c r="I1529">
        <v>426552</v>
      </c>
      <c r="J1529" t="s">
        <v>16</v>
      </c>
    </row>
    <row r="1530" spans="1:10" x14ac:dyDescent="0.25">
      <c r="A1530" t="s">
        <v>144</v>
      </c>
      <c r="B1530" t="s">
        <v>42</v>
      </c>
      <c r="C1530" t="s">
        <v>12</v>
      </c>
      <c r="D1530" t="s">
        <v>39</v>
      </c>
      <c r="E1530" t="s">
        <v>25</v>
      </c>
      <c r="F1530" t="s">
        <v>40</v>
      </c>
      <c r="G1530">
        <v>5</v>
      </c>
      <c r="H1530">
        <v>58808</v>
      </c>
      <c r="I1530">
        <v>294040</v>
      </c>
      <c r="J1530" t="s">
        <v>27</v>
      </c>
    </row>
    <row r="1531" spans="1:10" x14ac:dyDescent="0.25">
      <c r="A1531" t="s">
        <v>77</v>
      </c>
      <c r="B1531" t="s">
        <v>11</v>
      </c>
      <c r="C1531" t="s">
        <v>34</v>
      </c>
      <c r="D1531" t="s">
        <v>48</v>
      </c>
      <c r="E1531" t="s">
        <v>25</v>
      </c>
      <c r="F1531" t="s">
        <v>40</v>
      </c>
      <c r="G1531">
        <v>13</v>
      </c>
      <c r="H1531">
        <v>30734</v>
      </c>
      <c r="I1531">
        <v>399542</v>
      </c>
      <c r="J1531" t="s">
        <v>36</v>
      </c>
    </row>
    <row r="1532" spans="1:10" x14ac:dyDescent="0.25">
      <c r="A1532" t="s">
        <v>172</v>
      </c>
      <c r="B1532" t="s">
        <v>33</v>
      </c>
      <c r="C1532" t="s">
        <v>23</v>
      </c>
      <c r="D1532" t="s">
        <v>24</v>
      </c>
      <c r="E1532" t="s">
        <v>35</v>
      </c>
      <c r="F1532" t="s">
        <v>26</v>
      </c>
      <c r="G1532">
        <v>1</v>
      </c>
      <c r="H1532">
        <v>53242</v>
      </c>
      <c r="I1532">
        <v>53242</v>
      </c>
      <c r="J1532" t="s">
        <v>20</v>
      </c>
    </row>
    <row r="1533" spans="1:10" x14ac:dyDescent="0.25">
      <c r="A1533" t="s">
        <v>347</v>
      </c>
      <c r="B1533" t="s">
        <v>42</v>
      </c>
      <c r="C1533" t="s">
        <v>34</v>
      </c>
      <c r="D1533" t="s">
        <v>39</v>
      </c>
      <c r="E1533" t="s">
        <v>14</v>
      </c>
      <c r="F1533" t="s">
        <v>40</v>
      </c>
      <c r="G1533">
        <v>18</v>
      </c>
      <c r="H1533">
        <v>57945</v>
      </c>
      <c r="I1533">
        <v>1043010</v>
      </c>
      <c r="J1533" t="s">
        <v>16</v>
      </c>
    </row>
    <row r="1534" spans="1:10" x14ac:dyDescent="0.25">
      <c r="A1534" t="s">
        <v>206</v>
      </c>
      <c r="B1534" t="s">
        <v>22</v>
      </c>
      <c r="C1534" t="s">
        <v>12</v>
      </c>
      <c r="D1534" t="s">
        <v>44</v>
      </c>
      <c r="E1534" t="s">
        <v>25</v>
      </c>
      <c r="F1534" t="s">
        <v>40</v>
      </c>
      <c r="G1534">
        <v>17</v>
      </c>
      <c r="H1534">
        <v>32675</v>
      </c>
      <c r="I1534">
        <v>555475</v>
      </c>
      <c r="J1534" t="s">
        <v>16</v>
      </c>
    </row>
    <row r="1535" spans="1:10" x14ac:dyDescent="0.25">
      <c r="A1535" t="s">
        <v>321</v>
      </c>
      <c r="B1535" t="s">
        <v>22</v>
      </c>
      <c r="C1535" t="s">
        <v>23</v>
      </c>
      <c r="D1535" t="s">
        <v>48</v>
      </c>
      <c r="E1535" t="s">
        <v>30</v>
      </c>
      <c r="F1535" t="s">
        <v>26</v>
      </c>
      <c r="G1535">
        <v>14</v>
      </c>
      <c r="H1535">
        <v>55897</v>
      </c>
      <c r="I1535">
        <v>782558</v>
      </c>
      <c r="J1535" t="s">
        <v>16</v>
      </c>
    </row>
    <row r="1536" spans="1:10" x14ac:dyDescent="0.25">
      <c r="A1536" t="s">
        <v>208</v>
      </c>
      <c r="B1536" t="s">
        <v>11</v>
      </c>
      <c r="C1536" t="s">
        <v>29</v>
      </c>
      <c r="D1536" t="s">
        <v>44</v>
      </c>
      <c r="E1536" t="s">
        <v>30</v>
      </c>
      <c r="F1536" t="s">
        <v>40</v>
      </c>
      <c r="G1536">
        <v>13</v>
      </c>
      <c r="H1536">
        <v>16756</v>
      </c>
      <c r="I1536">
        <v>217828</v>
      </c>
      <c r="J1536" t="s">
        <v>16</v>
      </c>
    </row>
    <row r="1537" spans="1:10" x14ac:dyDescent="0.25">
      <c r="A1537" t="s">
        <v>220</v>
      </c>
      <c r="B1537" t="s">
        <v>33</v>
      </c>
      <c r="C1537" t="s">
        <v>23</v>
      </c>
      <c r="D1537" t="s">
        <v>13</v>
      </c>
      <c r="E1537" t="s">
        <v>14</v>
      </c>
      <c r="F1537" t="s">
        <v>15</v>
      </c>
      <c r="G1537">
        <v>16</v>
      </c>
      <c r="H1537">
        <v>55116</v>
      </c>
      <c r="I1537">
        <v>881856</v>
      </c>
      <c r="J1537" t="s">
        <v>27</v>
      </c>
    </row>
    <row r="1538" spans="1:10" x14ac:dyDescent="0.25">
      <c r="A1538" t="s">
        <v>226</v>
      </c>
      <c r="B1538" t="s">
        <v>18</v>
      </c>
      <c r="C1538" t="s">
        <v>12</v>
      </c>
      <c r="D1538" t="s">
        <v>39</v>
      </c>
      <c r="E1538" t="s">
        <v>35</v>
      </c>
      <c r="F1538" t="s">
        <v>15</v>
      </c>
      <c r="G1538">
        <v>18</v>
      </c>
      <c r="H1538">
        <v>21479</v>
      </c>
      <c r="I1538">
        <v>386622</v>
      </c>
      <c r="J1538" t="s">
        <v>20</v>
      </c>
    </row>
    <row r="1539" spans="1:10" x14ac:dyDescent="0.25">
      <c r="A1539" t="s">
        <v>170</v>
      </c>
      <c r="B1539" t="s">
        <v>18</v>
      </c>
      <c r="C1539" t="s">
        <v>29</v>
      </c>
      <c r="D1539" t="s">
        <v>39</v>
      </c>
      <c r="E1539" t="s">
        <v>25</v>
      </c>
      <c r="F1539" t="s">
        <v>26</v>
      </c>
      <c r="G1539">
        <v>11</v>
      </c>
      <c r="H1539">
        <v>45070</v>
      </c>
      <c r="I1539">
        <v>495770</v>
      </c>
      <c r="J1539" t="s">
        <v>16</v>
      </c>
    </row>
    <row r="1540" spans="1:10" x14ac:dyDescent="0.25">
      <c r="A1540" t="s">
        <v>346</v>
      </c>
      <c r="B1540" t="s">
        <v>18</v>
      </c>
      <c r="C1540" t="s">
        <v>12</v>
      </c>
      <c r="D1540" t="s">
        <v>13</v>
      </c>
      <c r="E1540" t="s">
        <v>14</v>
      </c>
      <c r="F1540" t="s">
        <v>15</v>
      </c>
      <c r="G1540">
        <v>6</v>
      </c>
      <c r="H1540">
        <v>17522</v>
      </c>
      <c r="I1540">
        <v>105132</v>
      </c>
      <c r="J1540" t="s">
        <v>20</v>
      </c>
    </row>
    <row r="1541" spans="1:10" x14ac:dyDescent="0.25">
      <c r="A1541" t="s">
        <v>57</v>
      </c>
      <c r="B1541" t="s">
        <v>22</v>
      </c>
      <c r="C1541" t="s">
        <v>38</v>
      </c>
      <c r="D1541" t="s">
        <v>39</v>
      </c>
      <c r="E1541" t="s">
        <v>19</v>
      </c>
      <c r="F1541" t="s">
        <v>15</v>
      </c>
      <c r="G1541">
        <v>19</v>
      </c>
      <c r="H1541">
        <v>31663</v>
      </c>
      <c r="I1541">
        <v>601597</v>
      </c>
      <c r="J1541" t="s">
        <v>36</v>
      </c>
    </row>
    <row r="1542" spans="1:10" x14ac:dyDescent="0.25">
      <c r="A1542" t="s">
        <v>226</v>
      </c>
      <c r="B1542" t="s">
        <v>22</v>
      </c>
      <c r="C1542" t="s">
        <v>34</v>
      </c>
      <c r="D1542" t="s">
        <v>13</v>
      </c>
      <c r="E1542" t="s">
        <v>30</v>
      </c>
      <c r="F1542" t="s">
        <v>26</v>
      </c>
      <c r="G1542">
        <v>6</v>
      </c>
      <c r="H1542">
        <v>57676</v>
      </c>
      <c r="I1542">
        <v>346056</v>
      </c>
      <c r="J1542" t="s">
        <v>16</v>
      </c>
    </row>
    <row r="1543" spans="1:10" x14ac:dyDescent="0.25">
      <c r="A1543" t="s">
        <v>115</v>
      </c>
      <c r="B1543" t="s">
        <v>22</v>
      </c>
      <c r="C1543" t="s">
        <v>38</v>
      </c>
      <c r="D1543" t="s">
        <v>44</v>
      </c>
      <c r="E1543" t="s">
        <v>25</v>
      </c>
      <c r="F1543" t="s">
        <v>15</v>
      </c>
      <c r="G1543">
        <v>6</v>
      </c>
      <c r="H1543">
        <v>20918</v>
      </c>
      <c r="I1543">
        <v>125508</v>
      </c>
      <c r="J1543" t="s">
        <v>27</v>
      </c>
    </row>
    <row r="1544" spans="1:10" x14ac:dyDescent="0.25">
      <c r="A1544" t="s">
        <v>281</v>
      </c>
      <c r="B1544" t="s">
        <v>11</v>
      </c>
      <c r="C1544" t="s">
        <v>38</v>
      </c>
      <c r="D1544" t="s">
        <v>48</v>
      </c>
      <c r="E1544" t="s">
        <v>25</v>
      </c>
      <c r="F1544" t="s">
        <v>26</v>
      </c>
      <c r="G1544">
        <v>7</v>
      </c>
      <c r="H1544">
        <v>31127</v>
      </c>
      <c r="I1544">
        <v>217889</v>
      </c>
      <c r="J1544" t="s">
        <v>36</v>
      </c>
    </row>
    <row r="1545" spans="1:10" x14ac:dyDescent="0.25">
      <c r="A1545" t="s">
        <v>262</v>
      </c>
      <c r="B1545" t="s">
        <v>33</v>
      </c>
      <c r="C1545" t="s">
        <v>34</v>
      </c>
      <c r="D1545" t="s">
        <v>44</v>
      </c>
      <c r="E1545" t="s">
        <v>19</v>
      </c>
      <c r="F1545" t="s">
        <v>26</v>
      </c>
      <c r="G1545">
        <v>3</v>
      </c>
      <c r="H1545">
        <v>25764</v>
      </c>
      <c r="I1545">
        <v>77292</v>
      </c>
      <c r="J1545" t="s">
        <v>27</v>
      </c>
    </row>
    <row r="1546" spans="1:10" x14ac:dyDescent="0.25">
      <c r="A1546" t="s">
        <v>249</v>
      </c>
      <c r="B1546" t="s">
        <v>22</v>
      </c>
      <c r="C1546" t="s">
        <v>29</v>
      </c>
      <c r="D1546" t="s">
        <v>48</v>
      </c>
      <c r="E1546" t="s">
        <v>19</v>
      </c>
      <c r="F1546" t="s">
        <v>26</v>
      </c>
      <c r="G1546">
        <v>10</v>
      </c>
      <c r="H1546">
        <v>22337</v>
      </c>
      <c r="I1546">
        <v>223370</v>
      </c>
      <c r="J1546" t="s">
        <v>36</v>
      </c>
    </row>
    <row r="1547" spans="1:10" x14ac:dyDescent="0.25">
      <c r="A1547" t="s">
        <v>101</v>
      </c>
      <c r="B1547" t="s">
        <v>33</v>
      </c>
      <c r="C1547" t="s">
        <v>34</v>
      </c>
      <c r="D1547" t="s">
        <v>39</v>
      </c>
      <c r="E1547" t="s">
        <v>35</v>
      </c>
      <c r="F1547" t="s">
        <v>15</v>
      </c>
      <c r="G1547">
        <v>13</v>
      </c>
      <c r="H1547">
        <v>29189</v>
      </c>
      <c r="I1547">
        <v>379457</v>
      </c>
      <c r="J1547" t="s">
        <v>16</v>
      </c>
    </row>
    <row r="1548" spans="1:10" x14ac:dyDescent="0.25">
      <c r="A1548" t="s">
        <v>358</v>
      </c>
      <c r="B1548" t="s">
        <v>22</v>
      </c>
      <c r="C1548" t="s">
        <v>29</v>
      </c>
      <c r="D1548" t="s">
        <v>48</v>
      </c>
      <c r="E1548" t="s">
        <v>25</v>
      </c>
      <c r="F1548" t="s">
        <v>26</v>
      </c>
      <c r="G1548">
        <v>7</v>
      </c>
      <c r="H1548">
        <v>20329</v>
      </c>
      <c r="I1548">
        <v>142303</v>
      </c>
      <c r="J1548" t="s">
        <v>20</v>
      </c>
    </row>
    <row r="1549" spans="1:10" x14ac:dyDescent="0.25">
      <c r="A1549" t="s">
        <v>366</v>
      </c>
      <c r="B1549" t="s">
        <v>42</v>
      </c>
      <c r="C1549" t="s">
        <v>12</v>
      </c>
      <c r="D1549" t="s">
        <v>44</v>
      </c>
      <c r="E1549" t="s">
        <v>14</v>
      </c>
      <c r="F1549" t="s">
        <v>26</v>
      </c>
      <c r="G1549">
        <v>18</v>
      </c>
      <c r="H1549">
        <v>27548</v>
      </c>
      <c r="I1549">
        <v>495864</v>
      </c>
      <c r="J1549" t="s">
        <v>20</v>
      </c>
    </row>
    <row r="1550" spans="1:10" x14ac:dyDescent="0.25">
      <c r="A1550" t="s">
        <v>302</v>
      </c>
      <c r="B1550" t="s">
        <v>33</v>
      </c>
      <c r="C1550" t="s">
        <v>38</v>
      </c>
      <c r="D1550" t="s">
        <v>24</v>
      </c>
      <c r="E1550" t="s">
        <v>35</v>
      </c>
      <c r="F1550" t="s">
        <v>40</v>
      </c>
      <c r="G1550">
        <v>1</v>
      </c>
      <c r="H1550">
        <v>30075</v>
      </c>
      <c r="I1550">
        <v>30075</v>
      </c>
      <c r="J1550" t="s">
        <v>27</v>
      </c>
    </row>
    <row r="1551" spans="1:10" x14ac:dyDescent="0.25">
      <c r="A1551" t="s">
        <v>202</v>
      </c>
      <c r="B1551" t="s">
        <v>18</v>
      </c>
      <c r="C1551" t="s">
        <v>29</v>
      </c>
      <c r="D1551" t="s">
        <v>39</v>
      </c>
      <c r="E1551" t="s">
        <v>30</v>
      </c>
      <c r="F1551" t="s">
        <v>15</v>
      </c>
      <c r="G1551">
        <v>3</v>
      </c>
      <c r="H1551">
        <v>26227</v>
      </c>
      <c r="I1551">
        <v>78681</v>
      </c>
      <c r="J1551" t="s">
        <v>27</v>
      </c>
    </row>
    <row r="1552" spans="1:10" x14ac:dyDescent="0.25">
      <c r="A1552" t="s">
        <v>109</v>
      </c>
      <c r="B1552" t="s">
        <v>33</v>
      </c>
      <c r="C1552" t="s">
        <v>12</v>
      </c>
      <c r="D1552" t="s">
        <v>13</v>
      </c>
      <c r="E1552" t="s">
        <v>25</v>
      </c>
      <c r="F1552" t="s">
        <v>26</v>
      </c>
      <c r="G1552">
        <v>18</v>
      </c>
      <c r="H1552">
        <v>23300</v>
      </c>
      <c r="I1552">
        <v>419400</v>
      </c>
      <c r="J1552" t="s">
        <v>20</v>
      </c>
    </row>
    <row r="1553" spans="1:10" x14ac:dyDescent="0.25">
      <c r="A1553" t="s">
        <v>267</v>
      </c>
      <c r="B1553" t="s">
        <v>33</v>
      </c>
      <c r="C1553" t="s">
        <v>38</v>
      </c>
      <c r="D1553" t="s">
        <v>44</v>
      </c>
      <c r="E1553" t="s">
        <v>25</v>
      </c>
      <c r="F1553" t="s">
        <v>40</v>
      </c>
      <c r="G1553">
        <v>13</v>
      </c>
      <c r="H1553">
        <v>46762</v>
      </c>
      <c r="I1553">
        <v>607906</v>
      </c>
      <c r="J1553" t="s">
        <v>36</v>
      </c>
    </row>
    <row r="1554" spans="1:10" x14ac:dyDescent="0.25">
      <c r="A1554" t="s">
        <v>181</v>
      </c>
      <c r="B1554" t="s">
        <v>11</v>
      </c>
      <c r="C1554" t="s">
        <v>29</v>
      </c>
      <c r="D1554" t="s">
        <v>48</v>
      </c>
      <c r="E1554" t="s">
        <v>25</v>
      </c>
      <c r="F1554" t="s">
        <v>26</v>
      </c>
      <c r="G1554">
        <v>15</v>
      </c>
      <c r="H1554">
        <v>40784</v>
      </c>
      <c r="I1554">
        <v>611760</v>
      </c>
      <c r="J1554" t="s">
        <v>20</v>
      </c>
    </row>
    <row r="1555" spans="1:10" x14ac:dyDescent="0.25">
      <c r="A1555" t="s">
        <v>100</v>
      </c>
      <c r="B1555" t="s">
        <v>18</v>
      </c>
      <c r="C1555" t="s">
        <v>34</v>
      </c>
      <c r="D1555" t="s">
        <v>24</v>
      </c>
      <c r="E1555" t="s">
        <v>30</v>
      </c>
      <c r="F1555" t="s">
        <v>40</v>
      </c>
      <c r="G1555">
        <v>13</v>
      </c>
      <c r="H1555">
        <v>47131</v>
      </c>
      <c r="I1555">
        <v>612703</v>
      </c>
      <c r="J1555" t="s">
        <v>27</v>
      </c>
    </row>
    <row r="1556" spans="1:10" x14ac:dyDescent="0.25">
      <c r="A1556" t="s">
        <v>227</v>
      </c>
      <c r="B1556" t="s">
        <v>22</v>
      </c>
      <c r="C1556" t="s">
        <v>34</v>
      </c>
      <c r="D1556" t="s">
        <v>44</v>
      </c>
      <c r="E1556" t="s">
        <v>30</v>
      </c>
      <c r="F1556" t="s">
        <v>26</v>
      </c>
      <c r="G1556">
        <v>17</v>
      </c>
      <c r="H1556">
        <v>58909</v>
      </c>
      <c r="I1556">
        <v>1001453</v>
      </c>
      <c r="J1556" t="s">
        <v>16</v>
      </c>
    </row>
    <row r="1557" spans="1:10" x14ac:dyDescent="0.25">
      <c r="A1557" t="s">
        <v>96</v>
      </c>
      <c r="B1557" t="s">
        <v>42</v>
      </c>
      <c r="C1557" t="s">
        <v>38</v>
      </c>
      <c r="D1557" t="s">
        <v>13</v>
      </c>
      <c r="E1557" t="s">
        <v>30</v>
      </c>
      <c r="F1557" t="s">
        <v>26</v>
      </c>
      <c r="G1557">
        <v>6</v>
      </c>
      <c r="H1557">
        <v>23544</v>
      </c>
      <c r="I1557">
        <v>141264</v>
      </c>
      <c r="J1557" t="s">
        <v>20</v>
      </c>
    </row>
    <row r="1558" spans="1:10" x14ac:dyDescent="0.25">
      <c r="A1558" t="s">
        <v>152</v>
      </c>
      <c r="B1558" t="s">
        <v>42</v>
      </c>
      <c r="C1558" t="s">
        <v>38</v>
      </c>
      <c r="D1558" t="s">
        <v>48</v>
      </c>
      <c r="E1558" t="s">
        <v>35</v>
      </c>
      <c r="F1558" t="s">
        <v>26</v>
      </c>
      <c r="G1558">
        <v>5</v>
      </c>
      <c r="H1558">
        <v>19540</v>
      </c>
      <c r="I1558">
        <v>97700</v>
      </c>
      <c r="J1558" t="s">
        <v>20</v>
      </c>
    </row>
    <row r="1559" spans="1:10" x14ac:dyDescent="0.25">
      <c r="A1559" t="s">
        <v>17</v>
      </c>
      <c r="B1559" t="s">
        <v>18</v>
      </c>
      <c r="C1559" t="s">
        <v>29</v>
      </c>
      <c r="D1559" t="s">
        <v>48</v>
      </c>
      <c r="E1559" t="s">
        <v>25</v>
      </c>
      <c r="F1559" t="s">
        <v>15</v>
      </c>
      <c r="G1559">
        <v>19</v>
      </c>
      <c r="H1559">
        <v>32583</v>
      </c>
      <c r="I1559">
        <v>619077</v>
      </c>
      <c r="J1559" t="s">
        <v>36</v>
      </c>
    </row>
    <row r="1560" spans="1:10" x14ac:dyDescent="0.25">
      <c r="A1560" t="s">
        <v>87</v>
      </c>
      <c r="B1560" t="s">
        <v>42</v>
      </c>
      <c r="C1560" t="s">
        <v>29</v>
      </c>
      <c r="D1560" t="s">
        <v>13</v>
      </c>
      <c r="E1560" t="s">
        <v>14</v>
      </c>
      <c r="F1560" t="s">
        <v>26</v>
      </c>
      <c r="G1560">
        <v>7</v>
      </c>
      <c r="H1560">
        <v>16519</v>
      </c>
      <c r="I1560">
        <v>115633</v>
      </c>
      <c r="J1560" t="s">
        <v>36</v>
      </c>
    </row>
    <row r="1561" spans="1:10" x14ac:dyDescent="0.25">
      <c r="A1561" t="s">
        <v>178</v>
      </c>
      <c r="B1561" t="s">
        <v>11</v>
      </c>
      <c r="C1561" t="s">
        <v>23</v>
      </c>
      <c r="D1561" t="s">
        <v>13</v>
      </c>
      <c r="E1561" t="s">
        <v>30</v>
      </c>
      <c r="F1561" t="s">
        <v>40</v>
      </c>
      <c r="G1561">
        <v>6</v>
      </c>
      <c r="H1561">
        <v>39511</v>
      </c>
      <c r="I1561">
        <v>237066</v>
      </c>
      <c r="J1561" t="s">
        <v>27</v>
      </c>
    </row>
    <row r="1562" spans="1:10" x14ac:dyDescent="0.25">
      <c r="A1562" t="s">
        <v>232</v>
      </c>
      <c r="B1562" t="s">
        <v>42</v>
      </c>
      <c r="C1562" t="s">
        <v>38</v>
      </c>
      <c r="D1562" t="s">
        <v>48</v>
      </c>
      <c r="E1562" t="s">
        <v>35</v>
      </c>
      <c r="F1562" t="s">
        <v>26</v>
      </c>
      <c r="G1562">
        <v>8</v>
      </c>
      <c r="H1562">
        <v>15352</v>
      </c>
      <c r="I1562">
        <v>122816</v>
      </c>
      <c r="J1562" t="s">
        <v>16</v>
      </c>
    </row>
    <row r="1563" spans="1:10" x14ac:dyDescent="0.25">
      <c r="A1563" t="s">
        <v>194</v>
      </c>
      <c r="B1563" t="s">
        <v>42</v>
      </c>
      <c r="C1563" t="s">
        <v>29</v>
      </c>
      <c r="D1563" t="s">
        <v>48</v>
      </c>
      <c r="E1563" t="s">
        <v>30</v>
      </c>
      <c r="F1563" t="s">
        <v>40</v>
      </c>
      <c r="G1563">
        <v>19</v>
      </c>
      <c r="H1563">
        <v>17064</v>
      </c>
      <c r="I1563">
        <v>324216</v>
      </c>
      <c r="J1563" t="s">
        <v>27</v>
      </c>
    </row>
    <row r="1564" spans="1:10" x14ac:dyDescent="0.25">
      <c r="A1564" t="s">
        <v>282</v>
      </c>
      <c r="B1564" t="s">
        <v>22</v>
      </c>
      <c r="C1564" t="s">
        <v>38</v>
      </c>
      <c r="D1564" t="s">
        <v>39</v>
      </c>
      <c r="E1564" t="s">
        <v>30</v>
      </c>
      <c r="F1564" t="s">
        <v>26</v>
      </c>
      <c r="G1564">
        <v>13</v>
      </c>
      <c r="H1564">
        <v>25758</v>
      </c>
      <c r="I1564">
        <v>334854</v>
      </c>
      <c r="J1564" t="s">
        <v>16</v>
      </c>
    </row>
    <row r="1565" spans="1:10" x14ac:dyDescent="0.25">
      <c r="A1565" t="s">
        <v>70</v>
      </c>
      <c r="B1565" t="s">
        <v>18</v>
      </c>
      <c r="C1565" t="s">
        <v>23</v>
      </c>
      <c r="D1565" t="s">
        <v>44</v>
      </c>
      <c r="E1565" t="s">
        <v>14</v>
      </c>
      <c r="F1565" t="s">
        <v>15</v>
      </c>
      <c r="G1565">
        <v>1</v>
      </c>
      <c r="H1565">
        <v>17773</v>
      </c>
      <c r="I1565">
        <v>17773</v>
      </c>
      <c r="J1565" t="s">
        <v>27</v>
      </c>
    </row>
    <row r="1566" spans="1:10" x14ac:dyDescent="0.25">
      <c r="A1566" t="s">
        <v>293</v>
      </c>
      <c r="B1566" t="s">
        <v>42</v>
      </c>
      <c r="C1566" t="s">
        <v>38</v>
      </c>
      <c r="D1566" t="s">
        <v>24</v>
      </c>
      <c r="E1566" t="s">
        <v>35</v>
      </c>
      <c r="F1566" t="s">
        <v>15</v>
      </c>
      <c r="G1566">
        <v>9</v>
      </c>
      <c r="H1566">
        <v>19967</v>
      </c>
      <c r="I1566">
        <v>179703</v>
      </c>
      <c r="J1566" t="s">
        <v>36</v>
      </c>
    </row>
    <row r="1567" spans="1:10" x14ac:dyDescent="0.25">
      <c r="A1567" t="s">
        <v>52</v>
      </c>
      <c r="B1567" t="s">
        <v>33</v>
      </c>
      <c r="C1567" t="s">
        <v>34</v>
      </c>
      <c r="D1567" t="s">
        <v>44</v>
      </c>
      <c r="E1567" t="s">
        <v>14</v>
      </c>
      <c r="F1567" t="s">
        <v>26</v>
      </c>
      <c r="G1567">
        <v>6</v>
      </c>
      <c r="H1567">
        <v>27883</v>
      </c>
      <c r="I1567">
        <v>167298</v>
      </c>
      <c r="J1567" t="s">
        <v>20</v>
      </c>
    </row>
    <row r="1568" spans="1:10" x14ac:dyDescent="0.25">
      <c r="A1568" t="s">
        <v>395</v>
      </c>
      <c r="B1568" t="s">
        <v>42</v>
      </c>
      <c r="C1568" t="s">
        <v>34</v>
      </c>
      <c r="D1568" t="s">
        <v>48</v>
      </c>
      <c r="E1568" t="s">
        <v>25</v>
      </c>
      <c r="F1568" t="s">
        <v>26</v>
      </c>
      <c r="G1568">
        <v>4</v>
      </c>
      <c r="H1568">
        <v>44921</v>
      </c>
      <c r="I1568">
        <v>179684</v>
      </c>
      <c r="J1568" t="s">
        <v>27</v>
      </c>
    </row>
    <row r="1569" spans="1:10" x14ac:dyDescent="0.25">
      <c r="A1569" t="s">
        <v>249</v>
      </c>
      <c r="B1569" t="s">
        <v>18</v>
      </c>
      <c r="C1569" t="s">
        <v>12</v>
      </c>
      <c r="D1569" t="s">
        <v>48</v>
      </c>
      <c r="E1569" t="s">
        <v>25</v>
      </c>
      <c r="F1569" t="s">
        <v>15</v>
      </c>
      <c r="G1569">
        <v>6</v>
      </c>
      <c r="H1569">
        <v>54936</v>
      </c>
      <c r="I1569">
        <v>329616</v>
      </c>
      <c r="J1569" t="s">
        <v>36</v>
      </c>
    </row>
    <row r="1570" spans="1:10" x14ac:dyDescent="0.25">
      <c r="A1570" t="s">
        <v>135</v>
      </c>
      <c r="B1570" t="s">
        <v>42</v>
      </c>
      <c r="C1570" t="s">
        <v>34</v>
      </c>
      <c r="D1570" t="s">
        <v>39</v>
      </c>
      <c r="E1570" t="s">
        <v>14</v>
      </c>
      <c r="F1570" t="s">
        <v>26</v>
      </c>
      <c r="G1570">
        <v>1</v>
      </c>
      <c r="H1570">
        <v>58920</v>
      </c>
      <c r="I1570">
        <v>58920</v>
      </c>
      <c r="J1570" t="s">
        <v>16</v>
      </c>
    </row>
    <row r="1571" spans="1:10" x14ac:dyDescent="0.25">
      <c r="A1571" t="s">
        <v>105</v>
      </c>
      <c r="B1571" t="s">
        <v>11</v>
      </c>
      <c r="C1571" t="s">
        <v>38</v>
      </c>
      <c r="D1571" t="s">
        <v>48</v>
      </c>
      <c r="E1571" t="s">
        <v>30</v>
      </c>
      <c r="F1571" t="s">
        <v>26</v>
      </c>
      <c r="G1571">
        <v>7</v>
      </c>
      <c r="H1571">
        <v>53156</v>
      </c>
      <c r="I1571">
        <v>372092</v>
      </c>
      <c r="J1571" t="s">
        <v>16</v>
      </c>
    </row>
    <row r="1572" spans="1:10" x14ac:dyDescent="0.25">
      <c r="A1572" t="s">
        <v>188</v>
      </c>
      <c r="B1572" t="s">
        <v>42</v>
      </c>
      <c r="C1572" t="s">
        <v>34</v>
      </c>
      <c r="D1572" t="s">
        <v>13</v>
      </c>
      <c r="E1572" t="s">
        <v>35</v>
      </c>
      <c r="F1572" t="s">
        <v>15</v>
      </c>
      <c r="G1572">
        <v>20</v>
      </c>
      <c r="H1572">
        <v>41799</v>
      </c>
      <c r="I1572">
        <v>835980</v>
      </c>
      <c r="J1572" t="s">
        <v>20</v>
      </c>
    </row>
    <row r="1573" spans="1:10" x14ac:dyDescent="0.25">
      <c r="A1573" t="s">
        <v>62</v>
      </c>
      <c r="B1573" t="s">
        <v>22</v>
      </c>
      <c r="C1573" t="s">
        <v>12</v>
      </c>
      <c r="D1573" t="s">
        <v>39</v>
      </c>
      <c r="E1573" t="s">
        <v>35</v>
      </c>
      <c r="F1573" t="s">
        <v>15</v>
      </c>
      <c r="G1573">
        <v>10</v>
      </c>
      <c r="H1573">
        <v>18294</v>
      </c>
      <c r="I1573">
        <v>182940</v>
      </c>
      <c r="J1573" t="s">
        <v>27</v>
      </c>
    </row>
    <row r="1574" spans="1:10" x14ac:dyDescent="0.25">
      <c r="A1574" t="s">
        <v>221</v>
      </c>
      <c r="B1574" t="s">
        <v>22</v>
      </c>
      <c r="C1574" t="s">
        <v>12</v>
      </c>
      <c r="D1574" t="s">
        <v>44</v>
      </c>
      <c r="E1574" t="s">
        <v>19</v>
      </c>
      <c r="F1574" t="s">
        <v>26</v>
      </c>
      <c r="G1574">
        <v>12</v>
      </c>
      <c r="H1574">
        <v>30384</v>
      </c>
      <c r="I1574">
        <v>364608</v>
      </c>
      <c r="J1574" t="s">
        <v>20</v>
      </c>
    </row>
    <row r="1575" spans="1:10" x14ac:dyDescent="0.25">
      <c r="A1575" t="s">
        <v>207</v>
      </c>
      <c r="B1575" t="s">
        <v>42</v>
      </c>
      <c r="C1575" t="s">
        <v>38</v>
      </c>
      <c r="D1575" t="s">
        <v>39</v>
      </c>
      <c r="E1575" t="s">
        <v>35</v>
      </c>
      <c r="F1575" t="s">
        <v>26</v>
      </c>
      <c r="G1575">
        <v>6</v>
      </c>
      <c r="H1575">
        <v>57091</v>
      </c>
      <c r="I1575">
        <v>342546</v>
      </c>
      <c r="J1575" t="s">
        <v>27</v>
      </c>
    </row>
    <row r="1576" spans="1:10" x14ac:dyDescent="0.25">
      <c r="A1576" t="s">
        <v>386</v>
      </c>
      <c r="B1576" t="s">
        <v>22</v>
      </c>
      <c r="C1576" t="s">
        <v>38</v>
      </c>
      <c r="D1576" t="s">
        <v>24</v>
      </c>
      <c r="E1576" t="s">
        <v>30</v>
      </c>
      <c r="F1576" t="s">
        <v>40</v>
      </c>
      <c r="G1576">
        <v>12</v>
      </c>
      <c r="H1576">
        <v>26717</v>
      </c>
      <c r="I1576">
        <v>320604</v>
      </c>
      <c r="J1576" t="s">
        <v>36</v>
      </c>
    </row>
    <row r="1577" spans="1:10" x14ac:dyDescent="0.25">
      <c r="A1577" t="s">
        <v>189</v>
      </c>
      <c r="B1577" t="s">
        <v>42</v>
      </c>
      <c r="C1577" t="s">
        <v>38</v>
      </c>
      <c r="D1577" t="s">
        <v>44</v>
      </c>
      <c r="E1577" t="s">
        <v>25</v>
      </c>
      <c r="F1577" t="s">
        <v>15</v>
      </c>
      <c r="G1577">
        <v>19</v>
      </c>
      <c r="H1577">
        <v>54384</v>
      </c>
      <c r="I1577">
        <v>1033296</v>
      </c>
      <c r="J1577" t="s">
        <v>16</v>
      </c>
    </row>
    <row r="1578" spans="1:10" x14ac:dyDescent="0.25">
      <c r="A1578" t="s">
        <v>381</v>
      </c>
      <c r="B1578" t="s">
        <v>22</v>
      </c>
      <c r="C1578" t="s">
        <v>38</v>
      </c>
      <c r="D1578" t="s">
        <v>39</v>
      </c>
      <c r="E1578" t="s">
        <v>25</v>
      </c>
      <c r="F1578" t="s">
        <v>40</v>
      </c>
      <c r="G1578">
        <v>19</v>
      </c>
      <c r="H1578">
        <v>25850</v>
      </c>
      <c r="I1578">
        <v>491150</v>
      </c>
      <c r="J1578" t="s">
        <v>16</v>
      </c>
    </row>
    <row r="1579" spans="1:10" x14ac:dyDescent="0.25">
      <c r="A1579" t="s">
        <v>352</v>
      </c>
      <c r="B1579" t="s">
        <v>33</v>
      </c>
      <c r="C1579" t="s">
        <v>34</v>
      </c>
      <c r="D1579" t="s">
        <v>24</v>
      </c>
      <c r="E1579" t="s">
        <v>19</v>
      </c>
      <c r="F1579" t="s">
        <v>15</v>
      </c>
      <c r="G1579">
        <v>20</v>
      </c>
      <c r="H1579">
        <v>24083</v>
      </c>
      <c r="I1579">
        <v>481660</v>
      </c>
      <c r="J1579" t="s">
        <v>27</v>
      </c>
    </row>
    <row r="1580" spans="1:10" x14ac:dyDescent="0.25">
      <c r="A1580" t="s">
        <v>381</v>
      </c>
      <c r="B1580" t="s">
        <v>33</v>
      </c>
      <c r="C1580" t="s">
        <v>23</v>
      </c>
      <c r="D1580" t="s">
        <v>44</v>
      </c>
      <c r="E1580" t="s">
        <v>14</v>
      </c>
      <c r="F1580" t="s">
        <v>40</v>
      </c>
      <c r="G1580">
        <v>11</v>
      </c>
      <c r="H1580">
        <v>32543</v>
      </c>
      <c r="I1580">
        <v>357973</v>
      </c>
      <c r="J1580" t="s">
        <v>27</v>
      </c>
    </row>
    <row r="1581" spans="1:10" x14ac:dyDescent="0.25">
      <c r="A1581" t="s">
        <v>286</v>
      </c>
      <c r="B1581" t="s">
        <v>22</v>
      </c>
      <c r="C1581" t="s">
        <v>34</v>
      </c>
      <c r="D1581" t="s">
        <v>44</v>
      </c>
      <c r="E1581" t="s">
        <v>14</v>
      </c>
      <c r="F1581" t="s">
        <v>26</v>
      </c>
      <c r="G1581">
        <v>5</v>
      </c>
      <c r="H1581">
        <v>30206</v>
      </c>
      <c r="I1581">
        <v>151030</v>
      </c>
      <c r="J1581" t="s">
        <v>16</v>
      </c>
    </row>
    <row r="1582" spans="1:10" x14ac:dyDescent="0.25">
      <c r="A1582" t="s">
        <v>77</v>
      </c>
      <c r="B1582" t="s">
        <v>18</v>
      </c>
      <c r="C1582" t="s">
        <v>34</v>
      </c>
      <c r="D1582" t="s">
        <v>24</v>
      </c>
      <c r="E1582" t="s">
        <v>19</v>
      </c>
      <c r="F1582" t="s">
        <v>15</v>
      </c>
      <c r="G1582">
        <v>4</v>
      </c>
      <c r="H1582">
        <v>49357</v>
      </c>
      <c r="I1582">
        <v>197428</v>
      </c>
      <c r="J1582" t="s">
        <v>36</v>
      </c>
    </row>
    <row r="1583" spans="1:10" x14ac:dyDescent="0.25">
      <c r="A1583" t="s">
        <v>266</v>
      </c>
      <c r="B1583" t="s">
        <v>33</v>
      </c>
      <c r="C1583" t="s">
        <v>23</v>
      </c>
      <c r="D1583" t="s">
        <v>48</v>
      </c>
      <c r="E1583" t="s">
        <v>25</v>
      </c>
      <c r="F1583" t="s">
        <v>40</v>
      </c>
      <c r="G1583">
        <v>3</v>
      </c>
      <c r="H1583">
        <v>30393</v>
      </c>
      <c r="I1583">
        <v>91179</v>
      </c>
      <c r="J1583" t="s">
        <v>16</v>
      </c>
    </row>
    <row r="1584" spans="1:10" x14ac:dyDescent="0.25">
      <c r="A1584" t="s">
        <v>190</v>
      </c>
      <c r="B1584" t="s">
        <v>33</v>
      </c>
      <c r="C1584" t="s">
        <v>12</v>
      </c>
      <c r="D1584" t="s">
        <v>39</v>
      </c>
      <c r="E1584" t="s">
        <v>25</v>
      </c>
      <c r="F1584" t="s">
        <v>40</v>
      </c>
      <c r="G1584">
        <v>6</v>
      </c>
      <c r="H1584">
        <v>49966</v>
      </c>
      <c r="I1584">
        <v>299796</v>
      </c>
      <c r="J1584" t="s">
        <v>36</v>
      </c>
    </row>
    <row r="1585" spans="1:10" x14ac:dyDescent="0.25">
      <c r="A1585" t="s">
        <v>315</v>
      </c>
      <c r="B1585" t="s">
        <v>33</v>
      </c>
      <c r="C1585" t="s">
        <v>38</v>
      </c>
      <c r="D1585" t="s">
        <v>39</v>
      </c>
      <c r="E1585" t="s">
        <v>30</v>
      </c>
      <c r="F1585" t="s">
        <v>26</v>
      </c>
      <c r="G1585">
        <v>13</v>
      </c>
      <c r="H1585">
        <v>25207</v>
      </c>
      <c r="I1585">
        <v>327691</v>
      </c>
      <c r="J1585" t="s">
        <v>36</v>
      </c>
    </row>
    <row r="1586" spans="1:10" x14ac:dyDescent="0.25">
      <c r="A1586" t="s">
        <v>154</v>
      </c>
      <c r="B1586" t="s">
        <v>22</v>
      </c>
      <c r="C1586" t="s">
        <v>38</v>
      </c>
      <c r="D1586" t="s">
        <v>48</v>
      </c>
      <c r="E1586" t="s">
        <v>30</v>
      </c>
      <c r="F1586" t="s">
        <v>26</v>
      </c>
      <c r="G1586">
        <v>7</v>
      </c>
      <c r="H1586">
        <v>22990</v>
      </c>
      <c r="I1586">
        <v>160930</v>
      </c>
      <c r="J1586" t="s">
        <v>16</v>
      </c>
    </row>
    <row r="1587" spans="1:10" x14ac:dyDescent="0.25">
      <c r="A1587" t="s">
        <v>297</v>
      </c>
      <c r="B1587" t="s">
        <v>18</v>
      </c>
      <c r="C1587" t="s">
        <v>23</v>
      </c>
      <c r="D1587" t="s">
        <v>48</v>
      </c>
      <c r="E1587" t="s">
        <v>30</v>
      </c>
      <c r="F1587" t="s">
        <v>40</v>
      </c>
      <c r="G1587">
        <v>8</v>
      </c>
      <c r="H1587">
        <v>47633</v>
      </c>
      <c r="I1587">
        <v>381064</v>
      </c>
      <c r="J1587" t="s">
        <v>20</v>
      </c>
    </row>
    <row r="1588" spans="1:10" x14ac:dyDescent="0.25">
      <c r="A1588" t="s">
        <v>46</v>
      </c>
      <c r="B1588" t="s">
        <v>18</v>
      </c>
      <c r="C1588" t="s">
        <v>23</v>
      </c>
      <c r="D1588" t="s">
        <v>48</v>
      </c>
      <c r="E1588" t="s">
        <v>19</v>
      </c>
      <c r="F1588" t="s">
        <v>15</v>
      </c>
      <c r="G1588">
        <v>17</v>
      </c>
      <c r="H1588">
        <v>28387</v>
      </c>
      <c r="I1588">
        <v>482579</v>
      </c>
      <c r="J1588" t="s">
        <v>36</v>
      </c>
    </row>
    <row r="1589" spans="1:10" x14ac:dyDescent="0.25">
      <c r="A1589" t="s">
        <v>262</v>
      </c>
      <c r="B1589" t="s">
        <v>11</v>
      </c>
      <c r="C1589" t="s">
        <v>38</v>
      </c>
      <c r="D1589" t="s">
        <v>44</v>
      </c>
      <c r="E1589" t="s">
        <v>14</v>
      </c>
      <c r="F1589" t="s">
        <v>15</v>
      </c>
      <c r="G1589">
        <v>3</v>
      </c>
      <c r="H1589">
        <v>48629</v>
      </c>
      <c r="I1589">
        <v>145887</v>
      </c>
      <c r="J1589" t="s">
        <v>16</v>
      </c>
    </row>
    <row r="1590" spans="1:10" x14ac:dyDescent="0.25">
      <c r="A1590" t="s">
        <v>281</v>
      </c>
      <c r="B1590" t="s">
        <v>22</v>
      </c>
      <c r="C1590" t="s">
        <v>34</v>
      </c>
      <c r="D1590" t="s">
        <v>24</v>
      </c>
      <c r="E1590" t="s">
        <v>25</v>
      </c>
      <c r="F1590" t="s">
        <v>15</v>
      </c>
      <c r="G1590">
        <v>11</v>
      </c>
      <c r="H1590">
        <v>25646</v>
      </c>
      <c r="I1590">
        <v>282106</v>
      </c>
      <c r="J1590" t="s">
        <v>20</v>
      </c>
    </row>
    <row r="1591" spans="1:10" x14ac:dyDescent="0.25">
      <c r="A1591" t="s">
        <v>205</v>
      </c>
      <c r="B1591" t="s">
        <v>11</v>
      </c>
      <c r="C1591" t="s">
        <v>34</v>
      </c>
      <c r="D1591" t="s">
        <v>44</v>
      </c>
      <c r="E1591" t="s">
        <v>14</v>
      </c>
      <c r="F1591" t="s">
        <v>26</v>
      </c>
      <c r="G1591">
        <v>7</v>
      </c>
      <c r="H1591">
        <v>47544</v>
      </c>
      <c r="I1591">
        <v>332808</v>
      </c>
      <c r="J1591" t="s">
        <v>27</v>
      </c>
    </row>
    <row r="1592" spans="1:10" x14ac:dyDescent="0.25">
      <c r="A1592" t="s">
        <v>214</v>
      </c>
      <c r="B1592" t="s">
        <v>22</v>
      </c>
      <c r="C1592" t="s">
        <v>23</v>
      </c>
      <c r="D1592" t="s">
        <v>39</v>
      </c>
      <c r="E1592" t="s">
        <v>19</v>
      </c>
      <c r="F1592" t="s">
        <v>15</v>
      </c>
      <c r="G1592">
        <v>5</v>
      </c>
      <c r="H1592">
        <v>58467</v>
      </c>
      <c r="I1592">
        <v>292335</v>
      </c>
      <c r="J1592" t="s">
        <v>36</v>
      </c>
    </row>
    <row r="1593" spans="1:10" x14ac:dyDescent="0.25">
      <c r="A1593" t="s">
        <v>195</v>
      </c>
      <c r="B1593" t="s">
        <v>11</v>
      </c>
      <c r="C1593" t="s">
        <v>34</v>
      </c>
      <c r="D1593" t="s">
        <v>48</v>
      </c>
      <c r="E1593" t="s">
        <v>30</v>
      </c>
      <c r="F1593" t="s">
        <v>26</v>
      </c>
      <c r="G1593">
        <v>12</v>
      </c>
      <c r="H1593">
        <v>33781</v>
      </c>
      <c r="I1593">
        <v>405372</v>
      </c>
      <c r="J1593" t="s">
        <v>16</v>
      </c>
    </row>
    <row r="1594" spans="1:10" x14ac:dyDescent="0.25">
      <c r="A1594" t="s">
        <v>396</v>
      </c>
      <c r="B1594" t="s">
        <v>22</v>
      </c>
      <c r="C1594" t="s">
        <v>29</v>
      </c>
      <c r="D1594" t="s">
        <v>48</v>
      </c>
      <c r="E1594" t="s">
        <v>35</v>
      </c>
      <c r="F1594" t="s">
        <v>26</v>
      </c>
      <c r="G1594">
        <v>11</v>
      </c>
      <c r="H1594">
        <v>27305</v>
      </c>
      <c r="I1594">
        <v>300355</v>
      </c>
      <c r="J1594" t="s">
        <v>36</v>
      </c>
    </row>
    <row r="1595" spans="1:10" x14ac:dyDescent="0.25">
      <c r="A1595" t="s">
        <v>182</v>
      </c>
      <c r="B1595" t="s">
        <v>18</v>
      </c>
      <c r="C1595" t="s">
        <v>23</v>
      </c>
      <c r="D1595" t="s">
        <v>24</v>
      </c>
      <c r="E1595" t="s">
        <v>19</v>
      </c>
      <c r="F1595" t="s">
        <v>15</v>
      </c>
      <c r="G1595">
        <v>10</v>
      </c>
      <c r="H1595">
        <v>48740</v>
      </c>
      <c r="I1595">
        <v>487400</v>
      </c>
      <c r="J1595" t="s">
        <v>16</v>
      </c>
    </row>
    <row r="1596" spans="1:10" x14ac:dyDescent="0.25">
      <c r="A1596" t="s">
        <v>324</v>
      </c>
      <c r="B1596" t="s">
        <v>33</v>
      </c>
      <c r="C1596" t="s">
        <v>38</v>
      </c>
      <c r="D1596" t="s">
        <v>39</v>
      </c>
      <c r="E1596" t="s">
        <v>14</v>
      </c>
      <c r="F1596" t="s">
        <v>15</v>
      </c>
      <c r="G1596">
        <v>9</v>
      </c>
      <c r="H1596">
        <v>39689</v>
      </c>
      <c r="I1596">
        <v>357201</v>
      </c>
      <c r="J1596" t="s">
        <v>27</v>
      </c>
    </row>
    <row r="1597" spans="1:10" x14ac:dyDescent="0.25">
      <c r="A1597" t="s">
        <v>232</v>
      </c>
      <c r="B1597" t="s">
        <v>18</v>
      </c>
      <c r="C1597" t="s">
        <v>12</v>
      </c>
      <c r="D1597" t="s">
        <v>48</v>
      </c>
      <c r="E1597" t="s">
        <v>30</v>
      </c>
      <c r="F1597" t="s">
        <v>15</v>
      </c>
      <c r="G1597">
        <v>17</v>
      </c>
      <c r="H1597">
        <v>33601</v>
      </c>
      <c r="I1597">
        <v>571217</v>
      </c>
      <c r="J1597" t="s">
        <v>36</v>
      </c>
    </row>
    <row r="1598" spans="1:10" x14ac:dyDescent="0.25">
      <c r="A1598" t="s">
        <v>193</v>
      </c>
      <c r="B1598" t="s">
        <v>22</v>
      </c>
      <c r="C1598" t="s">
        <v>34</v>
      </c>
      <c r="D1598" t="s">
        <v>13</v>
      </c>
      <c r="E1598" t="s">
        <v>19</v>
      </c>
      <c r="F1598" t="s">
        <v>26</v>
      </c>
      <c r="G1598">
        <v>2</v>
      </c>
      <c r="H1598">
        <v>16363</v>
      </c>
      <c r="I1598">
        <v>32726</v>
      </c>
      <c r="J1598" t="s">
        <v>27</v>
      </c>
    </row>
    <row r="1599" spans="1:10" x14ac:dyDescent="0.25">
      <c r="A1599" t="s">
        <v>164</v>
      </c>
      <c r="B1599" t="s">
        <v>33</v>
      </c>
      <c r="C1599" t="s">
        <v>12</v>
      </c>
      <c r="D1599" t="s">
        <v>13</v>
      </c>
      <c r="E1599" t="s">
        <v>14</v>
      </c>
      <c r="F1599" t="s">
        <v>15</v>
      </c>
      <c r="G1599">
        <v>17</v>
      </c>
      <c r="H1599">
        <v>56285</v>
      </c>
      <c r="I1599">
        <v>956845</v>
      </c>
      <c r="J1599" t="s">
        <v>16</v>
      </c>
    </row>
    <row r="1600" spans="1:10" x14ac:dyDescent="0.25">
      <c r="A1600" t="s">
        <v>264</v>
      </c>
      <c r="B1600" t="s">
        <v>33</v>
      </c>
      <c r="C1600" t="s">
        <v>23</v>
      </c>
      <c r="D1600" t="s">
        <v>48</v>
      </c>
      <c r="E1600" t="s">
        <v>25</v>
      </c>
      <c r="F1600" t="s">
        <v>40</v>
      </c>
      <c r="G1600">
        <v>20</v>
      </c>
      <c r="H1600">
        <v>49081</v>
      </c>
      <c r="I1600">
        <v>981620</v>
      </c>
      <c r="J1600" t="s">
        <v>20</v>
      </c>
    </row>
    <row r="1601" spans="1:10" x14ac:dyDescent="0.25">
      <c r="A1601" t="s">
        <v>60</v>
      </c>
      <c r="B1601" t="s">
        <v>11</v>
      </c>
      <c r="C1601" t="s">
        <v>12</v>
      </c>
      <c r="D1601" t="s">
        <v>48</v>
      </c>
      <c r="E1601" t="s">
        <v>35</v>
      </c>
      <c r="F1601" t="s">
        <v>26</v>
      </c>
      <c r="G1601">
        <v>15</v>
      </c>
      <c r="H1601">
        <v>30453</v>
      </c>
      <c r="I1601">
        <v>456795</v>
      </c>
      <c r="J1601" t="s">
        <v>20</v>
      </c>
    </row>
    <row r="1602" spans="1:10" x14ac:dyDescent="0.25">
      <c r="A1602" t="s">
        <v>208</v>
      </c>
      <c r="B1602" t="s">
        <v>22</v>
      </c>
      <c r="C1602" t="s">
        <v>12</v>
      </c>
      <c r="D1602" t="s">
        <v>44</v>
      </c>
      <c r="E1602" t="s">
        <v>14</v>
      </c>
      <c r="F1602" t="s">
        <v>40</v>
      </c>
      <c r="G1602">
        <v>11</v>
      </c>
      <c r="H1602">
        <v>41784</v>
      </c>
      <c r="I1602">
        <v>459624</v>
      </c>
      <c r="J1602" t="s">
        <v>36</v>
      </c>
    </row>
    <row r="1603" spans="1:10" x14ac:dyDescent="0.25">
      <c r="A1603" t="s">
        <v>322</v>
      </c>
      <c r="B1603" t="s">
        <v>33</v>
      </c>
      <c r="C1603" t="s">
        <v>34</v>
      </c>
      <c r="D1603" t="s">
        <v>39</v>
      </c>
      <c r="E1603" t="s">
        <v>25</v>
      </c>
      <c r="F1603" t="s">
        <v>40</v>
      </c>
      <c r="G1603">
        <v>9</v>
      </c>
      <c r="H1603">
        <v>26889</v>
      </c>
      <c r="I1603">
        <v>242001</v>
      </c>
      <c r="J1603" t="s">
        <v>27</v>
      </c>
    </row>
    <row r="1604" spans="1:10" x14ac:dyDescent="0.25">
      <c r="A1604" t="s">
        <v>153</v>
      </c>
      <c r="B1604" t="s">
        <v>18</v>
      </c>
      <c r="C1604" t="s">
        <v>29</v>
      </c>
      <c r="D1604" t="s">
        <v>13</v>
      </c>
      <c r="E1604" t="s">
        <v>25</v>
      </c>
      <c r="F1604" t="s">
        <v>40</v>
      </c>
      <c r="G1604">
        <v>5</v>
      </c>
      <c r="H1604">
        <v>46806</v>
      </c>
      <c r="I1604">
        <v>234030</v>
      </c>
      <c r="J1604" t="s">
        <v>20</v>
      </c>
    </row>
    <row r="1605" spans="1:10" x14ac:dyDescent="0.25">
      <c r="A1605" t="s">
        <v>32</v>
      </c>
      <c r="B1605" t="s">
        <v>22</v>
      </c>
      <c r="C1605" t="s">
        <v>12</v>
      </c>
      <c r="D1605" t="s">
        <v>24</v>
      </c>
      <c r="E1605" t="s">
        <v>25</v>
      </c>
      <c r="F1605" t="s">
        <v>40</v>
      </c>
      <c r="G1605">
        <v>13</v>
      </c>
      <c r="H1605">
        <v>32901</v>
      </c>
      <c r="I1605">
        <v>427713</v>
      </c>
      <c r="J1605" t="s">
        <v>27</v>
      </c>
    </row>
    <row r="1606" spans="1:10" x14ac:dyDescent="0.25">
      <c r="A1606" t="s">
        <v>205</v>
      </c>
      <c r="B1606" t="s">
        <v>42</v>
      </c>
      <c r="C1606" t="s">
        <v>12</v>
      </c>
      <c r="D1606" t="s">
        <v>44</v>
      </c>
      <c r="E1606" t="s">
        <v>14</v>
      </c>
      <c r="F1606" t="s">
        <v>15</v>
      </c>
      <c r="G1606">
        <v>11</v>
      </c>
      <c r="H1606">
        <v>49406</v>
      </c>
      <c r="I1606">
        <v>543466</v>
      </c>
      <c r="J1606" t="s">
        <v>27</v>
      </c>
    </row>
    <row r="1607" spans="1:10" x14ac:dyDescent="0.25">
      <c r="A1607" t="s">
        <v>185</v>
      </c>
      <c r="B1607" t="s">
        <v>22</v>
      </c>
      <c r="C1607" t="s">
        <v>29</v>
      </c>
      <c r="D1607" t="s">
        <v>24</v>
      </c>
      <c r="E1607" t="s">
        <v>30</v>
      </c>
      <c r="F1607" t="s">
        <v>15</v>
      </c>
      <c r="G1607">
        <v>4</v>
      </c>
      <c r="H1607">
        <v>38226</v>
      </c>
      <c r="I1607">
        <v>152904</v>
      </c>
      <c r="J1607" t="s">
        <v>20</v>
      </c>
    </row>
    <row r="1608" spans="1:10" x14ac:dyDescent="0.25">
      <c r="A1608" t="s">
        <v>249</v>
      </c>
      <c r="B1608" t="s">
        <v>11</v>
      </c>
      <c r="C1608" t="s">
        <v>12</v>
      </c>
      <c r="D1608" t="s">
        <v>24</v>
      </c>
      <c r="E1608" t="s">
        <v>35</v>
      </c>
      <c r="F1608" t="s">
        <v>40</v>
      </c>
      <c r="G1608">
        <v>6</v>
      </c>
      <c r="H1608">
        <v>53875</v>
      </c>
      <c r="I1608">
        <v>323250</v>
      </c>
      <c r="J1608" t="s">
        <v>27</v>
      </c>
    </row>
    <row r="1609" spans="1:10" x14ac:dyDescent="0.25">
      <c r="A1609" t="s">
        <v>179</v>
      </c>
      <c r="B1609" t="s">
        <v>22</v>
      </c>
      <c r="C1609" t="s">
        <v>29</v>
      </c>
      <c r="D1609" t="s">
        <v>13</v>
      </c>
      <c r="E1609" t="s">
        <v>14</v>
      </c>
      <c r="F1609" t="s">
        <v>26</v>
      </c>
      <c r="G1609">
        <v>14</v>
      </c>
      <c r="H1609">
        <v>59076</v>
      </c>
      <c r="I1609">
        <v>827064</v>
      </c>
      <c r="J1609" t="s">
        <v>16</v>
      </c>
    </row>
    <row r="1610" spans="1:10" x14ac:dyDescent="0.25">
      <c r="A1610" t="s">
        <v>94</v>
      </c>
      <c r="B1610" t="s">
        <v>42</v>
      </c>
      <c r="C1610" t="s">
        <v>12</v>
      </c>
      <c r="D1610" t="s">
        <v>44</v>
      </c>
      <c r="E1610" t="s">
        <v>14</v>
      </c>
      <c r="F1610" t="s">
        <v>40</v>
      </c>
      <c r="G1610">
        <v>2</v>
      </c>
      <c r="H1610">
        <v>56747</v>
      </c>
      <c r="I1610">
        <v>113494</v>
      </c>
      <c r="J1610" t="s">
        <v>36</v>
      </c>
    </row>
    <row r="1611" spans="1:10" x14ac:dyDescent="0.25">
      <c r="A1611" t="s">
        <v>136</v>
      </c>
      <c r="B1611" t="s">
        <v>42</v>
      </c>
      <c r="C1611" t="s">
        <v>23</v>
      </c>
      <c r="D1611" t="s">
        <v>48</v>
      </c>
      <c r="E1611" t="s">
        <v>30</v>
      </c>
      <c r="F1611" t="s">
        <v>40</v>
      </c>
      <c r="G1611">
        <v>4</v>
      </c>
      <c r="H1611">
        <v>17867</v>
      </c>
      <c r="I1611">
        <v>71468</v>
      </c>
      <c r="J1611" t="s">
        <v>27</v>
      </c>
    </row>
    <row r="1612" spans="1:10" x14ac:dyDescent="0.25">
      <c r="A1612" t="s">
        <v>297</v>
      </c>
      <c r="B1612" t="s">
        <v>22</v>
      </c>
      <c r="C1612" t="s">
        <v>34</v>
      </c>
      <c r="D1612" t="s">
        <v>13</v>
      </c>
      <c r="E1612" t="s">
        <v>25</v>
      </c>
      <c r="F1612" t="s">
        <v>40</v>
      </c>
      <c r="G1612">
        <v>19</v>
      </c>
      <c r="H1612">
        <v>30681</v>
      </c>
      <c r="I1612">
        <v>582939</v>
      </c>
      <c r="J1612" t="s">
        <v>16</v>
      </c>
    </row>
    <row r="1613" spans="1:10" x14ac:dyDescent="0.25">
      <c r="A1613" t="s">
        <v>119</v>
      </c>
      <c r="B1613" t="s">
        <v>18</v>
      </c>
      <c r="C1613" t="s">
        <v>23</v>
      </c>
      <c r="D1613" t="s">
        <v>39</v>
      </c>
      <c r="E1613" t="s">
        <v>19</v>
      </c>
      <c r="F1613" t="s">
        <v>26</v>
      </c>
      <c r="G1613">
        <v>1</v>
      </c>
      <c r="H1613">
        <v>35134</v>
      </c>
      <c r="I1613">
        <v>35134</v>
      </c>
      <c r="J1613" t="s">
        <v>27</v>
      </c>
    </row>
    <row r="1614" spans="1:10" x14ac:dyDescent="0.25">
      <c r="A1614" t="s">
        <v>190</v>
      </c>
      <c r="B1614" t="s">
        <v>18</v>
      </c>
      <c r="C1614" t="s">
        <v>12</v>
      </c>
      <c r="D1614" t="s">
        <v>44</v>
      </c>
      <c r="E1614" t="s">
        <v>30</v>
      </c>
      <c r="F1614" t="s">
        <v>26</v>
      </c>
      <c r="G1614">
        <v>15</v>
      </c>
      <c r="H1614">
        <v>15807</v>
      </c>
      <c r="I1614">
        <v>237105</v>
      </c>
      <c r="J1614" t="s">
        <v>20</v>
      </c>
    </row>
    <row r="1615" spans="1:10" x14ac:dyDescent="0.25">
      <c r="A1615" t="s">
        <v>136</v>
      </c>
      <c r="B1615" t="s">
        <v>22</v>
      </c>
      <c r="C1615" t="s">
        <v>34</v>
      </c>
      <c r="D1615" t="s">
        <v>24</v>
      </c>
      <c r="E1615" t="s">
        <v>35</v>
      </c>
      <c r="F1615" t="s">
        <v>40</v>
      </c>
      <c r="G1615">
        <v>13</v>
      </c>
      <c r="H1615">
        <v>48338</v>
      </c>
      <c r="I1615">
        <v>628394</v>
      </c>
      <c r="J1615" t="s">
        <v>20</v>
      </c>
    </row>
    <row r="1616" spans="1:10" x14ac:dyDescent="0.25">
      <c r="A1616" t="s">
        <v>89</v>
      </c>
      <c r="B1616" t="s">
        <v>18</v>
      </c>
      <c r="C1616" t="s">
        <v>23</v>
      </c>
      <c r="D1616" t="s">
        <v>39</v>
      </c>
      <c r="E1616" t="s">
        <v>25</v>
      </c>
      <c r="F1616" t="s">
        <v>40</v>
      </c>
      <c r="G1616">
        <v>3</v>
      </c>
      <c r="H1616">
        <v>50768</v>
      </c>
      <c r="I1616">
        <v>152304</v>
      </c>
      <c r="J1616" t="s">
        <v>16</v>
      </c>
    </row>
    <row r="1617" spans="1:10" x14ac:dyDescent="0.25">
      <c r="A1617" t="s">
        <v>118</v>
      </c>
      <c r="B1617" t="s">
        <v>22</v>
      </c>
      <c r="C1617" t="s">
        <v>12</v>
      </c>
      <c r="D1617" t="s">
        <v>24</v>
      </c>
      <c r="E1617" t="s">
        <v>30</v>
      </c>
      <c r="F1617" t="s">
        <v>40</v>
      </c>
      <c r="G1617">
        <v>3</v>
      </c>
      <c r="H1617">
        <v>34124</v>
      </c>
      <c r="I1617">
        <v>102372</v>
      </c>
      <c r="J1617" t="s">
        <v>16</v>
      </c>
    </row>
    <row r="1618" spans="1:10" x14ac:dyDescent="0.25">
      <c r="A1618" t="s">
        <v>351</v>
      </c>
      <c r="B1618" t="s">
        <v>22</v>
      </c>
      <c r="C1618" t="s">
        <v>23</v>
      </c>
      <c r="D1618" t="s">
        <v>24</v>
      </c>
      <c r="E1618" t="s">
        <v>30</v>
      </c>
      <c r="F1618" t="s">
        <v>15</v>
      </c>
      <c r="G1618">
        <v>1</v>
      </c>
      <c r="H1618">
        <v>15307</v>
      </c>
      <c r="I1618">
        <v>15307</v>
      </c>
      <c r="J1618" t="s">
        <v>27</v>
      </c>
    </row>
    <row r="1619" spans="1:10" x14ac:dyDescent="0.25">
      <c r="A1619" t="s">
        <v>238</v>
      </c>
      <c r="B1619" t="s">
        <v>11</v>
      </c>
      <c r="C1619" t="s">
        <v>38</v>
      </c>
      <c r="D1619" t="s">
        <v>48</v>
      </c>
      <c r="E1619" t="s">
        <v>30</v>
      </c>
      <c r="F1619" t="s">
        <v>40</v>
      </c>
      <c r="G1619">
        <v>7</v>
      </c>
      <c r="H1619">
        <v>29770</v>
      </c>
      <c r="I1619">
        <v>208390</v>
      </c>
      <c r="J1619" t="s">
        <v>27</v>
      </c>
    </row>
    <row r="1620" spans="1:10" x14ac:dyDescent="0.25">
      <c r="A1620" t="s">
        <v>115</v>
      </c>
      <c r="B1620" t="s">
        <v>18</v>
      </c>
      <c r="C1620" t="s">
        <v>12</v>
      </c>
      <c r="D1620" t="s">
        <v>44</v>
      </c>
      <c r="E1620" t="s">
        <v>30</v>
      </c>
      <c r="F1620" t="s">
        <v>15</v>
      </c>
      <c r="G1620">
        <v>10</v>
      </c>
      <c r="H1620">
        <v>55871</v>
      </c>
      <c r="I1620">
        <v>558710</v>
      </c>
      <c r="J1620" t="s">
        <v>36</v>
      </c>
    </row>
    <row r="1621" spans="1:10" x14ac:dyDescent="0.25">
      <c r="A1621" t="s">
        <v>370</v>
      </c>
      <c r="B1621" t="s">
        <v>42</v>
      </c>
      <c r="C1621" t="s">
        <v>29</v>
      </c>
      <c r="D1621" t="s">
        <v>48</v>
      </c>
      <c r="E1621" t="s">
        <v>35</v>
      </c>
      <c r="F1621" t="s">
        <v>15</v>
      </c>
      <c r="G1621">
        <v>15</v>
      </c>
      <c r="H1621">
        <v>32036</v>
      </c>
      <c r="I1621">
        <v>480540</v>
      </c>
      <c r="J1621" t="s">
        <v>27</v>
      </c>
    </row>
    <row r="1622" spans="1:10" x14ac:dyDescent="0.25">
      <c r="A1622" t="s">
        <v>215</v>
      </c>
      <c r="B1622" t="s">
        <v>18</v>
      </c>
      <c r="C1622" t="s">
        <v>29</v>
      </c>
      <c r="D1622" t="s">
        <v>48</v>
      </c>
      <c r="E1622" t="s">
        <v>14</v>
      </c>
      <c r="F1622" t="s">
        <v>15</v>
      </c>
      <c r="G1622">
        <v>6</v>
      </c>
      <c r="H1622">
        <v>51765</v>
      </c>
      <c r="I1622">
        <v>310590</v>
      </c>
      <c r="J1622" t="s">
        <v>20</v>
      </c>
    </row>
    <row r="1623" spans="1:10" x14ac:dyDescent="0.25">
      <c r="A1623" t="s">
        <v>46</v>
      </c>
      <c r="B1623" t="s">
        <v>22</v>
      </c>
      <c r="C1623" t="s">
        <v>12</v>
      </c>
      <c r="D1623" t="s">
        <v>44</v>
      </c>
      <c r="E1623" t="s">
        <v>25</v>
      </c>
      <c r="F1623" t="s">
        <v>40</v>
      </c>
      <c r="G1623">
        <v>16</v>
      </c>
      <c r="H1623">
        <v>50892</v>
      </c>
      <c r="I1623">
        <v>814272</v>
      </c>
      <c r="J1623" t="s">
        <v>36</v>
      </c>
    </row>
    <row r="1624" spans="1:10" x14ac:dyDescent="0.25">
      <c r="A1624" t="s">
        <v>324</v>
      </c>
      <c r="B1624" t="s">
        <v>33</v>
      </c>
      <c r="C1624" t="s">
        <v>23</v>
      </c>
      <c r="D1624" t="s">
        <v>48</v>
      </c>
      <c r="E1624" t="s">
        <v>14</v>
      </c>
      <c r="F1624" t="s">
        <v>15</v>
      </c>
      <c r="G1624">
        <v>11</v>
      </c>
      <c r="H1624">
        <v>16828</v>
      </c>
      <c r="I1624">
        <v>185108</v>
      </c>
      <c r="J1624" t="s">
        <v>20</v>
      </c>
    </row>
    <row r="1625" spans="1:10" x14ac:dyDescent="0.25">
      <c r="A1625" t="s">
        <v>216</v>
      </c>
      <c r="B1625" t="s">
        <v>33</v>
      </c>
      <c r="C1625" t="s">
        <v>12</v>
      </c>
      <c r="D1625" t="s">
        <v>24</v>
      </c>
      <c r="E1625" t="s">
        <v>25</v>
      </c>
      <c r="F1625" t="s">
        <v>40</v>
      </c>
      <c r="G1625">
        <v>16</v>
      </c>
      <c r="H1625">
        <v>29083</v>
      </c>
      <c r="I1625">
        <v>465328</v>
      </c>
      <c r="J1625" t="s">
        <v>20</v>
      </c>
    </row>
    <row r="1626" spans="1:10" x14ac:dyDescent="0.25">
      <c r="A1626" t="s">
        <v>158</v>
      </c>
      <c r="B1626" t="s">
        <v>33</v>
      </c>
      <c r="C1626" t="s">
        <v>12</v>
      </c>
      <c r="D1626" t="s">
        <v>39</v>
      </c>
      <c r="E1626" t="s">
        <v>19</v>
      </c>
      <c r="F1626" t="s">
        <v>26</v>
      </c>
      <c r="G1626">
        <v>4</v>
      </c>
      <c r="H1626">
        <v>22910</v>
      </c>
      <c r="I1626">
        <v>91640</v>
      </c>
      <c r="J1626" t="s">
        <v>20</v>
      </c>
    </row>
    <row r="1627" spans="1:10" x14ac:dyDescent="0.25">
      <c r="A1627" t="s">
        <v>397</v>
      </c>
      <c r="B1627" t="s">
        <v>22</v>
      </c>
      <c r="C1627" t="s">
        <v>38</v>
      </c>
      <c r="D1627" t="s">
        <v>48</v>
      </c>
      <c r="E1627" t="s">
        <v>25</v>
      </c>
      <c r="F1627" t="s">
        <v>15</v>
      </c>
      <c r="G1627">
        <v>13</v>
      </c>
      <c r="H1627">
        <v>26761</v>
      </c>
      <c r="I1627">
        <v>347893</v>
      </c>
      <c r="J1627" t="s">
        <v>20</v>
      </c>
    </row>
    <row r="1628" spans="1:10" x14ac:dyDescent="0.25">
      <c r="A1628" t="s">
        <v>257</v>
      </c>
      <c r="B1628" t="s">
        <v>42</v>
      </c>
      <c r="C1628" t="s">
        <v>29</v>
      </c>
      <c r="D1628" t="s">
        <v>48</v>
      </c>
      <c r="E1628" t="s">
        <v>35</v>
      </c>
      <c r="F1628" t="s">
        <v>40</v>
      </c>
      <c r="G1628">
        <v>9</v>
      </c>
      <c r="H1628">
        <v>15982</v>
      </c>
      <c r="I1628">
        <v>143838</v>
      </c>
      <c r="J1628" t="s">
        <v>16</v>
      </c>
    </row>
    <row r="1629" spans="1:10" x14ac:dyDescent="0.25">
      <c r="A1629" t="s">
        <v>117</v>
      </c>
      <c r="B1629" t="s">
        <v>42</v>
      </c>
      <c r="C1629" t="s">
        <v>38</v>
      </c>
      <c r="D1629" t="s">
        <v>13</v>
      </c>
      <c r="E1629" t="s">
        <v>25</v>
      </c>
      <c r="F1629" t="s">
        <v>26</v>
      </c>
      <c r="G1629">
        <v>6</v>
      </c>
      <c r="H1629">
        <v>22286</v>
      </c>
      <c r="I1629">
        <v>133716</v>
      </c>
      <c r="J1629" t="s">
        <v>36</v>
      </c>
    </row>
    <row r="1630" spans="1:10" x14ac:dyDescent="0.25">
      <c r="A1630" t="s">
        <v>266</v>
      </c>
      <c r="B1630" t="s">
        <v>33</v>
      </c>
      <c r="C1630" t="s">
        <v>29</v>
      </c>
      <c r="D1630" t="s">
        <v>48</v>
      </c>
      <c r="E1630" t="s">
        <v>19</v>
      </c>
      <c r="F1630" t="s">
        <v>40</v>
      </c>
      <c r="G1630">
        <v>14</v>
      </c>
      <c r="H1630">
        <v>45913</v>
      </c>
      <c r="I1630">
        <v>642782</v>
      </c>
      <c r="J1630" t="s">
        <v>16</v>
      </c>
    </row>
    <row r="1631" spans="1:10" x14ac:dyDescent="0.25">
      <c r="A1631" t="s">
        <v>251</v>
      </c>
      <c r="B1631" t="s">
        <v>22</v>
      </c>
      <c r="C1631" t="s">
        <v>29</v>
      </c>
      <c r="D1631" t="s">
        <v>24</v>
      </c>
      <c r="E1631" t="s">
        <v>30</v>
      </c>
      <c r="F1631" t="s">
        <v>40</v>
      </c>
      <c r="G1631">
        <v>19</v>
      </c>
      <c r="H1631">
        <v>17844</v>
      </c>
      <c r="I1631">
        <v>339036</v>
      </c>
      <c r="J1631" t="s">
        <v>20</v>
      </c>
    </row>
    <row r="1632" spans="1:10" x14ac:dyDescent="0.25">
      <c r="A1632" t="s">
        <v>207</v>
      </c>
      <c r="B1632" t="s">
        <v>33</v>
      </c>
      <c r="C1632" t="s">
        <v>34</v>
      </c>
      <c r="D1632" t="s">
        <v>24</v>
      </c>
      <c r="E1632" t="s">
        <v>14</v>
      </c>
      <c r="F1632" t="s">
        <v>40</v>
      </c>
      <c r="G1632">
        <v>20</v>
      </c>
      <c r="H1632">
        <v>57220</v>
      </c>
      <c r="I1632">
        <v>1144400</v>
      </c>
      <c r="J1632" t="s">
        <v>27</v>
      </c>
    </row>
    <row r="1633" spans="1:10" x14ac:dyDescent="0.25">
      <c r="A1633" t="s">
        <v>343</v>
      </c>
      <c r="B1633" t="s">
        <v>18</v>
      </c>
      <c r="C1633" t="s">
        <v>12</v>
      </c>
      <c r="D1633" t="s">
        <v>13</v>
      </c>
      <c r="E1633" t="s">
        <v>35</v>
      </c>
      <c r="F1633" t="s">
        <v>15</v>
      </c>
      <c r="G1633">
        <v>8</v>
      </c>
      <c r="H1633">
        <v>53994</v>
      </c>
      <c r="I1633">
        <v>431952</v>
      </c>
      <c r="J1633" t="s">
        <v>16</v>
      </c>
    </row>
    <row r="1634" spans="1:10" x14ac:dyDescent="0.25">
      <c r="A1634" t="s">
        <v>157</v>
      </c>
      <c r="B1634" t="s">
        <v>11</v>
      </c>
      <c r="C1634" t="s">
        <v>34</v>
      </c>
      <c r="D1634" t="s">
        <v>39</v>
      </c>
      <c r="E1634" t="s">
        <v>25</v>
      </c>
      <c r="F1634" t="s">
        <v>26</v>
      </c>
      <c r="G1634">
        <v>16</v>
      </c>
      <c r="H1634">
        <v>23969</v>
      </c>
      <c r="I1634">
        <v>383504</v>
      </c>
      <c r="J1634" t="s">
        <v>16</v>
      </c>
    </row>
    <row r="1635" spans="1:10" x14ac:dyDescent="0.25">
      <c r="A1635" t="s">
        <v>256</v>
      </c>
      <c r="B1635" t="s">
        <v>33</v>
      </c>
      <c r="C1635" t="s">
        <v>12</v>
      </c>
      <c r="D1635" t="s">
        <v>13</v>
      </c>
      <c r="E1635" t="s">
        <v>35</v>
      </c>
      <c r="F1635" t="s">
        <v>26</v>
      </c>
      <c r="G1635">
        <v>8</v>
      </c>
      <c r="H1635">
        <v>36139</v>
      </c>
      <c r="I1635">
        <v>289112</v>
      </c>
      <c r="J1635" t="s">
        <v>36</v>
      </c>
    </row>
    <row r="1636" spans="1:10" x14ac:dyDescent="0.25">
      <c r="A1636" t="s">
        <v>86</v>
      </c>
      <c r="B1636" t="s">
        <v>22</v>
      </c>
      <c r="C1636" t="s">
        <v>23</v>
      </c>
      <c r="D1636" t="s">
        <v>13</v>
      </c>
      <c r="E1636" t="s">
        <v>35</v>
      </c>
      <c r="F1636" t="s">
        <v>26</v>
      </c>
      <c r="G1636">
        <v>14</v>
      </c>
      <c r="H1636">
        <v>43640</v>
      </c>
      <c r="I1636">
        <v>610960</v>
      </c>
      <c r="J1636" t="s">
        <v>36</v>
      </c>
    </row>
    <row r="1637" spans="1:10" x14ac:dyDescent="0.25">
      <c r="A1637" t="s">
        <v>275</v>
      </c>
      <c r="B1637" t="s">
        <v>11</v>
      </c>
      <c r="C1637" t="s">
        <v>38</v>
      </c>
      <c r="D1637" t="s">
        <v>39</v>
      </c>
      <c r="E1637" t="s">
        <v>14</v>
      </c>
      <c r="F1637" t="s">
        <v>40</v>
      </c>
      <c r="G1637">
        <v>1</v>
      </c>
      <c r="H1637">
        <v>18068</v>
      </c>
      <c r="I1637">
        <v>18068</v>
      </c>
      <c r="J1637" t="s">
        <v>16</v>
      </c>
    </row>
    <row r="1638" spans="1:10" x14ac:dyDescent="0.25">
      <c r="A1638" t="s">
        <v>303</v>
      </c>
      <c r="B1638" t="s">
        <v>11</v>
      </c>
      <c r="C1638" t="s">
        <v>38</v>
      </c>
      <c r="D1638" t="s">
        <v>39</v>
      </c>
      <c r="E1638" t="s">
        <v>35</v>
      </c>
      <c r="F1638" t="s">
        <v>40</v>
      </c>
      <c r="G1638">
        <v>7</v>
      </c>
      <c r="H1638">
        <v>41742</v>
      </c>
      <c r="I1638">
        <v>292194</v>
      </c>
      <c r="J1638" t="s">
        <v>36</v>
      </c>
    </row>
    <row r="1639" spans="1:10" x14ac:dyDescent="0.25">
      <c r="A1639" t="s">
        <v>68</v>
      </c>
      <c r="B1639" t="s">
        <v>22</v>
      </c>
      <c r="C1639" t="s">
        <v>38</v>
      </c>
      <c r="D1639" t="s">
        <v>48</v>
      </c>
      <c r="E1639" t="s">
        <v>35</v>
      </c>
      <c r="F1639" t="s">
        <v>26</v>
      </c>
      <c r="G1639">
        <v>7</v>
      </c>
      <c r="H1639">
        <v>21230</v>
      </c>
      <c r="I1639">
        <v>148610</v>
      </c>
      <c r="J1639" t="s">
        <v>20</v>
      </c>
    </row>
    <row r="1640" spans="1:10" x14ac:dyDescent="0.25">
      <c r="A1640" t="s">
        <v>387</v>
      </c>
      <c r="B1640" t="s">
        <v>11</v>
      </c>
      <c r="C1640" t="s">
        <v>29</v>
      </c>
      <c r="D1640" t="s">
        <v>44</v>
      </c>
      <c r="E1640" t="s">
        <v>30</v>
      </c>
      <c r="F1640" t="s">
        <v>26</v>
      </c>
      <c r="G1640">
        <v>18</v>
      </c>
      <c r="H1640">
        <v>24896</v>
      </c>
      <c r="I1640">
        <v>448128</v>
      </c>
      <c r="J1640" t="s">
        <v>16</v>
      </c>
    </row>
    <row r="1641" spans="1:10" x14ac:dyDescent="0.25">
      <c r="A1641" t="s">
        <v>183</v>
      </c>
      <c r="B1641" t="s">
        <v>11</v>
      </c>
      <c r="C1641" t="s">
        <v>29</v>
      </c>
      <c r="D1641" t="s">
        <v>24</v>
      </c>
      <c r="E1641" t="s">
        <v>30</v>
      </c>
      <c r="F1641" t="s">
        <v>26</v>
      </c>
      <c r="G1641">
        <v>15</v>
      </c>
      <c r="H1641">
        <v>34546</v>
      </c>
      <c r="I1641">
        <v>518190</v>
      </c>
      <c r="J1641" t="s">
        <v>27</v>
      </c>
    </row>
    <row r="1642" spans="1:10" x14ac:dyDescent="0.25">
      <c r="A1642" t="s">
        <v>237</v>
      </c>
      <c r="B1642" t="s">
        <v>11</v>
      </c>
      <c r="C1642" t="s">
        <v>12</v>
      </c>
      <c r="D1642" t="s">
        <v>48</v>
      </c>
      <c r="E1642" t="s">
        <v>30</v>
      </c>
      <c r="F1642" t="s">
        <v>26</v>
      </c>
      <c r="G1642">
        <v>7</v>
      </c>
      <c r="H1642">
        <v>57840</v>
      </c>
      <c r="I1642">
        <v>404880</v>
      </c>
      <c r="J1642" t="s">
        <v>27</v>
      </c>
    </row>
    <row r="1643" spans="1:10" x14ac:dyDescent="0.25">
      <c r="A1643" t="s">
        <v>240</v>
      </c>
      <c r="B1643" t="s">
        <v>42</v>
      </c>
      <c r="C1643" t="s">
        <v>23</v>
      </c>
      <c r="D1643" t="s">
        <v>44</v>
      </c>
      <c r="E1643" t="s">
        <v>30</v>
      </c>
      <c r="F1643" t="s">
        <v>40</v>
      </c>
      <c r="G1643">
        <v>16</v>
      </c>
      <c r="H1643">
        <v>40809</v>
      </c>
      <c r="I1643">
        <v>652944</v>
      </c>
      <c r="J1643" t="s">
        <v>27</v>
      </c>
    </row>
    <row r="1644" spans="1:10" x14ac:dyDescent="0.25">
      <c r="A1644" t="s">
        <v>82</v>
      </c>
      <c r="B1644" t="s">
        <v>42</v>
      </c>
      <c r="C1644" t="s">
        <v>29</v>
      </c>
      <c r="D1644" t="s">
        <v>39</v>
      </c>
      <c r="E1644" t="s">
        <v>25</v>
      </c>
      <c r="F1644" t="s">
        <v>40</v>
      </c>
      <c r="G1644">
        <v>5</v>
      </c>
      <c r="H1644">
        <v>46575</v>
      </c>
      <c r="I1644">
        <v>232875</v>
      </c>
      <c r="J1644" t="s">
        <v>27</v>
      </c>
    </row>
    <row r="1645" spans="1:10" x14ac:dyDescent="0.25">
      <c r="A1645" t="s">
        <v>194</v>
      </c>
      <c r="B1645" t="s">
        <v>11</v>
      </c>
      <c r="C1645" t="s">
        <v>12</v>
      </c>
      <c r="D1645" t="s">
        <v>13</v>
      </c>
      <c r="E1645" t="s">
        <v>14</v>
      </c>
      <c r="F1645" t="s">
        <v>15</v>
      </c>
      <c r="G1645">
        <v>10</v>
      </c>
      <c r="H1645">
        <v>38939</v>
      </c>
      <c r="I1645">
        <v>389390</v>
      </c>
      <c r="J1645" t="s">
        <v>36</v>
      </c>
    </row>
    <row r="1646" spans="1:10" x14ac:dyDescent="0.25">
      <c r="A1646" t="s">
        <v>273</v>
      </c>
      <c r="B1646" t="s">
        <v>33</v>
      </c>
      <c r="C1646" t="s">
        <v>38</v>
      </c>
      <c r="D1646" t="s">
        <v>13</v>
      </c>
      <c r="E1646" t="s">
        <v>25</v>
      </c>
      <c r="F1646" t="s">
        <v>40</v>
      </c>
      <c r="G1646">
        <v>12</v>
      </c>
      <c r="H1646">
        <v>23110</v>
      </c>
      <c r="I1646">
        <v>277320</v>
      </c>
      <c r="J1646" t="s">
        <v>27</v>
      </c>
    </row>
    <row r="1647" spans="1:10" x14ac:dyDescent="0.25">
      <c r="A1647" t="s">
        <v>70</v>
      </c>
      <c r="B1647" t="s">
        <v>11</v>
      </c>
      <c r="C1647" t="s">
        <v>29</v>
      </c>
      <c r="D1647" t="s">
        <v>39</v>
      </c>
      <c r="E1647" t="s">
        <v>30</v>
      </c>
      <c r="F1647" t="s">
        <v>40</v>
      </c>
      <c r="G1647">
        <v>3</v>
      </c>
      <c r="H1647">
        <v>18143</v>
      </c>
      <c r="I1647">
        <v>54429</v>
      </c>
      <c r="J1647" t="s">
        <v>20</v>
      </c>
    </row>
    <row r="1648" spans="1:10" x14ac:dyDescent="0.25">
      <c r="A1648" t="s">
        <v>142</v>
      </c>
      <c r="B1648" t="s">
        <v>11</v>
      </c>
      <c r="C1648" t="s">
        <v>34</v>
      </c>
      <c r="D1648" t="s">
        <v>48</v>
      </c>
      <c r="E1648" t="s">
        <v>30</v>
      </c>
      <c r="F1648" t="s">
        <v>15</v>
      </c>
      <c r="G1648">
        <v>18</v>
      </c>
      <c r="H1648">
        <v>29368</v>
      </c>
      <c r="I1648">
        <v>528624</v>
      </c>
      <c r="J1648" t="s">
        <v>36</v>
      </c>
    </row>
    <row r="1649" spans="1:10" x14ac:dyDescent="0.25">
      <c r="A1649" t="s">
        <v>128</v>
      </c>
      <c r="B1649" t="s">
        <v>22</v>
      </c>
      <c r="C1649" t="s">
        <v>12</v>
      </c>
      <c r="D1649" t="s">
        <v>48</v>
      </c>
      <c r="E1649" t="s">
        <v>35</v>
      </c>
      <c r="F1649" t="s">
        <v>40</v>
      </c>
      <c r="G1649">
        <v>3</v>
      </c>
      <c r="H1649">
        <v>15763</v>
      </c>
      <c r="I1649">
        <v>47289</v>
      </c>
      <c r="J1649" t="s">
        <v>27</v>
      </c>
    </row>
    <row r="1650" spans="1:10" x14ac:dyDescent="0.25">
      <c r="A1650" t="s">
        <v>383</v>
      </c>
      <c r="B1650" t="s">
        <v>42</v>
      </c>
      <c r="C1650" t="s">
        <v>23</v>
      </c>
      <c r="D1650" t="s">
        <v>44</v>
      </c>
      <c r="E1650" t="s">
        <v>35</v>
      </c>
      <c r="F1650" t="s">
        <v>40</v>
      </c>
      <c r="G1650">
        <v>6</v>
      </c>
      <c r="H1650">
        <v>26288</v>
      </c>
      <c r="I1650">
        <v>157728</v>
      </c>
      <c r="J1650" t="s">
        <v>27</v>
      </c>
    </row>
    <row r="1651" spans="1:10" x14ac:dyDescent="0.25">
      <c r="A1651" t="s">
        <v>276</v>
      </c>
      <c r="B1651" t="s">
        <v>18</v>
      </c>
      <c r="C1651" t="s">
        <v>29</v>
      </c>
      <c r="D1651" t="s">
        <v>48</v>
      </c>
      <c r="E1651" t="s">
        <v>35</v>
      </c>
      <c r="F1651" t="s">
        <v>15</v>
      </c>
      <c r="G1651">
        <v>15</v>
      </c>
      <c r="H1651">
        <v>27836</v>
      </c>
      <c r="I1651">
        <v>417540</v>
      </c>
      <c r="J1651" t="s">
        <v>16</v>
      </c>
    </row>
    <row r="1652" spans="1:10" x14ac:dyDescent="0.25">
      <c r="A1652" t="s">
        <v>354</v>
      </c>
      <c r="B1652" t="s">
        <v>33</v>
      </c>
      <c r="C1652" t="s">
        <v>23</v>
      </c>
      <c r="D1652" t="s">
        <v>48</v>
      </c>
      <c r="E1652" t="s">
        <v>30</v>
      </c>
      <c r="F1652" t="s">
        <v>15</v>
      </c>
      <c r="G1652">
        <v>13</v>
      </c>
      <c r="H1652">
        <v>17633</v>
      </c>
      <c r="I1652">
        <v>229229</v>
      </c>
      <c r="J1652" t="s">
        <v>27</v>
      </c>
    </row>
    <row r="1653" spans="1:10" x14ac:dyDescent="0.25">
      <c r="A1653" t="s">
        <v>238</v>
      </c>
      <c r="B1653" t="s">
        <v>33</v>
      </c>
      <c r="C1653" t="s">
        <v>29</v>
      </c>
      <c r="D1653" t="s">
        <v>44</v>
      </c>
      <c r="E1653" t="s">
        <v>35</v>
      </c>
      <c r="F1653" t="s">
        <v>15</v>
      </c>
      <c r="G1653">
        <v>16</v>
      </c>
      <c r="H1653">
        <v>49960</v>
      </c>
      <c r="I1653">
        <v>799360</v>
      </c>
      <c r="J1653" t="s">
        <v>20</v>
      </c>
    </row>
    <row r="1654" spans="1:10" x14ac:dyDescent="0.25">
      <c r="A1654" t="s">
        <v>149</v>
      </c>
      <c r="B1654" t="s">
        <v>11</v>
      </c>
      <c r="C1654" t="s">
        <v>29</v>
      </c>
      <c r="D1654" t="s">
        <v>24</v>
      </c>
      <c r="E1654" t="s">
        <v>30</v>
      </c>
      <c r="F1654" t="s">
        <v>40</v>
      </c>
      <c r="G1654">
        <v>10</v>
      </c>
      <c r="H1654">
        <v>17271</v>
      </c>
      <c r="I1654">
        <v>172710</v>
      </c>
      <c r="J1654" t="s">
        <v>27</v>
      </c>
    </row>
    <row r="1655" spans="1:10" x14ac:dyDescent="0.25">
      <c r="A1655" t="s">
        <v>396</v>
      </c>
      <c r="B1655" t="s">
        <v>33</v>
      </c>
      <c r="C1655" t="s">
        <v>23</v>
      </c>
      <c r="D1655" t="s">
        <v>13</v>
      </c>
      <c r="E1655" t="s">
        <v>19</v>
      </c>
      <c r="F1655" t="s">
        <v>40</v>
      </c>
      <c r="G1655">
        <v>19</v>
      </c>
      <c r="H1655">
        <v>37454</v>
      </c>
      <c r="I1655">
        <v>711626</v>
      </c>
      <c r="J1655" t="s">
        <v>16</v>
      </c>
    </row>
    <row r="1656" spans="1:10" x14ac:dyDescent="0.25">
      <c r="A1656" t="s">
        <v>371</v>
      </c>
      <c r="B1656" t="s">
        <v>22</v>
      </c>
      <c r="C1656" t="s">
        <v>29</v>
      </c>
      <c r="D1656" t="s">
        <v>48</v>
      </c>
      <c r="E1656" t="s">
        <v>25</v>
      </c>
      <c r="F1656" t="s">
        <v>15</v>
      </c>
      <c r="G1656">
        <v>19</v>
      </c>
      <c r="H1656">
        <v>21029</v>
      </c>
      <c r="I1656">
        <v>399551</v>
      </c>
      <c r="J1656" t="s">
        <v>36</v>
      </c>
    </row>
    <row r="1657" spans="1:10" x14ac:dyDescent="0.25">
      <c r="A1657" t="s">
        <v>215</v>
      </c>
      <c r="B1657" t="s">
        <v>33</v>
      </c>
      <c r="C1657" t="s">
        <v>23</v>
      </c>
      <c r="D1657" t="s">
        <v>44</v>
      </c>
      <c r="E1657" t="s">
        <v>14</v>
      </c>
      <c r="F1657" t="s">
        <v>40</v>
      </c>
      <c r="G1657">
        <v>11</v>
      </c>
      <c r="H1657">
        <v>42018</v>
      </c>
      <c r="I1657">
        <v>462198</v>
      </c>
      <c r="J1657" t="s">
        <v>20</v>
      </c>
    </row>
    <row r="1658" spans="1:10" x14ac:dyDescent="0.25">
      <c r="A1658" t="s">
        <v>339</v>
      </c>
      <c r="B1658" t="s">
        <v>22</v>
      </c>
      <c r="C1658" t="s">
        <v>23</v>
      </c>
      <c r="D1658" t="s">
        <v>39</v>
      </c>
      <c r="E1658" t="s">
        <v>30</v>
      </c>
      <c r="F1658" t="s">
        <v>15</v>
      </c>
      <c r="G1658">
        <v>10</v>
      </c>
      <c r="H1658">
        <v>26116</v>
      </c>
      <c r="I1658">
        <v>261160</v>
      </c>
      <c r="J1658" t="s">
        <v>20</v>
      </c>
    </row>
    <row r="1659" spans="1:10" x14ac:dyDescent="0.25">
      <c r="A1659" t="s">
        <v>352</v>
      </c>
      <c r="B1659" t="s">
        <v>42</v>
      </c>
      <c r="C1659" t="s">
        <v>12</v>
      </c>
      <c r="D1659" t="s">
        <v>13</v>
      </c>
      <c r="E1659" t="s">
        <v>19</v>
      </c>
      <c r="F1659" t="s">
        <v>40</v>
      </c>
      <c r="G1659">
        <v>14</v>
      </c>
      <c r="H1659">
        <v>57980</v>
      </c>
      <c r="I1659">
        <v>811720</v>
      </c>
      <c r="J1659" t="s">
        <v>36</v>
      </c>
    </row>
    <row r="1660" spans="1:10" x14ac:dyDescent="0.25">
      <c r="A1660" t="s">
        <v>374</v>
      </c>
      <c r="B1660" t="s">
        <v>11</v>
      </c>
      <c r="C1660" t="s">
        <v>38</v>
      </c>
      <c r="D1660" t="s">
        <v>44</v>
      </c>
      <c r="E1660" t="s">
        <v>19</v>
      </c>
      <c r="F1660" t="s">
        <v>40</v>
      </c>
      <c r="G1660">
        <v>12</v>
      </c>
      <c r="H1660">
        <v>25036</v>
      </c>
      <c r="I1660">
        <v>300432</v>
      </c>
      <c r="J1660" t="s">
        <v>20</v>
      </c>
    </row>
    <row r="1661" spans="1:10" x14ac:dyDescent="0.25">
      <c r="A1661" t="s">
        <v>156</v>
      </c>
      <c r="B1661" t="s">
        <v>11</v>
      </c>
      <c r="C1661" t="s">
        <v>23</v>
      </c>
      <c r="D1661" t="s">
        <v>39</v>
      </c>
      <c r="E1661" t="s">
        <v>30</v>
      </c>
      <c r="F1661" t="s">
        <v>26</v>
      </c>
      <c r="G1661">
        <v>12</v>
      </c>
      <c r="H1661">
        <v>17794</v>
      </c>
      <c r="I1661">
        <v>213528</v>
      </c>
      <c r="J1661" t="s">
        <v>16</v>
      </c>
    </row>
    <row r="1662" spans="1:10" x14ac:dyDescent="0.25">
      <c r="A1662" t="s">
        <v>287</v>
      </c>
      <c r="B1662" t="s">
        <v>42</v>
      </c>
      <c r="C1662" t="s">
        <v>29</v>
      </c>
      <c r="D1662" t="s">
        <v>13</v>
      </c>
      <c r="E1662" t="s">
        <v>14</v>
      </c>
      <c r="F1662" t="s">
        <v>15</v>
      </c>
      <c r="G1662">
        <v>8</v>
      </c>
      <c r="H1662">
        <v>39432</v>
      </c>
      <c r="I1662">
        <v>315456</v>
      </c>
      <c r="J1662" t="s">
        <v>36</v>
      </c>
    </row>
    <row r="1663" spans="1:10" x14ac:dyDescent="0.25">
      <c r="A1663" t="s">
        <v>110</v>
      </c>
      <c r="B1663" t="s">
        <v>33</v>
      </c>
      <c r="C1663" t="s">
        <v>23</v>
      </c>
      <c r="D1663" t="s">
        <v>24</v>
      </c>
      <c r="E1663" t="s">
        <v>25</v>
      </c>
      <c r="F1663" t="s">
        <v>15</v>
      </c>
      <c r="G1663">
        <v>8</v>
      </c>
      <c r="H1663">
        <v>21875</v>
      </c>
      <c r="I1663">
        <v>175000</v>
      </c>
      <c r="J1663" t="s">
        <v>20</v>
      </c>
    </row>
    <row r="1664" spans="1:10" x14ac:dyDescent="0.25">
      <c r="A1664" t="s">
        <v>136</v>
      </c>
      <c r="B1664" t="s">
        <v>18</v>
      </c>
      <c r="C1664" t="s">
        <v>34</v>
      </c>
      <c r="D1664" t="s">
        <v>48</v>
      </c>
      <c r="E1664" t="s">
        <v>35</v>
      </c>
      <c r="F1664" t="s">
        <v>15</v>
      </c>
      <c r="G1664">
        <v>13</v>
      </c>
      <c r="H1664">
        <v>53774</v>
      </c>
      <c r="I1664">
        <v>699062</v>
      </c>
      <c r="J1664" t="s">
        <v>27</v>
      </c>
    </row>
    <row r="1665" spans="1:10" x14ac:dyDescent="0.25">
      <c r="A1665" t="s">
        <v>96</v>
      </c>
      <c r="B1665" t="s">
        <v>22</v>
      </c>
      <c r="C1665" t="s">
        <v>23</v>
      </c>
      <c r="D1665" t="s">
        <v>39</v>
      </c>
      <c r="E1665" t="s">
        <v>30</v>
      </c>
      <c r="F1665" t="s">
        <v>40</v>
      </c>
      <c r="G1665">
        <v>11</v>
      </c>
      <c r="H1665">
        <v>30610</v>
      </c>
      <c r="I1665">
        <v>336710</v>
      </c>
      <c r="J1665" t="s">
        <v>16</v>
      </c>
    </row>
    <row r="1666" spans="1:10" x14ac:dyDescent="0.25">
      <c r="A1666" t="s">
        <v>279</v>
      </c>
      <c r="B1666" t="s">
        <v>18</v>
      </c>
      <c r="C1666" t="s">
        <v>38</v>
      </c>
      <c r="D1666" t="s">
        <v>39</v>
      </c>
      <c r="E1666" t="s">
        <v>19</v>
      </c>
      <c r="F1666" t="s">
        <v>40</v>
      </c>
      <c r="G1666">
        <v>12</v>
      </c>
      <c r="H1666">
        <v>46097</v>
      </c>
      <c r="I1666">
        <v>553164</v>
      </c>
      <c r="J1666" t="s">
        <v>16</v>
      </c>
    </row>
    <row r="1667" spans="1:10" x14ac:dyDescent="0.25">
      <c r="A1667" t="s">
        <v>124</v>
      </c>
      <c r="B1667" t="s">
        <v>18</v>
      </c>
      <c r="C1667" t="s">
        <v>12</v>
      </c>
      <c r="D1667" t="s">
        <v>13</v>
      </c>
      <c r="E1667" t="s">
        <v>30</v>
      </c>
      <c r="F1667" t="s">
        <v>26</v>
      </c>
      <c r="G1667">
        <v>17</v>
      </c>
      <c r="H1667">
        <v>58770</v>
      </c>
      <c r="I1667">
        <v>999090</v>
      </c>
      <c r="J1667" t="s">
        <v>36</v>
      </c>
    </row>
    <row r="1668" spans="1:10" x14ac:dyDescent="0.25">
      <c r="A1668" t="s">
        <v>170</v>
      </c>
      <c r="B1668" t="s">
        <v>42</v>
      </c>
      <c r="C1668" t="s">
        <v>34</v>
      </c>
      <c r="D1668" t="s">
        <v>24</v>
      </c>
      <c r="E1668" t="s">
        <v>14</v>
      </c>
      <c r="F1668" t="s">
        <v>40</v>
      </c>
      <c r="G1668">
        <v>17</v>
      </c>
      <c r="H1668">
        <v>59789</v>
      </c>
      <c r="I1668">
        <v>1016413</v>
      </c>
      <c r="J1668" t="s">
        <v>36</v>
      </c>
    </row>
    <row r="1669" spans="1:10" x14ac:dyDescent="0.25">
      <c r="A1669" t="s">
        <v>292</v>
      </c>
      <c r="B1669" t="s">
        <v>11</v>
      </c>
      <c r="C1669" t="s">
        <v>23</v>
      </c>
      <c r="D1669" t="s">
        <v>39</v>
      </c>
      <c r="E1669" t="s">
        <v>35</v>
      </c>
      <c r="F1669" t="s">
        <v>40</v>
      </c>
      <c r="G1669">
        <v>18</v>
      </c>
      <c r="H1669">
        <v>42067</v>
      </c>
      <c r="I1669">
        <v>757206</v>
      </c>
      <c r="J1669" t="s">
        <v>20</v>
      </c>
    </row>
    <row r="1670" spans="1:10" x14ac:dyDescent="0.25">
      <c r="A1670" t="s">
        <v>46</v>
      </c>
      <c r="B1670" t="s">
        <v>22</v>
      </c>
      <c r="C1670" t="s">
        <v>34</v>
      </c>
      <c r="D1670" t="s">
        <v>48</v>
      </c>
      <c r="E1670" t="s">
        <v>19</v>
      </c>
      <c r="F1670" t="s">
        <v>15</v>
      </c>
      <c r="G1670">
        <v>2</v>
      </c>
      <c r="H1670">
        <v>25855</v>
      </c>
      <c r="I1670">
        <v>51710</v>
      </c>
      <c r="J1670" t="s">
        <v>16</v>
      </c>
    </row>
    <row r="1671" spans="1:10" x14ac:dyDescent="0.25">
      <c r="A1671" t="s">
        <v>263</v>
      </c>
      <c r="B1671" t="s">
        <v>22</v>
      </c>
      <c r="C1671" t="s">
        <v>29</v>
      </c>
      <c r="D1671" t="s">
        <v>13</v>
      </c>
      <c r="E1671" t="s">
        <v>35</v>
      </c>
      <c r="F1671" t="s">
        <v>40</v>
      </c>
      <c r="G1671">
        <v>20</v>
      </c>
      <c r="H1671">
        <v>25317</v>
      </c>
      <c r="I1671">
        <v>506340</v>
      </c>
      <c r="J1671" t="s">
        <v>20</v>
      </c>
    </row>
    <row r="1672" spans="1:10" x14ac:dyDescent="0.25">
      <c r="A1672" t="s">
        <v>117</v>
      </c>
      <c r="B1672" t="s">
        <v>22</v>
      </c>
      <c r="C1672" t="s">
        <v>29</v>
      </c>
      <c r="D1672" t="s">
        <v>44</v>
      </c>
      <c r="E1672" t="s">
        <v>19</v>
      </c>
      <c r="F1672" t="s">
        <v>40</v>
      </c>
      <c r="G1672">
        <v>20</v>
      </c>
      <c r="H1672">
        <v>19638</v>
      </c>
      <c r="I1672">
        <v>392760</v>
      </c>
      <c r="J1672" t="s">
        <v>36</v>
      </c>
    </row>
    <row r="1673" spans="1:10" x14ac:dyDescent="0.25">
      <c r="A1673" t="s">
        <v>189</v>
      </c>
      <c r="B1673" t="s">
        <v>22</v>
      </c>
      <c r="C1673" t="s">
        <v>34</v>
      </c>
      <c r="D1673" t="s">
        <v>24</v>
      </c>
      <c r="E1673" t="s">
        <v>30</v>
      </c>
      <c r="F1673" t="s">
        <v>40</v>
      </c>
      <c r="G1673">
        <v>10</v>
      </c>
      <c r="H1673">
        <v>57061</v>
      </c>
      <c r="I1673">
        <v>570610</v>
      </c>
      <c r="J1673" t="s">
        <v>16</v>
      </c>
    </row>
    <row r="1674" spans="1:10" x14ac:dyDescent="0.25">
      <c r="A1674" t="s">
        <v>92</v>
      </c>
      <c r="B1674" t="s">
        <v>33</v>
      </c>
      <c r="C1674" t="s">
        <v>29</v>
      </c>
      <c r="D1674" t="s">
        <v>13</v>
      </c>
      <c r="E1674" t="s">
        <v>19</v>
      </c>
      <c r="F1674" t="s">
        <v>15</v>
      </c>
      <c r="G1674">
        <v>1</v>
      </c>
      <c r="H1674">
        <v>23650</v>
      </c>
      <c r="I1674">
        <v>23650</v>
      </c>
      <c r="J1674" t="s">
        <v>27</v>
      </c>
    </row>
    <row r="1675" spans="1:10" x14ac:dyDescent="0.25">
      <c r="A1675" t="s">
        <v>370</v>
      </c>
      <c r="B1675" t="s">
        <v>11</v>
      </c>
      <c r="C1675" t="s">
        <v>38</v>
      </c>
      <c r="D1675" t="s">
        <v>13</v>
      </c>
      <c r="E1675" t="s">
        <v>19</v>
      </c>
      <c r="F1675" t="s">
        <v>26</v>
      </c>
      <c r="G1675">
        <v>8</v>
      </c>
      <c r="H1675">
        <v>36617</v>
      </c>
      <c r="I1675">
        <v>292936</v>
      </c>
      <c r="J1675" t="s">
        <v>36</v>
      </c>
    </row>
    <row r="1676" spans="1:10" x14ac:dyDescent="0.25">
      <c r="A1676" t="s">
        <v>317</v>
      </c>
      <c r="B1676" t="s">
        <v>11</v>
      </c>
      <c r="C1676" t="s">
        <v>29</v>
      </c>
      <c r="D1676" t="s">
        <v>13</v>
      </c>
      <c r="E1676" t="s">
        <v>14</v>
      </c>
      <c r="F1676" t="s">
        <v>15</v>
      </c>
      <c r="G1676">
        <v>12</v>
      </c>
      <c r="H1676">
        <v>44795</v>
      </c>
      <c r="I1676">
        <v>537540</v>
      </c>
      <c r="J1676" t="s">
        <v>16</v>
      </c>
    </row>
    <row r="1677" spans="1:10" x14ac:dyDescent="0.25">
      <c r="A1677" t="s">
        <v>243</v>
      </c>
      <c r="B1677" t="s">
        <v>42</v>
      </c>
      <c r="C1677" t="s">
        <v>23</v>
      </c>
      <c r="D1677" t="s">
        <v>48</v>
      </c>
      <c r="E1677" t="s">
        <v>30</v>
      </c>
      <c r="F1677" t="s">
        <v>40</v>
      </c>
      <c r="G1677">
        <v>16</v>
      </c>
      <c r="H1677">
        <v>58234</v>
      </c>
      <c r="I1677">
        <v>931744</v>
      </c>
      <c r="J1677" t="s">
        <v>36</v>
      </c>
    </row>
    <row r="1678" spans="1:10" x14ac:dyDescent="0.25">
      <c r="A1678" t="s">
        <v>142</v>
      </c>
      <c r="B1678" t="s">
        <v>11</v>
      </c>
      <c r="C1678" t="s">
        <v>29</v>
      </c>
      <c r="D1678" t="s">
        <v>48</v>
      </c>
      <c r="E1678" t="s">
        <v>30</v>
      </c>
      <c r="F1678" t="s">
        <v>15</v>
      </c>
      <c r="G1678">
        <v>3</v>
      </c>
      <c r="H1678">
        <v>29752</v>
      </c>
      <c r="I1678">
        <v>89256</v>
      </c>
      <c r="J1678" t="s">
        <v>27</v>
      </c>
    </row>
    <row r="1679" spans="1:10" x14ac:dyDescent="0.25">
      <c r="A1679" t="s">
        <v>84</v>
      </c>
      <c r="B1679" t="s">
        <v>42</v>
      </c>
      <c r="C1679" t="s">
        <v>34</v>
      </c>
      <c r="D1679" t="s">
        <v>48</v>
      </c>
      <c r="E1679" t="s">
        <v>25</v>
      </c>
      <c r="F1679" t="s">
        <v>40</v>
      </c>
      <c r="G1679">
        <v>7</v>
      </c>
      <c r="H1679">
        <v>29923</v>
      </c>
      <c r="I1679">
        <v>209461</v>
      </c>
      <c r="J1679" t="s">
        <v>20</v>
      </c>
    </row>
    <row r="1680" spans="1:10" x14ac:dyDescent="0.25">
      <c r="A1680" t="s">
        <v>132</v>
      </c>
      <c r="B1680" t="s">
        <v>22</v>
      </c>
      <c r="C1680" t="s">
        <v>29</v>
      </c>
      <c r="D1680" t="s">
        <v>24</v>
      </c>
      <c r="E1680" t="s">
        <v>19</v>
      </c>
      <c r="F1680" t="s">
        <v>26</v>
      </c>
      <c r="G1680">
        <v>7</v>
      </c>
      <c r="H1680">
        <v>46936</v>
      </c>
      <c r="I1680">
        <v>328552</v>
      </c>
      <c r="J1680" t="s">
        <v>16</v>
      </c>
    </row>
    <row r="1681" spans="1:10" x14ac:dyDescent="0.25">
      <c r="A1681" t="s">
        <v>101</v>
      </c>
      <c r="B1681" t="s">
        <v>11</v>
      </c>
      <c r="C1681" t="s">
        <v>34</v>
      </c>
      <c r="D1681" t="s">
        <v>24</v>
      </c>
      <c r="E1681" t="s">
        <v>30</v>
      </c>
      <c r="F1681" t="s">
        <v>26</v>
      </c>
      <c r="G1681">
        <v>7</v>
      </c>
      <c r="H1681">
        <v>35772</v>
      </c>
      <c r="I1681">
        <v>250404</v>
      </c>
      <c r="J1681" t="s">
        <v>16</v>
      </c>
    </row>
    <row r="1682" spans="1:10" x14ac:dyDescent="0.25">
      <c r="A1682" t="s">
        <v>300</v>
      </c>
      <c r="B1682" t="s">
        <v>11</v>
      </c>
      <c r="C1682" t="s">
        <v>38</v>
      </c>
      <c r="D1682" t="s">
        <v>44</v>
      </c>
      <c r="E1682" t="s">
        <v>35</v>
      </c>
      <c r="F1682" t="s">
        <v>40</v>
      </c>
      <c r="G1682">
        <v>16</v>
      </c>
      <c r="H1682">
        <v>44012</v>
      </c>
      <c r="I1682">
        <v>704192</v>
      </c>
      <c r="J1682" t="s">
        <v>36</v>
      </c>
    </row>
    <row r="1683" spans="1:10" x14ac:dyDescent="0.25">
      <c r="A1683" t="s">
        <v>82</v>
      </c>
      <c r="B1683" t="s">
        <v>22</v>
      </c>
      <c r="C1683" t="s">
        <v>38</v>
      </c>
      <c r="D1683" t="s">
        <v>44</v>
      </c>
      <c r="E1683" t="s">
        <v>35</v>
      </c>
      <c r="F1683" t="s">
        <v>15</v>
      </c>
      <c r="G1683">
        <v>8</v>
      </c>
      <c r="H1683">
        <v>41693</v>
      </c>
      <c r="I1683">
        <v>333544</v>
      </c>
      <c r="J1683" t="s">
        <v>27</v>
      </c>
    </row>
    <row r="1684" spans="1:10" x14ac:dyDescent="0.25">
      <c r="A1684" t="s">
        <v>283</v>
      </c>
      <c r="B1684" t="s">
        <v>18</v>
      </c>
      <c r="C1684" t="s">
        <v>38</v>
      </c>
      <c r="D1684" t="s">
        <v>48</v>
      </c>
      <c r="E1684" t="s">
        <v>25</v>
      </c>
      <c r="F1684" t="s">
        <v>26</v>
      </c>
      <c r="G1684">
        <v>16</v>
      </c>
      <c r="H1684">
        <v>15775</v>
      </c>
      <c r="I1684">
        <v>252400</v>
      </c>
      <c r="J1684" t="s">
        <v>16</v>
      </c>
    </row>
    <row r="1685" spans="1:10" x14ac:dyDescent="0.25">
      <c r="A1685" t="s">
        <v>226</v>
      </c>
      <c r="B1685" t="s">
        <v>42</v>
      </c>
      <c r="C1685" t="s">
        <v>34</v>
      </c>
      <c r="D1685" t="s">
        <v>13</v>
      </c>
      <c r="E1685" t="s">
        <v>35</v>
      </c>
      <c r="F1685" t="s">
        <v>15</v>
      </c>
      <c r="G1685">
        <v>13</v>
      </c>
      <c r="H1685">
        <v>37788</v>
      </c>
      <c r="I1685">
        <v>491244</v>
      </c>
      <c r="J1685" t="s">
        <v>36</v>
      </c>
    </row>
    <row r="1686" spans="1:10" x14ac:dyDescent="0.25">
      <c r="A1686" t="s">
        <v>37</v>
      </c>
      <c r="B1686" t="s">
        <v>18</v>
      </c>
      <c r="C1686" t="s">
        <v>34</v>
      </c>
      <c r="D1686" t="s">
        <v>13</v>
      </c>
      <c r="E1686" t="s">
        <v>30</v>
      </c>
      <c r="F1686" t="s">
        <v>26</v>
      </c>
      <c r="G1686">
        <v>6</v>
      </c>
      <c r="H1686">
        <v>45885</v>
      </c>
      <c r="I1686">
        <v>275310</v>
      </c>
      <c r="J1686" t="s">
        <v>36</v>
      </c>
    </row>
    <row r="1687" spans="1:10" x14ac:dyDescent="0.25">
      <c r="A1687" t="s">
        <v>369</v>
      </c>
      <c r="B1687" t="s">
        <v>42</v>
      </c>
      <c r="C1687" t="s">
        <v>23</v>
      </c>
      <c r="D1687" t="s">
        <v>39</v>
      </c>
      <c r="E1687" t="s">
        <v>14</v>
      </c>
      <c r="F1687" t="s">
        <v>26</v>
      </c>
      <c r="G1687">
        <v>17</v>
      </c>
      <c r="H1687">
        <v>36423</v>
      </c>
      <c r="I1687">
        <v>619191</v>
      </c>
      <c r="J1687" t="s">
        <v>16</v>
      </c>
    </row>
    <row r="1688" spans="1:10" x14ac:dyDescent="0.25">
      <c r="A1688" t="s">
        <v>159</v>
      </c>
      <c r="B1688" t="s">
        <v>42</v>
      </c>
      <c r="C1688" t="s">
        <v>12</v>
      </c>
      <c r="D1688" t="s">
        <v>39</v>
      </c>
      <c r="E1688" t="s">
        <v>25</v>
      </c>
      <c r="F1688" t="s">
        <v>26</v>
      </c>
      <c r="G1688">
        <v>15</v>
      </c>
      <c r="H1688">
        <v>18239</v>
      </c>
      <c r="I1688">
        <v>273585</v>
      </c>
      <c r="J1688" t="s">
        <v>27</v>
      </c>
    </row>
    <row r="1689" spans="1:10" x14ac:dyDescent="0.25">
      <c r="A1689" t="s">
        <v>119</v>
      </c>
      <c r="B1689" t="s">
        <v>33</v>
      </c>
      <c r="C1689" t="s">
        <v>12</v>
      </c>
      <c r="D1689" t="s">
        <v>13</v>
      </c>
      <c r="E1689" t="s">
        <v>19</v>
      </c>
      <c r="F1689" t="s">
        <v>40</v>
      </c>
      <c r="G1689">
        <v>16</v>
      </c>
      <c r="H1689">
        <v>22069</v>
      </c>
      <c r="I1689">
        <v>353104</v>
      </c>
      <c r="J1689" t="s">
        <v>16</v>
      </c>
    </row>
    <row r="1690" spans="1:10" x14ac:dyDescent="0.25">
      <c r="A1690" t="s">
        <v>69</v>
      </c>
      <c r="B1690" t="s">
        <v>18</v>
      </c>
      <c r="C1690" t="s">
        <v>23</v>
      </c>
      <c r="D1690" t="s">
        <v>13</v>
      </c>
      <c r="E1690" t="s">
        <v>19</v>
      </c>
      <c r="F1690" t="s">
        <v>15</v>
      </c>
      <c r="G1690">
        <v>13</v>
      </c>
      <c r="H1690">
        <v>44412</v>
      </c>
      <c r="I1690">
        <v>577356</v>
      </c>
      <c r="J1690" t="s">
        <v>27</v>
      </c>
    </row>
    <row r="1691" spans="1:10" x14ac:dyDescent="0.25">
      <c r="A1691" t="s">
        <v>122</v>
      </c>
      <c r="B1691" t="s">
        <v>33</v>
      </c>
      <c r="C1691" t="s">
        <v>12</v>
      </c>
      <c r="D1691" t="s">
        <v>13</v>
      </c>
      <c r="E1691" t="s">
        <v>25</v>
      </c>
      <c r="F1691" t="s">
        <v>40</v>
      </c>
      <c r="G1691">
        <v>4</v>
      </c>
      <c r="H1691">
        <v>48519</v>
      </c>
      <c r="I1691">
        <v>194076</v>
      </c>
      <c r="J1691" t="s">
        <v>20</v>
      </c>
    </row>
    <row r="1692" spans="1:10" x14ac:dyDescent="0.25">
      <c r="A1692" t="s">
        <v>324</v>
      </c>
      <c r="B1692" t="s">
        <v>11</v>
      </c>
      <c r="C1692" t="s">
        <v>23</v>
      </c>
      <c r="D1692" t="s">
        <v>44</v>
      </c>
      <c r="E1692" t="s">
        <v>19</v>
      </c>
      <c r="F1692" t="s">
        <v>15</v>
      </c>
      <c r="G1692">
        <v>3</v>
      </c>
      <c r="H1692">
        <v>48133</v>
      </c>
      <c r="I1692">
        <v>144399</v>
      </c>
      <c r="J1692" t="s">
        <v>27</v>
      </c>
    </row>
    <row r="1693" spans="1:10" x14ac:dyDescent="0.25">
      <c r="A1693" t="s">
        <v>51</v>
      </c>
      <c r="B1693" t="s">
        <v>33</v>
      </c>
      <c r="C1693" t="s">
        <v>23</v>
      </c>
      <c r="D1693" t="s">
        <v>44</v>
      </c>
      <c r="E1693" t="s">
        <v>25</v>
      </c>
      <c r="F1693" t="s">
        <v>15</v>
      </c>
      <c r="G1693">
        <v>11</v>
      </c>
      <c r="H1693">
        <v>42065</v>
      </c>
      <c r="I1693">
        <v>462715</v>
      </c>
      <c r="J1693" t="s">
        <v>16</v>
      </c>
    </row>
    <row r="1694" spans="1:10" x14ac:dyDescent="0.25">
      <c r="A1694" t="s">
        <v>310</v>
      </c>
      <c r="B1694" t="s">
        <v>22</v>
      </c>
      <c r="C1694" t="s">
        <v>34</v>
      </c>
      <c r="D1694" t="s">
        <v>44</v>
      </c>
      <c r="E1694" t="s">
        <v>19</v>
      </c>
      <c r="F1694" t="s">
        <v>26</v>
      </c>
      <c r="G1694">
        <v>9</v>
      </c>
      <c r="H1694">
        <v>22968</v>
      </c>
      <c r="I1694">
        <v>206712</v>
      </c>
      <c r="J1694" t="s">
        <v>36</v>
      </c>
    </row>
    <row r="1695" spans="1:10" x14ac:dyDescent="0.25">
      <c r="A1695" t="s">
        <v>63</v>
      </c>
      <c r="B1695" t="s">
        <v>18</v>
      </c>
      <c r="C1695" t="s">
        <v>12</v>
      </c>
      <c r="D1695" t="s">
        <v>13</v>
      </c>
      <c r="E1695" t="s">
        <v>30</v>
      </c>
      <c r="F1695" t="s">
        <v>15</v>
      </c>
      <c r="G1695">
        <v>20</v>
      </c>
      <c r="H1695">
        <v>16365</v>
      </c>
      <c r="I1695">
        <v>327300</v>
      </c>
      <c r="J1695" t="s">
        <v>16</v>
      </c>
    </row>
    <row r="1696" spans="1:10" x14ac:dyDescent="0.25">
      <c r="A1696" t="s">
        <v>350</v>
      </c>
      <c r="B1696" t="s">
        <v>18</v>
      </c>
      <c r="C1696" t="s">
        <v>29</v>
      </c>
      <c r="D1696" t="s">
        <v>13</v>
      </c>
      <c r="E1696" t="s">
        <v>35</v>
      </c>
      <c r="F1696" t="s">
        <v>15</v>
      </c>
      <c r="G1696">
        <v>16</v>
      </c>
      <c r="H1696">
        <v>54109</v>
      </c>
      <c r="I1696">
        <v>865744</v>
      </c>
      <c r="J1696" t="s">
        <v>16</v>
      </c>
    </row>
    <row r="1697" spans="1:10" x14ac:dyDescent="0.25">
      <c r="A1697" t="s">
        <v>132</v>
      </c>
      <c r="B1697" t="s">
        <v>11</v>
      </c>
      <c r="C1697" t="s">
        <v>38</v>
      </c>
      <c r="D1697" t="s">
        <v>44</v>
      </c>
      <c r="E1697" t="s">
        <v>19</v>
      </c>
      <c r="F1697" t="s">
        <v>40</v>
      </c>
      <c r="G1697">
        <v>5</v>
      </c>
      <c r="H1697">
        <v>57761</v>
      </c>
      <c r="I1697">
        <v>288805</v>
      </c>
      <c r="J1697" t="s">
        <v>16</v>
      </c>
    </row>
    <row r="1698" spans="1:10" x14ac:dyDescent="0.25">
      <c r="A1698" t="s">
        <v>209</v>
      </c>
      <c r="B1698" t="s">
        <v>42</v>
      </c>
      <c r="C1698" t="s">
        <v>38</v>
      </c>
      <c r="D1698" t="s">
        <v>48</v>
      </c>
      <c r="E1698" t="s">
        <v>25</v>
      </c>
      <c r="F1698" t="s">
        <v>40</v>
      </c>
      <c r="G1698">
        <v>1</v>
      </c>
      <c r="H1698">
        <v>49650</v>
      </c>
      <c r="I1698">
        <v>49650</v>
      </c>
      <c r="J1698" t="s">
        <v>36</v>
      </c>
    </row>
    <row r="1699" spans="1:10" x14ac:dyDescent="0.25">
      <c r="A1699" t="s">
        <v>141</v>
      </c>
      <c r="B1699" t="s">
        <v>18</v>
      </c>
      <c r="C1699" t="s">
        <v>38</v>
      </c>
      <c r="D1699" t="s">
        <v>48</v>
      </c>
      <c r="E1699" t="s">
        <v>25</v>
      </c>
      <c r="F1699" t="s">
        <v>40</v>
      </c>
      <c r="G1699">
        <v>15</v>
      </c>
      <c r="H1699">
        <v>41675</v>
      </c>
      <c r="I1699">
        <v>625125</v>
      </c>
      <c r="J1699" t="s">
        <v>36</v>
      </c>
    </row>
    <row r="1700" spans="1:10" x14ac:dyDescent="0.25">
      <c r="A1700" t="s">
        <v>87</v>
      </c>
      <c r="B1700" t="s">
        <v>42</v>
      </c>
      <c r="C1700" t="s">
        <v>23</v>
      </c>
      <c r="D1700" t="s">
        <v>24</v>
      </c>
      <c r="E1700" t="s">
        <v>35</v>
      </c>
      <c r="F1700" t="s">
        <v>15</v>
      </c>
      <c r="G1700">
        <v>19</v>
      </c>
      <c r="H1700">
        <v>56700</v>
      </c>
      <c r="I1700">
        <v>1077300</v>
      </c>
      <c r="J1700" t="s">
        <v>36</v>
      </c>
    </row>
    <row r="1701" spans="1:10" x14ac:dyDescent="0.25">
      <c r="A1701" t="s">
        <v>263</v>
      </c>
      <c r="B1701" t="s">
        <v>42</v>
      </c>
      <c r="C1701" t="s">
        <v>29</v>
      </c>
      <c r="D1701" t="s">
        <v>13</v>
      </c>
      <c r="E1701" t="s">
        <v>30</v>
      </c>
      <c r="F1701" t="s">
        <v>40</v>
      </c>
      <c r="G1701">
        <v>18</v>
      </c>
      <c r="H1701">
        <v>21433</v>
      </c>
      <c r="I1701">
        <v>385794</v>
      </c>
      <c r="J1701" t="s">
        <v>16</v>
      </c>
    </row>
    <row r="1702" spans="1:10" x14ac:dyDescent="0.25">
      <c r="A1702" t="s">
        <v>353</v>
      </c>
      <c r="B1702" t="s">
        <v>33</v>
      </c>
      <c r="C1702" t="s">
        <v>12</v>
      </c>
      <c r="D1702" t="s">
        <v>13</v>
      </c>
      <c r="E1702" t="s">
        <v>14</v>
      </c>
      <c r="F1702" t="s">
        <v>26</v>
      </c>
      <c r="G1702">
        <v>18</v>
      </c>
      <c r="H1702">
        <v>40312</v>
      </c>
      <c r="I1702">
        <v>725616</v>
      </c>
      <c r="J1702" t="s">
        <v>27</v>
      </c>
    </row>
    <row r="1703" spans="1:10" x14ac:dyDescent="0.25">
      <c r="A1703" t="s">
        <v>226</v>
      </c>
      <c r="B1703" t="s">
        <v>11</v>
      </c>
      <c r="C1703" t="s">
        <v>34</v>
      </c>
      <c r="D1703" t="s">
        <v>24</v>
      </c>
      <c r="E1703" t="s">
        <v>35</v>
      </c>
      <c r="F1703" t="s">
        <v>26</v>
      </c>
      <c r="G1703">
        <v>16</v>
      </c>
      <c r="H1703">
        <v>35078</v>
      </c>
      <c r="I1703">
        <v>561248</v>
      </c>
      <c r="J1703" t="s">
        <v>36</v>
      </c>
    </row>
    <row r="1704" spans="1:10" x14ac:dyDescent="0.25">
      <c r="A1704" t="s">
        <v>153</v>
      </c>
      <c r="B1704" t="s">
        <v>42</v>
      </c>
      <c r="C1704" t="s">
        <v>34</v>
      </c>
      <c r="D1704" t="s">
        <v>24</v>
      </c>
      <c r="E1704" t="s">
        <v>35</v>
      </c>
      <c r="F1704" t="s">
        <v>26</v>
      </c>
      <c r="G1704">
        <v>13</v>
      </c>
      <c r="H1704">
        <v>42231</v>
      </c>
      <c r="I1704">
        <v>549003</v>
      </c>
      <c r="J1704" t="s">
        <v>16</v>
      </c>
    </row>
    <row r="1705" spans="1:10" x14ac:dyDescent="0.25">
      <c r="A1705" t="s">
        <v>245</v>
      </c>
      <c r="B1705" t="s">
        <v>11</v>
      </c>
      <c r="C1705" t="s">
        <v>29</v>
      </c>
      <c r="D1705" t="s">
        <v>13</v>
      </c>
      <c r="E1705" t="s">
        <v>30</v>
      </c>
      <c r="F1705" t="s">
        <v>15</v>
      </c>
      <c r="G1705">
        <v>13</v>
      </c>
      <c r="H1705">
        <v>59401</v>
      </c>
      <c r="I1705">
        <v>772213</v>
      </c>
      <c r="J1705" t="s">
        <v>36</v>
      </c>
    </row>
    <row r="1706" spans="1:10" x14ac:dyDescent="0.25">
      <c r="A1706" t="s">
        <v>305</v>
      </c>
      <c r="B1706" t="s">
        <v>11</v>
      </c>
      <c r="C1706" t="s">
        <v>34</v>
      </c>
      <c r="D1706" t="s">
        <v>39</v>
      </c>
      <c r="E1706" t="s">
        <v>19</v>
      </c>
      <c r="F1706" t="s">
        <v>26</v>
      </c>
      <c r="G1706">
        <v>18</v>
      </c>
      <c r="H1706">
        <v>55067</v>
      </c>
      <c r="I1706">
        <v>991206</v>
      </c>
      <c r="J1706" t="s">
        <v>16</v>
      </c>
    </row>
    <row r="1707" spans="1:10" x14ac:dyDescent="0.25">
      <c r="A1707" t="s">
        <v>377</v>
      </c>
      <c r="B1707" t="s">
        <v>42</v>
      </c>
      <c r="C1707" t="s">
        <v>38</v>
      </c>
      <c r="D1707" t="s">
        <v>39</v>
      </c>
      <c r="E1707" t="s">
        <v>30</v>
      </c>
      <c r="F1707" t="s">
        <v>26</v>
      </c>
      <c r="G1707">
        <v>7</v>
      </c>
      <c r="H1707">
        <v>36416</v>
      </c>
      <c r="I1707">
        <v>254912</v>
      </c>
      <c r="J1707" t="s">
        <v>20</v>
      </c>
    </row>
    <row r="1708" spans="1:10" x14ac:dyDescent="0.25">
      <c r="A1708" t="s">
        <v>341</v>
      </c>
      <c r="B1708" t="s">
        <v>33</v>
      </c>
      <c r="C1708" t="s">
        <v>34</v>
      </c>
      <c r="D1708" t="s">
        <v>24</v>
      </c>
      <c r="E1708" t="s">
        <v>30</v>
      </c>
      <c r="F1708" t="s">
        <v>40</v>
      </c>
      <c r="G1708">
        <v>15</v>
      </c>
      <c r="H1708">
        <v>38827</v>
      </c>
      <c r="I1708">
        <v>582405</v>
      </c>
      <c r="J1708" t="s">
        <v>36</v>
      </c>
    </row>
    <row r="1709" spans="1:10" x14ac:dyDescent="0.25">
      <c r="A1709" t="s">
        <v>175</v>
      </c>
      <c r="B1709" t="s">
        <v>18</v>
      </c>
      <c r="C1709" t="s">
        <v>34</v>
      </c>
      <c r="D1709" t="s">
        <v>44</v>
      </c>
      <c r="E1709" t="s">
        <v>35</v>
      </c>
      <c r="F1709" t="s">
        <v>15</v>
      </c>
      <c r="G1709">
        <v>14</v>
      </c>
      <c r="H1709">
        <v>20518</v>
      </c>
      <c r="I1709">
        <v>287252</v>
      </c>
      <c r="J1709" t="s">
        <v>16</v>
      </c>
    </row>
    <row r="1710" spans="1:10" x14ac:dyDescent="0.25">
      <c r="A1710" t="s">
        <v>156</v>
      </c>
      <c r="B1710" t="s">
        <v>18</v>
      </c>
      <c r="C1710" t="s">
        <v>23</v>
      </c>
      <c r="D1710" t="s">
        <v>13</v>
      </c>
      <c r="E1710" t="s">
        <v>30</v>
      </c>
      <c r="F1710" t="s">
        <v>26</v>
      </c>
      <c r="G1710">
        <v>9</v>
      </c>
      <c r="H1710">
        <v>17042</v>
      </c>
      <c r="I1710">
        <v>153378</v>
      </c>
      <c r="J1710" t="s">
        <v>20</v>
      </c>
    </row>
    <row r="1711" spans="1:10" x14ac:dyDescent="0.25">
      <c r="A1711" t="s">
        <v>276</v>
      </c>
      <c r="B1711" t="s">
        <v>42</v>
      </c>
      <c r="C1711" t="s">
        <v>12</v>
      </c>
      <c r="D1711" t="s">
        <v>44</v>
      </c>
      <c r="E1711" t="s">
        <v>30</v>
      </c>
      <c r="F1711" t="s">
        <v>15</v>
      </c>
      <c r="G1711">
        <v>3</v>
      </c>
      <c r="H1711">
        <v>43682</v>
      </c>
      <c r="I1711">
        <v>131046</v>
      </c>
      <c r="J1711" t="s">
        <v>20</v>
      </c>
    </row>
    <row r="1712" spans="1:10" x14ac:dyDescent="0.25">
      <c r="A1712" t="s">
        <v>207</v>
      </c>
      <c r="B1712" t="s">
        <v>42</v>
      </c>
      <c r="C1712" t="s">
        <v>23</v>
      </c>
      <c r="D1712" t="s">
        <v>24</v>
      </c>
      <c r="E1712" t="s">
        <v>30</v>
      </c>
      <c r="F1712" t="s">
        <v>40</v>
      </c>
      <c r="G1712">
        <v>19</v>
      </c>
      <c r="H1712">
        <v>52922</v>
      </c>
      <c r="I1712">
        <v>1005518</v>
      </c>
      <c r="J1712" t="s">
        <v>16</v>
      </c>
    </row>
    <row r="1713" spans="1:10" x14ac:dyDescent="0.25">
      <c r="A1713" t="s">
        <v>43</v>
      </c>
      <c r="B1713" t="s">
        <v>33</v>
      </c>
      <c r="C1713" t="s">
        <v>29</v>
      </c>
      <c r="D1713" t="s">
        <v>44</v>
      </c>
      <c r="E1713" t="s">
        <v>30</v>
      </c>
      <c r="F1713" t="s">
        <v>15</v>
      </c>
      <c r="G1713">
        <v>7</v>
      </c>
      <c r="H1713">
        <v>36335</v>
      </c>
      <c r="I1713">
        <v>254345</v>
      </c>
      <c r="J1713" t="s">
        <v>16</v>
      </c>
    </row>
    <row r="1714" spans="1:10" x14ac:dyDescent="0.25">
      <c r="A1714" t="s">
        <v>315</v>
      </c>
      <c r="B1714" t="s">
        <v>11</v>
      </c>
      <c r="C1714" t="s">
        <v>12</v>
      </c>
      <c r="D1714" t="s">
        <v>39</v>
      </c>
      <c r="E1714" t="s">
        <v>25</v>
      </c>
      <c r="F1714" t="s">
        <v>40</v>
      </c>
      <c r="G1714">
        <v>5</v>
      </c>
      <c r="H1714">
        <v>46598</v>
      </c>
      <c r="I1714">
        <v>232990</v>
      </c>
      <c r="J1714" t="s">
        <v>20</v>
      </c>
    </row>
    <row r="1715" spans="1:10" x14ac:dyDescent="0.25">
      <c r="A1715" t="s">
        <v>254</v>
      </c>
      <c r="B1715" t="s">
        <v>22</v>
      </c>
      <c r="C1715" t="s">
        <v>34</v>
      </c>
      <c r="D1715" t="s">
        <v>39</v>
      </c>
      <c r="E1715" t="s">
        <v>19</v>
      </c>
      <c r="F1715" t="s">
        <v>40</v>
      </c>
      <c r="G1715">
        <v>18</v>
      </c>
      <c r="H1715">
        <v>25777</v>
      </c>
      <c r="I1715">
        <v>463986</v>
      </c>
      <c r="J1715" t="s">
        <v>20</v>
      </c>
    </row>
    <row r="1716" spans="1:10" x14ac:dyDescent="0.25">
      <c r="A1716" t="s">
        <v>162</v>
      </c>
      <c r="B1716" t="s">
        <v>11</v>
      </c>
      <c r="C1716" t="s">
        <v>29</v>
      </c>
      <c r="D1716" t="s">
        <v>39</v>
      </c>
      <c r="E1716" t="s">
        <v>19</v>
      </c>
      <c r="F1716" t="s">
        <v>40</v>
      </c>
      <c r="G1716">
        <v>18</v>
      </c>
      <c r="H1716">
        <v>22201</v>
      </c>
      <c r="I1716">
        <v>399618</v>
      </c>
      <c r="J1716" t="s">
        <v>27</v>
      </c>
    </row>
    <row r="1717" spans="1:10" x14ac:dyDescent="0.25">
      <c r="A1717" t="s">
        <v>59</v>
      </c>
      <c r="B1717" t="s">
        <v>33</v>
      </c>
      <c r="C1717" t="s">
        <v>29</v>
      </c>
      <c r="D1717" t="s">
        <v>13</v>
      </c>
      <c r="E1717" t="s">
        <v>19</v>
      </c>
      <c r="F1717" t="s">
        <v>15</v>
      </c>
      <c r="G1717">
        <v>6</v>
      </c>
      <c r="H1717">
        <v>31992</v>
      </c>
      <c r="I1717">
        <v>191952</v>
      </c>
      <c r="J1717" t="s">
        <v>16</v>
      </c>
    </row>
    <row r="1718" spans="1:10" x14ac:dyDescent="0.25">
      <c r="A1718" t="s">
        <v>255</v>
      </c>
      <c r="B1718" t="s">
        <v>42</v>
      </c>
      <c r="C1718" t="s">
        <v>38</v>
      </c>
      <c r="D1718" t="s">
        <v>48</v>
      </c>
      <c r="E1718" t="s">
        <v>30</v>
      </c>
      <c r="F1718" t="s">
        <v>26</v>
      </c>
      <c r="G1718">
        <v>3</v>
      </c>
      <c r="H1718">
        <v>36419</v>
      </c>
      <c r="I1718">
        <v>109257</v>
      </c>
      <c r="J1718" t="s">
        <v>20</v>
      </c>
    </row>
    <row r="1719" spans="1:10" x14ac:dyDescent="0.25">
      <c r="A1719" t="s">
        <v>269</v>
      </c>
      <c r="B1719" t="s">
        <v>11</v>
      </c>
      <c r="C1719" t="s">
        <v>29</v>
      </c>
      <c r="D1719" t="s">
        <v>39</v>
      </c>
      <c r="E1719" t="s">
        <v>30</v>
      </c>
      <c r="F1719" t="s">
        <v>40</v>
      </c>
      <c r="G1719">
        <v>7</v>
      </c>
      <c r="H1719">
        <v>19938</v>
      </c>
      <c r="I1719">
        <v>139566</v>
      </c>
      <c r="J1719" t="s">
        <v>27</v>
      </c>
    </row>
    <row r="1720" spans="1:10" x14ac:dyDescent="0.25">
      <c r="A1720" t="s">
        <v>264</v>
      </c>
      <c r="B1720" t="s">
        <v>42</v>
      </c>
      <c r="C1720" t="s">
        <v>23</v>
      </c>
      <c r="D1720" t="s">
        <v>48</v>
      </c>
      <c r="E1720" t="s">
        <v>14</v>
      </c>
      <c r="F1720" t="s">
        <v>26</v>
      </c>
      <c r="G1720">
        <v>8</v>
      </c>
      <c r="H1720">
        <v>22873</v>
      </c>
      <c r="I1720">
        <v>182984</v>
      </c>
      <c r="J1720" t="s">
        <v>27</v>
      </c>
    </row>
    <row r="1721" spans="1:10" x14ac:dyDescent="0.25">
      <c r="A1721" t="s">
        <v>375</v>
      </c>
      <c r="B1721" t="s">
        <v>42</v>
      </c>
      <c r="C1721" t="s">
        <v>34</v>
      </c>
      <c r="D1721" t="s">
        <v>48</v>
      </c>
      <c r="E1721" t="s">
        <v>14</v>
      </c>
      <c r="F1721" t="s">
        <v>40</v>
      </c>
      <c r="G1721">
        <v>14</v>
      </c>
      <c r="H1721">
        <v>22239</v>
      </c>
      <c r="I1721">
        <v>311346</v>
      </c>
      <c r="J1721" t="s">
        <v>27</v>
      </c>
    </row>
    <row r="1722" spans="1:10" x14ac:dyDescent="0.25">
      <c r="A1722" t="s">
        <v>289</v>
      </c>
      <c r="B1722" t="s">
        <v>42</v>
      </c>
      <c r="C1722" t="s">
        <v>34</v>
      </c>
      <c r="D1722" t="s">
        <v>13</v>
      </c>
      <c r="E1722" t="s">
        <v>19</v>
      </c>
      <c r="F1722" t="s">
        <v>40</v>
      </c>
      <c r="G1722">
        <v>16</v>
      </c>
      <c r="H1722">
        <v>17325</v>
      </c>
      <c r="I1722">
        <v>277200</v>
      </c>
      <c r="J1722" t="s">
        <v>16</v>
      </c>
    </row>
    <row r="1723" spans="1:10" x14ac:dyDescent="0.25">
      <c r="A1723" t="s">
        <v>190</v>
      </c>
      <c r="B1723" t="s">
        <v>42</v>
      </c>
      <c r="C1723" t="s">
        <v>29</v>
      </c>
      <c r="D1723" t="s">
        <v>24</v>
      </c>
      <c r="E1723" t="s">
        <v>25</v>
      </c>
      <c r="F1723" t="s">
        <v>15</v>
      </c>
      <c r="G1723">
        <v>18</v>
      </c>
      <c r="H1723">
        <v>27081</v>
      </c>
      <c r="I1723">
        <v>487458</v>
      </c>
      <c r="J1723" t="s">
        <v>16</v>
      </c>
    </row>
    <row r="1724" spans="1:10" x14ac:dyDescent="0.25">
      <c r="A1724" t="s">
        <v>228</v>
      </c>
      <c r="B1724" t="s">
        <v>18</v>
      </c>
      <c r="C1724" t="s">
        <v>38</v>
      </c>
      <c r="D1724" t="s">
        <v>48</v>
      </c>
      <c r="E1724" t="s">
        <v>14</v>
      </c>
      <c r="F1724" t="s">
        <v>40</v>
      </c>
      <c r="G1724">
        <v>13</v>
      </c>
      <c r="H1724">
        <v>18947</v>
      </c>
      <c r="I1724">
        <v>246311</v>
      </c>
      <c r="J1724" t="s">
        <v>27</v>
      </c>
    </row>
    <row r="1725" spans="1:10" x14ac:dyDescent="0.25">
      <c r="A1725" t="s">
        <v>378</v>
      </c>
      <c r="B1725" t="s">
        <v>42</v>
      </c>
      <c r="C1725" t="s">
        <v>34</v>
      </c>
      <c r="D1725" t="s">
        <v>24</v>
      </c>
      <c r="E1725" t="s">
        <v>14</v>
      </c>
      <c r="F1725" t="s">
        <v>40</v>
      </c>
      <c r="G1725">
        <v>3</v>
      </c>
      <c r="H1725">
        <v>48874</v>
      </c>
      <c r="I1725">
        <v>146622</v>
      </c>
      <c r="J1725" t="s">
        <v>36</v>
      </c>
    </row>
    <row r="1726" spans="1:10" x14ac:dyDescent="0.25">
      <c r="A1726" t="s">
        <v>350</v>
      </c>
      <c r="B1726" t="s">
        <v>22</v>
      </c>
      <c r="C1726" t="s">
        <v>29</v>
      </c>
      <c r="D1726" t="s">
        <v>39</v>
      </c>
      <c r="E1726" t="s">
        <v>25</v>
      </c>
      <c r="F1726" t="s">
        <v>26</v>
      </c>
      <c r="G1726">
        <v>14</v>
      </c>
      <c r="H1726">
        <v>46966</v>
      </c>
      <c r="I1726">
        <v>657524</v>
      </c>
      <c r="J1726" t="s">
        <v>20</v>
      </c>
    </row>
    <row r="1727" spans="1:10" x14ac:dyDescent="0.25">
      <c r="A1727" t="s">
        <v>53</v>
      </c>
      <c r="B1727" t="s">
        <v>22</v>
      </c>
      <c r="C1727" t="s">
        <v>12</v>
      </c>
      <c r="D1727" t="s">
        <v>48</v>
      </c>
      <c r="E1727" t="s">
        <v>35</v>
      </c>
      <c r="F1727" t="s">
        <v>15</v>
      </c>
      <c r="G1727">
        <v>17</v>
      </c>
      <c r="H1727">
        <v>18730</v>
      </c>
      <c r="I1727">
        <v>318410</v>
      </c>
      <c r="J1727" t="s">
        <v>36</v>
      </c>
    </row>
    <row r="1728" spans="1:10" x14ac:dyDescent="0.25">
      <c r="A1728" t="s">
        <v>160</v>
      </c>
      <c r="B1728" t="s">
        <v>33</v>
      </c>
      <c r="C1728" t="s">
        <v>23</v>
      </c>
      <c r="D1728" t="s">
        <v>13</v>
      </c>
      <c r="E1728" t="s">
        <v>25</v>
      </c>
      <c r="F1728" t="s">
        <v>40</v>
      </c>
      <c r="G1728">
        <v>18</v>
      </c>
      <c r="H1728">
        <v>48598</v>
      </c>
      <c r="I1728">
        <v>874764</v>
      </c>
      <c r="J1728" t="s">
        <v>36</v>
      </c>
    </row>
    <row r="1729" spans="1:10" x14ac:dyDescent="0.25">
      <c r="A1729" t="s">
        <v>251</v>
      </c>
      <c r="B1729" t="s">
        <v>22</v>
      </c>
      <c r="C1729" t="s">
        <v>38</v>
      </c>
      <c r="D1729" t="s">
        <v>39</v>
      </c>
      <c r="E1729" t="s">
        <v>14</v>
      </c>
      <c r="F1729" t="s">
        <v>40</v>
      </c>
      <c r="G1729">
        <v>19</v>
      </c>
      <c r="H1729">
        <v>32076</v>
      </c>
      <c r="I1729">
        <v>609444</v>
      </c>
      <c r="J1729" t="s">
        <v>27</v>
      </c>
    </row>
    <row r="1730" spans="1:10" x14ac:dyDescent="0.25">
      <c r="A1730" t="s">
        <v>154</v>
      </c>
      <c r="B1730" t="s">
        <v>42</v>
      </c>
      <c r="C1730" t="s">
        <v>29</v>
      </c>
      <c r="D1730" t="s">
        <v>44</v>
      </c>
      <c r="E1730" t="s">
        <v>30</v>
      </c>
      <c r="F1730" t="s">
        <v>15</v>
      </c>
      <c r="G1730">
        <v>18</v>
      </c>
      <c r="H1730">
        <v>22158</v>
      </c>
      <c r="I1730">
        <v>398844</v>
      </c>
      <c r="J1730" t="s">
        <v>36</v>
      </c>
    </row>
    <row r="1731" spans="1:10" x14ac:dyDescent="0.25">
      <c r="A1731" t="s">
        <v>84</v>
      </c>
      <c r="B1731" t="s">
        <v>18</v>
      </c>
      <c r="C1731" t="s">
        <v>23</v>
      </c>
      <c r="D1731" t="s">
        <v>24</v>
      </c>
      <c r="E1731" t="s">
        <v>25</v>
      </c>
      <c r="F1731" t="s">
        <v>15</v>
      </c>
      <c r="G1731">
        <v>1</v>
      </c>
      <c r="H1731">
        <v>23365</v>
      </c>
      <c r="I1731">
        <v>23365</v>
      </c>
      <c r="J1731" t="s">
        <v>20</v>
      </c>
    </row>
    <row r="1732" spans="1:10" x14ac:dyDescent="0.25">
      <c r="A1732" t="s">
        <v>101</v>
      </c>
      <c r="B1732" t="s">
        <v>11</v>
      </c>
      <c r="C1732" t="s">
        <v>23</v>
      </c>
      <c r="D1732" t="s">
        <v>39</v>
      </c>
      <c r="E1732" t="s">
        <v>14</v>
      </c>
      <c r="F1732" t="s">
        <v>26</v>
      </c>
      <c r="G1732">
        <v>19</v>
      </c>
      <c r="H1732">
        <v>38250</v>
      </c>
      <c r="I1732">
        <v>726750</v>
      </c>
      <c r="J1732" t="s">
        <v>20</v>
      </c>
    </row>
    <row r="1733" spans="1:10" x14ac:dyDescent="0.25">
      <c r="A1733" t="s">
        <v>262</v>
      </c>
      <c r="B1733" t="s">
        <v>33</v>
      </c>
      <c r="C1733" t="s">
        <v>34</v>
      </c>
      <c r="D1733" t="s">
        <v>48</v>
      </c>
      <c r="E1733" t="s">
        <v>14</v>
      </c>
      <c r="F1733" t="s">
        <v>15</v>
      </c>
      <c r="G1733">
        <v>8</v>
      </c>
      <c r="H1733">
        <v>41722</v>
      </c>
      <c r="I1733">
        <v>333776</v>
      </c>
      <c r="J1733" t="s">
        <v>20</v>
      </c>
    </row>
    <row r="1734" spans="1:10" x14ac:dyDescent="0.25">
      <c r="A1734" t="s">
        <v>67</v>
      </c>
      <c r="B1734" t="s">
        <v>11</v>
      </c>
      <c r="C1734" t="s">
        <v>29</v>
      </c>
      <c r="D1734" t="s">
        <v>48</v>
      </c>
      <c r="E1734" t="s">
        <v>19</v>
      </c>
      <c r="F1734" t="s">
        <v>40</v>
      </c>
      <c r="G1734">
        <v>10</v>
      </c>
      <c r="H1734">
        <v>43563</v>
      </c>
      <c r="I1734">
        <v>435630</v>
      </c>
      <c r="J1734" t="s">
        <v>20</v>
      </c>
    </row>
    <row r="1735" spans="1:10" x14ac:dyDescent="0.25">
      <c r="A1735" t="s">
        <v>108</v>
      </c>
      <c r="B1735" t="s">
        <v>42</v>
      </c>
      <c r="C1735" t="s">
        <v>23</v>
      </c>
      <c r="D1735" t="s">
        <v>39</v>
      </c>
      <c r="E1735" t="s">
        <v>35</v>
      </c>
      <c r="F1735" t="s">
        <v>40</v>
      </c>
      <c r="G1735">
        <v>19</v>
      </c>
      <c r="H1735">
        <v>15849</v>
      </c>
      <c r="I1735">
        <v>301131</v>
      </c>
      <c r="J1735" t="s">
        <v>20</v>
      </c>
    </row>
    <row r="1736" spans="1:10" x14ac:dyDescent="0.25">
      <c r="A1736" t="s">
        <v>175</v>
      </c>
      <c r="B1736" t="s">
        <v>42</v>
      </c>
      <c r="C1736" t="s">
        <v>29</v>
      </c>
      <c r="D1736" t="s">
        <v>44</v>
      </c>
      <c r="E1736" t="s">
        <v>14</v>
      </c>
      <c r="F1736" t="s">
        <v>40</v>
      </c>
      <c r="G1736">
        <v>16</v>
      </c>
      <c r="H1736">
        <v>38298</v>
      </c>
      <c r="I1736">
        <v>612768</v>
      </c>
      <c r="J1736" t="s">
        <v>20</v>
      </c>
    </row>
    <row r="1737" spans="1:10" x14ac:dyDescent="0.25">
      <c r="A1737" t="s">
        <v>214</v>
      </c>
      <c r="B1737" t="s">
        <v>11</v>
      </c>
      <c r="C1737" t="s">
        <v>12</v>
      </c>
      <c r="D1737" t="s">
        <v>48</v>
      </c>
      <c r="E1737" t="s">
        <v>30</v>
      </c>
      <c r="F1737" t="s">
        <v>26</v>
      </c>
      <c r="G1737">
        <v>3</v>
      </c>
      <c r="H1737">
        <v>40807</v>
      </c>
      <c r="I1737">
        <v>122421</v>
      </c>
      <c r="J1737" t="s">
        <v>36</v>
      </c>
    </row>
    <row r="1738" spans="1:10" x14ac:dyDescent="0.25">
      <c r="A1738" t="s">
        <v>204</v>
      </c>
      <c r="B1738" t="s">
        <v>11</v>
      </c>
      <c r="C1738" t="s">
        <v>23</v>
      </c>
      <c r="D1738" t="s">
        <v>48</v>
      </c>
      <c r="E1738" t="s">
        <v>14</v>
      </c>
      <c r="F1738" t="s">
        <v>15</v>
      </c>
      <c r="G1738">
        <v>1</v>
      </c>
      <c r="H1738">
        <v>36049</v>
      </c>
      <c r="I1738">
        <v>36049</v>
      </c>
      <c r="J1738" t="s">
        <v>16</v>
      </c>
    </row>
    <row r="1739" spans="1:10" x14ac:dyDescent="0.25">
      <c r="A1739" t="s">
        <v>270</v>
      </c>
      <c r="B1739" t="s">
        <v>42</v>
      </c>
      <c r="C1739" t="s">
        <v>23</v>
      </c>
      <c r="D1739" t="s">
        <v>13</v>
      </c>
      <c r="E1739" t="s">
        <v>19</v>
      </c>
      <c r="F1739" t="s">
        <v>15</v>
      </c>
      <c r="G1739">
        <v>6</v>
      </c>
      <c r="H1739">
        <v>47875</v>
      </c>
      <c r="I1739">
        <v>287250</v>
      </c>
      <c r="J1739" t="s">
        <v>16</v>
      </c>
    </row>
    <row r="1740" spans="1:10" x14ac:dyDescent="0.25">
      <c r="A1740" t="s">
        <v>258</v>
      </c>
      <c r="B1740" t="s">
        <v>33</v>
      </c>
      <c r="C1740" t="s">
        <v>38</v>
      </c>
      <c r="D1740" t="s">
        <v>44</v>
      </c>
      <c r="E1740" t="s">
        <v>14</v>
      </c>
      <c r="F1740" t="s">
        <v>26</v>
      </c>
      <c r="G1740">
        <v>16</v>
      </c>
      <c r="H1740">
        <v>47011</v>
      </c>
      <c r="I1740">
        <v>752176</v>
      </c>
      <c r="J1740" t="s">
        <v>16</v>
      </c>
    </row>
    <row r="1741" spans="1:10" x14ac:dyDescent="0.25">
      <c r="A1741" t="s">
        <v>305</v>
      </c>
      <c r="B1741" t="s">
        <v>33</v>
      </c>
      <c r="C1741" t="s">
        <v>38</v>
      </c>
      <c r="D1741" t="s">
        <v>44</v>
      </c>
      <c r="E1741" t="s">
        <v>14</v>
      </c>
      <c r="F1741" t="s">
        <v>40</v>
      </c>
      <c r="G1741">
        <v>11</v>
      </c>
      <c r="H1741">
        <v>46369</v>
      </c>
      <c r="I1741">
        <v>510059</v>
      </c>
      <c r="J1741" t="s">
        <v>16</v>
      </c>
    </row>
    <row r="1742" spans="1:10" x14ac:dyDescent="0.25">
      <c r="A1742" t="s">
        <v>310</v>
      </c>
      <c r="B1742" t="s">
        <v>11</v>
      </c>
      <c r="C1742" t="s">
        <v>12</v>
      </c>
      <c r="D1742" t="s">
        <v>13</v>
      </c>
      <c r="E1742" t="s">
        <v>25</v>
      </c>
      <c r="F1742" t="s">
        <v>15</v>
      </c>
      <c r="G1742">
        <v>17</v>
      </c>
      <c r="H1742">
        <v>30899</v>
      </c>
      <c r="I1742">
        <v>525283</v>
      </c>
      <c r="J1742" t="s">
        <v>16</v>
      </c>
    </row>
    <row r="1743" spans="1:10" x14ac:dyDescent="0.25">
      <c r="A1743" t="s">
        <v>302</v>
      </c>
      <c r="B1743" t="s">
        <v>11</v>
      </c>
      <c r="C1743" t="s">
        <v>34</v>
      </c>
      <c r="D1743" t="s">
        <v>13</v>
      </c>
      <c r="E1743" t="s">
        <v>30</v>
      </c>
      <c r="F1743" t="s">
        <v>40</v>
      </c>
      <c r="G1743">
        <v>10</v>
      </c>
      <c r="H1743">
        <v>22947</v>
      </c>
      <c r="I1743">
        <v>229470</v>
      </c>
      <c r="J1743" t="s">
        <v>20</v>
      </c>
    </row>
    <row r="1744" spans="1:10" x14ac:dyDescent="0.25">
      <c r="A1744" t="s">
        <v>193</v>
      </c>
      <c r="B1744" t="s">
        <v>11</v>
      </c>
      <c r="C1744" t="s">
        <v>34</v>
      </c>
      <c r="D1744" t="s">
        <v>24</v>
      </c>
      <c r="E1744" t="s">
        <v>25</v>
      </c>
      <c r="F1744" t="s">
        <v>15</v>
      </c>
      <c r="G1744">
        <v>9</v>
      </c>
      <c r="H1744">
        <v>45504</v>
      </c>
      <c r="I1744">
        <v>409536</v>
      </c>
      <c r="J1744" t="s">
        <v>16</v>
      </c>
    </row>
    <row r="1745" spans="1:10" x14ac:dyDescent="0.25">
      <c r="A1745" t="s">
        <v>283</v>
      </c>
      <c r="B1745" t="s">
        <v>42</v>
      </c>
      <c r="C1745" t="s">
        <v>29</v>
      </c>
      <c r="D1745" t="s">
        <v>44</v>
      </c>
      <c r="E1745" t="s">
        <v>19</v>
      </c>
      <c r="F1745" t="s">
        <v>26</v>
      </c>
      <c r="G1745">
        <v>17</v>
      </c>
      <c r="H1745">
        <v>47234</v>
      </c>
      <c r="I1745">
        <v>802978</v>
      </c>
      <c r="J1745" t="s">
        <v>20</v>
      </c>
    </row>
    <row r="1746" spans="1:10" x14ac:dyDescent="0.25">
      <c r="A1746" t="s">
        <v>391</v>
      </c>
      <c r="B1746" t="s">
        <v>33</v>
      </c>
      <c r="C1746" t="s">
        <v>23</v>
      </c>
      <c r="D1746" t="s">
        <v>13</v>
      </c>
      <c r="E1746" t="s">
        <v>30</v>
      </c>
      <c r="F1746" t="s">
        <v>15</v>
      </c>
      <c r="G1746">
        <v>7</v>
      </c>
      <c r="H1746">
        <v>33201</v>
      </c>
      <c r="I1746">
        <v>232407</v>
      </c>
      <c r="J1746" t="s">
        <v>36</v>
      </c>
    </row>
    <row r="1747" spans="1:10" x14ac:dyDescent="0.25">
      <c r="A1747" t="s">
        <v>74</v>
      </c>
      <c r="B1747" t="s">
        <v>33</v>
      </c>
      <c r="C1747" t="s">
        <v>38</v>
      </c>
      <c r="D1747" t="s">
        <v>24</v>
      </c>
      <c r="E1747" t="s">
        <v>19</v>
      </c>
      <c r="F1747" t="s">
        <v>15</v>
      </c>
      <c r="G1747">
        <v>10</v>
      </c>
      <c r="H1747">
        <v>32508</v>
      </c>
      <c r="I1747">
        <v>325080</v>
      </c>
      <c r="J1747" t="s">
        <v>20</v>
      </c>
    </row>
    <row r="1748" spans="1:10" x14ac:dyDescent="0.25">
      <c r="A1748" t="s">
        <v>349</v>
      </c>
      <c r="B1748" t="s">
        <v>18</v>
      </c>
      <c r="C1748" t="s">
        <v>23</v>
      </c>
      <c r="D1748" t="s">
        <v>44</v>
      </c>
      <c r="E1748" t="s">
        <v>25</v>
      </c>
      <c r="F1748" t="s">
        <v>40</v>
      </c>
      <c r="G1748">
        <v>14</v>
      </c>
      <c r="H1748">
        <v>19805</v>
      </c>
      <c r="I1748">
        <v>277270</v>
      </c>
      <c r="J1748" t="s">
        <v>36</v>
      </c>
    </row>
    <row r="1749" spans="1:10" x14ac:dyDescent="0.25">
      <c r="A1749" t="s">
        <v>381</v>
      </c>
      <c r="B1749" t="s">
        <v>42</v>
      </c>
      <c r="C1749" t="s">
        <v>34</v>
      </c>
      <c r="D1749" t="s">
        <v>48</v>
      </c>
      <c r="E1749" t="s">
        <v>25</v>
      </c>
      <c r="F1749" t="s">
        <v>26</v>
      </c>
      <c r="G1749">
        <v>19</v>
      </c>
      <c r="H1749">
        <v>16271</v>
      </c>
      <c r="I1749">
        <v>309149</v>
      </c>
      <c r="J1749" t="s">
        <v>36</v>
      </c>
    </row>
    <row r="1750" spans="1:10" x14ac:dyDescent="0.25">
      <c r="A1750" t="s">
        <v>347</v>
      </c>
      <c r="B1750" t="s">
        <v>11</v>
      </c>
      <c r="C1750" t="s">
        <v>12</v>
      </c>
      <c r="D1750" t="s">
        <v>24</v>
      </c>
      <c r="E1750" t="s">
        <v>35</v>
      </c>
      <c r="F1750" t="s">
        <v>40</v>
      </c>
      <c r="G1750">
        <v>2</v>
      </c>
      <c r="H1750">
        <v>20738</v>
      </c>
      <c r="I1750">
        <v>41476</v>
      </c>
      <c r="J1750" t="s">
        <v>27</v>
      </c>
    </row>
    <row r="1751" spans="1:10" x14ac:dyDescent="0.25">
      <c r="A1751" t="s">
        <v>124</v>
      </c>
      <c r="B1751" t="s">
        <v>33</v>
      </c>
      <c r="C1751" t="s">
        <v>29</v>
      </c>
      <c r="D1751" t="s">
        <v>39</v>
      </c>
      <c r="E1751" t="s">
        <v>35</v>
      </c>
      <c r="F1751" t="s">
        <v>15</v>
      </c>
      <c r="G1751">
        <v>18</v>
      </c>
      <c r="H1751">
        <v>24294</v>
      </c>
      <c r="I1751">
        <v>437292</v>
      </c>
      <c r="J1751" t="s">
        <v>36</v>
      </c>
    </row>
    <row r="1752" spans="1:10" x14ac:dyDescent="0.25">
      <c r="A1752" t="s">
        <v>94</v>
      </c>
      <c r="B1752" t="s">
        <v>11</v>
      </c>
      <c r="C1752" t="s">
        <v>38</v>
      </c>
      <c r="D1752" t="s">
        <v>44</v>
      </c>
      <c r="E1752" t="s">
        <v>30</v>
      </c>
      <c r="F1752" t="s">
        <v>26</v>
      </c>
      <c r="G1752">
        <v>19</v>
      </c>
      <c r="H1752">
        <v>51368</v>
      </c>
      <c r="I1752">
        <v>975992</v>
      </c>
      <c r="J1752" t="s">
        <v>27</v>
      </c>
    </row>
    <row r="1753" spans="1:10" x14ac:dyDescent="0.25">
      <c r="A1753" t="s">
        <v>363</v>
      </c>
      <c r="B1753" t="s">
        <v>11</v>
      </c>
      <c r="C1753" t="s">
        <v>34</v>
      </c>
      <c r="D1753" t="s">
        <v>39</v>
      </c>
      <c r="E1753" t="s">
        <v>19</v>
      </c>
      <c r="F1753" t="s">
        <v>26</v>
      </c>
      <c r="G1753">
        <v>5</v>
      </c>
      <c r="H1753">
        <v>20947</v>
      </c>
      <c r="I1753">
        <v>104735</v>
      </c>
      <c r="J1753" t="s">
        <v>16</v>
      </c>
    </row>
    <row r="1754" spans="1:10" x14ac:dyDescent="0.25">
      <c r="A1754" t="s">
        <v>321</v>
      </c>
      <c r="B1754" t="s">
        <v>33</v>
      </c>
      <c r="C1754" t="s">
        <v>38</v>
      </c>
      <c r="D1754" t="s">
        <v>44</v>
      </c>
      <c r="E1754" t="s">
        <v>30</v>
      </c>
      <c r="F1754" t="s">
        <v>40</v>
      </c>
      <c r="G1754">
        <v>6</v>
      </c>
      <c r="H1754">
        <v>57844</v>
      </c>
      <c r="I1754">
        <v>347064</v>
      </c>
      <c r="J1754" t="s">
        <v>20</v>
      </c>
    </row>
    <row r="1755" spans="1:10" x14ac:dyDescent="0.25">
      <c r="A1755" t="s">
        <v>216</v>
      </c>
      <c r="B1755" t="s">
        <v>33</v>
      </c>
      <c r="C1755" t="s">
        <v>38</v>
      </c>
      <c r="D1755" t="s">
        <v>48</v>
      </c>
      <c r="E1755" t="s">
        <v>35</v>
      </c>
      <c r="F1755" t="s">
        <v>26</v>
      </c>
      <c r="G1755">
        <v>17</v>
      </c>
      <c r="H1755">
        <v>48827</v>
      </c>
      <c r="I1755">
        <v>830059</v>
      </c>
      <c r="J1755" t="s">
        <v>36</v>
      </c>
    </row>
    <row r="1756" spans="1:10" x14ac:dyDescent="0.25">
      <c r="A1756" t="s">
        <v>271</v>
      </c>
      <c r="B1756" t="s">
        <v>18</v>
      </c>
      <c r="C1756" t="s">
        <v>23</v>
      </c>
      <c r="D1756" t="s">
        <v>44</v>
      </c>
      <c r="E1756" t="s">
        <v>19</v>
      </c>
      <c r="F1756" t="s">
        <v>40</v>
      </c>
      <c r="G1756">
        <v>15</v>
      </c>
      <c r="H1756">
        <v>52740</v>
      </c>
      <c r="I1756">
        <v>791100</v>
      </c>
      <c r="J1756" t="s">
        <v>36</v>
      </c>
    </row>
    <row r="1757" spans="1:10" x14ac:dyDescent="0.25">
      <c r="A1757" t="s">
        <v>226</v>
      </c>
      <c r="B1757" t="s">
        <v>42</v>
      </c>
      <c r="C1757" t="s">
        <v>12</v>
      </c>
      <c r="D1757" t="s">
        <v>39</v>
      </c>
      <c r="E1757" t="s">
        <v>19</v>
      </c>
      <c r="F1757" t="s">
        <v>40</v>
      </c>
      <c r="G1757">
        <v>2</v>
      </c>
      <c r="H1757">
        <v>32340</v>
      </c>
      <c r="I1757">
        <v>64680</v>
      </c>
      <c r="J1757" t="s">
        <v>20</v>
      </c>
    </row>
    <row r="1758" spans="1:10" x14ac:dyDescent="0.25">
      <c r="A1758" t="s">
        <v>166</v>
      </c>
      <c r="B1758" t="s">
        <v>42</v>
      </c>
      <c r="C1758" t="s">
        <v>23</v>
      </c>
      <c r="D1758" t="s">
        <v>39</v>
      </c>
      <c r="E1758" t="s">
        <v>35</v>
      </c>
      <c r="F1758" t="s">
        <v>40</v>
      </c>
      <c r="G1758">
        <v>8</v>
      </c>
      <c r="H1758">
        <v>23567</v>
      </c>
      <c r="I1758">
        <v>188536</v>
      </c>
      <c r="J1758" t="s">
        <v>36</v>
      </c>
    </row>
    <row r="1759" spans="1:10" x14ac:dyDescent="0.25">
      <c r="A1759" t="s">
        <v>175</v>
      </c>
      <c r="B1759" t="s">
        <v>11</v>
      </c>
      <c r="C1759" t="s">
        <v>23</v>
      </c>
      <c r="D1759" t="s">
        <v>24</v>
      </c>
      <c r="E1759" t="s">
        <v>14</v>
      </c>
      <c r="F1759" t="s">
        <v>26</v>
      </c>
      <c r="G1759">
        <v>12</v>
      </c>
      <c r="H1759">
        <v>33115</v>
      </c>
      <c r="I1759">
        <v>397380</v>
      </c>
      <c r="J1759" t="s">
        <v>20</v>
      </c>
    </row>
    <row r="1760" spans="1:10" x14ac:dyDescent="0.25">
      <c r="A1760" t="s">
        <v>152</v>
      </c>
      <c r="B1760" t="s">
        <v>18</v>
      </c>
      <c r="C1760" t="s">
        <v>12</v>
      </c>
      <c r="D1760" t="s">
        <v>24</v>
      </c>
      <c r="E1760" t="s">
        <v>19</v>
      </c>
      <c r="F1760" t="s">
        <v>15</v>
      </c>
      <c r="G1760">
        <v>18</v>
      </c>
      <c r="H1760">
        <v>28089</v>
      </c>
      <c r="I1760">
        <v>505602</v>
      </c>
      <c r="J1760" t="s">
        <v>20</v>
      </c>
    </row>
    <row r="1761" spans="1:10" x14ac:dyDescent="0.25">
      <c r="A1761" t="s">
        <v>398</v>
      </c>
      <c r="B1761" t="s">
        <v>11</v>
      </c>
      <c r="C1761" t="s">
        <v>23</v>
      </c>
      <c r="D1761" t="s">
        <v>48</v>
      </c>
      <c r="E1761" t="s">
        <v>25</v>
      </c>
      <c r="F1761" t="s">
        <v>26</v>
      </c>
      <c r="G1761">
        <v>18</v>
      </c>
      <c r="H1761">
        <v>23481</v>
      </c>
      <c r="I1761">
        <v>422658</v>
      </c>
      <c r="J1761" t="s">
        <v>20</v>
      </c>
    </row>
    <row r="1762" spans="1:10" x14ac:dyDescent="0.25">
      <c r="A1762" t="s">
        <v>382</v>
      </c>
      <c r="B1762" t="s">
        <v>18</v>
      </c>
      <c r="C1762" t="s">
        <v>29</v>
      </c>
      <c r="D1762" t="s">
        <v>44</v>
      </c>
      <c r="E1762" t="s">
        <v>25</v>
      </c>
      <c r="F1762" t="s">
        <v>15</v>
      </c>
      <c r="G1762">
        <v>17</v>
      </c>
      <c r="H1762">
        <v>16921</v>
      </c>
      <c r="I1762">
        <v>287657</v>
      </c>
      <c r="J1762" t="s">
        <v>16</v>
      </c>
    </row>
    <row r="1763" spans="1:10" x14ac:dyDescent="0.25">
      <c r="A1763" t="s">
        <v>98</v>
      </c>
      <c r="B1763" t="s">
        <v>33</v>
      </c>
      <c r="C1763" t="s">
        <v>23</v>
      </c>
      <c r="D1763" t="s">
        <v>24</v>
      </c>
      <c r="E1763" t="s">
        <v>14</v>
      </c>
      <c r="F1763" t="s">
        <v>40</v>
      </c>
      <c r="G1763">
        <v>8</v>
      </c>
      <c r="H1763">
        <v>30625</v>
      </c>
      <c r="I1763">
        <v>245000</v>
      </c>
      <c r="J1763" t="s">
        <v>36</v>
      </c>
    </row>
    <row r="1764" spans="1:10" x14ac:dyDescent="0.25">
      <c r="A1764" t="s">
        <v>347</v>
      </c>
      <c r="B1764" t="s">
        <v>18</v>
      </c>
      <c r="C1764" t="s">
        <v>23</v>
      </c>
      <c r="D1764" t="s">
        <v>24</v>
      </c>
      <c r="E1764" t="s">
        <v>25</v>
      </c>
      <c r="F1764" t="s">
        <v>26</v>
      </c>
      <c r="G1764">
        <v>7</v>
      </c>
      <c r="H1764">
        <v>52218</v>
      </c>
      <c r="I1764">
        <v>365526</v>
      </c>
      <c r="J1764" t="s">
        <v>20</v>
      </c>
    </row>
    <row r="1765" spans="1:10" x14ac:dyDescent="0.25">
      <c r="A1765" t="s">
        <v>322</v>
      </c>
      <c r="B1765" t="s">
        <v>42</v>
      </c>
      <c r="C1765" t="s">
        <v>29</v>
      </c>
      <c r="D1765" t="s">
        <v>48</v>
      </c>
      <c r="E1765" t="s">
        <v>14</v>
      </c>
      <c r="F1765" t="s">
        <v>26</v>
      </c>
      <c r="G1765">
        <v>20</v>
      </c>
      <c r="H1765">
        <v>15829</v>
      </c>
      <c r="I1765">
        <v>316580</v>
      </c>
      <c r="J1765" t="s">
        <v>16</v>
      </c>
    </row>
    <row r="1766" spans="1:10" x14ac:dyDescent="0.25">
      <c r="A1766" t="s">
        <v>81</v>
      </c>
      <c r="B1766" t="s">
        <v>18</v>
      </c>
      <c r="C1766" t="s">
        <v>23</v>
      </c>
      <c r="D1766" t="s">
        <v>24</v>
      </c>
      <c r="E1766" t="s">
        <v>30</v>
      </c>
      <c r="F1766" t="s">
        <v>40</v>
      </c>
      <c r="G1766">
        <v>17</v>
      </c>
      <c r="H1766">
        <v>46557</v>
      </c>
      <c r="I1766">
        <v>791469</v>
      </c>
      <c r="J1766" t="s">
        <v>16</v>
      </c>
    </row>
    <row r="1767" spans="1:10" x14ac:dyDescent="0.25">
      <c r="A1767" t="s">
        <v>211</v>
      </c>
      <c r="B1767" t="s">
        <v>22</v>
      </c>
      <c r="C1767" t="s">
        <v>23</v>
      </c>
      <c r="D1767" t="s">
        <v>13</v>
      </c>
      <c r="E1767" t="s">
        <v>19</v>
      </c>
      <c r="F1767" t="s">
        <v>26</v>
      </c>
      <c r="G1767">
        <v>18</v>
      </c>
      <c r="H1767">
        <v>42529</v>
      </c>
      <c r="I1767">
        <v>765522</v>
      </c>
      <c r="J1767" t="s">
        <v>27</v>
      </c>
    </row>
    <row r="1768" spans="1:10" x14ac:dyDescent="0.25">
      <c r="A1768" t="s">
        <v>156</v>
      </c>
      <c r="B1768" t="s">
        <v>42</v>
      </c>
      <c r="C1768" t="s">
        <v>34</v>
      </c>
      <c r="D1768" t="s">
        <v>13</v>
      </c>
      <c r="E1768" t="s">
        <v>30</v>
      </c>
      <c r="F1768" t="s">
        <v>26</v>
      </c>
      <c r="G1768">
        <v>13</v>
      </c>
      <c r="H1768">
        <v>52206</v>
      </c>
      <c r="I1768">
        <v>678678</v>
      </c>
      <c r="J1768" t="s">
        <v>27</v>
      </c>
    </row>
    <row r="1769" spans="1:10" x14ac:dyDescent="0.25">
      <c r="A1769" t="s">
        <v>155</v>
      </c>
      <c r="B1769" t="s">
        <v>22</v>
      </c>
      <c r="C1769" t="s">
        <v>29</v>
      </c>
      <c r="D1769" t="s">
        <v>39</v>
      </c>
      <c r="E1769" t="s">
        <v>19</v>
      </c>
      <c r="F1769" t="s">
        <v>40</v>
      </c>
      <c r="G1769">
        <v>16</v>
      </c>
      <c r="H1769">
        <v>20679</v>
      </c>
      <c r="I1769">
        <v>330864</v>
      </c>
      <c r="J1769" t="s">
        <v>16</v>
      </c>
    </row>
    <row r="1770" spans="1:10" x14ac:dyDescent="0.25">
      <c r="A1770" t="s">
        <v>225</v>
      </c>
      <c r="B1770" t="s">
        <v>42</v>
      </c>
      <c r="C1770" t="s">
        <v>34</v>
      </c>
      <c r="D1770" t="s">
        <v>48</v>
      </c>
      <c r="E1770" t="s">
        <v>30</v>
      </c>
      <c r="F1770" t="s">
        <v>15</v>
      </c>
      <c r="G1770">
        <v>17</v>
      </c>
      <c r="H1770">
        <v>54659</v>
      </c>
      <c r="I1770">
        <v>929203</v>
      </c>
      <c r="J1770" t="s">
        <v>36</v>
      </c>
    </row>
    <row r="1771" spans="1:10" x14ac:dyDescent="0.25">
      <c r="A1771" t="s">
        <v>382</v>
      </c>
      <c r="B1771" t="s">
        <v>18</v>
      </c>
      <c r="C1771" t="s">
        <v>34</v>
      </c>
      <c r="D1771" t="s">
        <v>48</v>
      </c>
      <c r="E1771" t="s">
        <v>19</v>
      </c>
      <c r="F1771" t="s">
        <v>40</v>
      </c>
      <c r="G1771">
        <v>20</v>
      </c>
      <c r="H1771">
        <v>59060</v>
      </c>
      <c r="I1771">
        <v>1181200</v>
      </c>
      <c r="J1771" t="s">
        <v>36</v>
      </c>
    </row>
    <row r="1772" spans="1:10" x14ac:dyDescent="0.25">
      <c r="A1772" t="s">
        <v>345</v>
      </c>
      <c r="B1772" t="s">
        <v>22</v>
      </c>
      <c r="C1772" t="s">
        <v>38</v>
      </c>
      <c r="D1772" t="s">
        <v>13</v>
      </c>
      <c r="E1772" t="s">
        <v>30</v>
      </c>
      <c r="F1772" t="s">
        <v>15</v>
      </c>
      <c r="G1772">
        <v>11</v>
      </c>
      <c r="H1772">
        <v>59592</v>
      </c>
      <c r="I1772">
        <v>655512</v>
      </c>
      <c r="J1772" t="s">
        <v>27</v>
      </c>
    </row>
    <row r="1773" spans="1:10" x14ac:dyDescent="0.25">
      <c r="A1773" t="s">
        <v>295</v>
      </c>
      <c r="B1773" t="s">
        <v>22</v>
      </c>
      <c r="C1773" t="s">
        <v>29</v>
      </c>
      <c r="D1773" t="s">
        <v>39</v>
      </c>
      <c r="E1773" t="s">
        <v>35</v>
      </c>
      <c r="F1773" t="s">
        <v>15</v>
      </c>
      <c r="G1773">
        <v>8</v>
      </c>
      <c r="H1773">
        <v>59883</v>
      </c>
      <c r="I1773">
        <v>479064</v>
      </c>
      <c r="J1773" t="s">
        <v>20</v>
      </c>
    </row>
    <row r="1774" spans="1:10" x14ac:dyDescent="0.25">
      <c r="A1774" t="s">
        <v>215</v>
      </c>
      <c r="B1774" t="s">
        <v>22</v>
      </c>
      <c r="C1774" t="s">
        <v>34</v>
      </c>
      <c r="D1774" t="s">
        <v>13</v>
      </c>
      <c r="E1774" t="s">
        <v>14</v>
      </c>
      <c r="F1774" t="s">
        <v>40</v>
      </c>
      <c r="G1774">
        <v>18</v>
      </c>
      <c r="H1774">
        <v>16254</v>
      </c>
      <c r="I1774">
        <v>292572</v>
      </c>
      <c r="J1774" t="s">
        <v>16</v>
      </c>
    </row>
    <row r="1775" spans="1:10" x14ac:dyDescent="0.25">
      <c r="A1775" t="s">
        <v>271</v>
      </c>
      <c r="B1775" t="s">
        <v>18</v>
      </c>
      <c r="C1775" t="s">
        <v>23</v>
      </c>
      <c r="D1775" t="s">
        <v>48</v>
      </c>
      <c r="E1775" t="s">
        <v>19</v>
      </c>
      <c r="F1775" t="s">
        <v>26</v>
      </c>
      <c r="G1775">
        <v>15</v>
      </c>
      <c r="H1775">
        <v>38800</v>
      </c>
      <c r="I1775">
        <v>582000</v>
      </c>
      <c r="J1775" t="s">
        <v>27</v>
      </c>
    </row>
    <row r="1776" spans="1:10" x14ac:dyDescent="0.25">
      <c r="A1776" t="s">
        <v>193</v>
      </c>
      <c r="B1776" t="s">
        <v>11</v>
      </c>
      <c r="C1776" t="s">
        <v>29</v>
      </c>
      <c r="D1776" t="s">
        <v>13</v>
      </c>
      <c r="E1776" t="s">
        <v>35</v>
      </c>
      <c r="F1776" t="s">
        <v>26</v>
      </c>
      <c r="G1776">
        <v>7</v>
      </c>
      <c r="H1776">
        <v>48135</v>
      </c>
      <c r="I1776">
        <v>336945</v>
      </c>
      <c r="J1776" t="s">
        <v>16</v>
      </c>
    </row>
    <row r="1777" spans="1:10" x14ac:dyDescent="0.25">
      <c r="A1777" t="s">
        <v>367</v>
      </c>
      <c r="B1777" t="s">
        <v>22</v>
      </c>
      <c r="C1777" t="s">
        <v>38</v>
      </c>
      <c r="D1777" t="s">
        <v>24</v>
      </c>
      <c r="E1777" t="s">
        <v>19</v>
      </c>
      <c r="F1777" t="s">
        <v>40</v>
      </c>
      <c r="G1777">
        <v>8</v>
      </c>
      <c r="H1777">
        <v>58628</v>
      </c>
      <c r="I1777">
        <v>469024</v>
      </c>
      <c r="J1777" t="s">
        <v>16</v>
      </c>
    </row>
    <row r="1778" spans="1:10" x14ac:dyDescent="0.25">
      <c r="A1778" t="s">
        <v>79</v>
      </c>
      <c r="B1778" t="s">
        <v>18</v>
      </c>
      <c r="C1778" t="s">
        <v>29</v>
      </c>
      <c r="D1778" t="s">
        <v>39</v>
      </c>
      <c r="E1778" t="s">
        <v>30</v>
      </c>
      <c r="F1778" t="s">
        <v>40</v>
      </c>
      <c r="G1778">
        <v>2</v>
      </c>
      <c r="H1778">
        <v>54971</v>
      </c>
      <c r="I1778">
        <v>109942</v>
      </c>
      <c r="J1778" t="s">
        <v>36</v>
      </c>
    </row>
    <row r="1779" spans="1:10" x14ac:dyDescent="0.25">
      <c r="A1779" t="s">
        <v>380</v>
      </c>
      <c r="B1779" t="s">
        <v>11</v>
      </c>
      <c r="C1779" t="s">
        <v>29</v>
      </c>
      <c r="D1779" t="s">
        <v>48</v>
      </c>
      <c r="E1779" t="s">
        <v>25</v>
      </c>
      <c r="F1779" t="s">
        <v>15</v>
      </c>
      <c r="G1779">
        <v>1</v>
      </c>
      <c r="H1779">
        <v>50528</v>
      </c>
      <c r="I1779">
        <v>50528</v>
      </c>
      <c r="J1779" t="s">
        <v>20</v>
      </c>
    </row>
    <row r="1780" spans="1:10" x14ac:dyDescent="0.25">
      <c r="A1780" t="s">
        <v>328</v>
      </c>
      <c r="B1780" t="s">
        <v>42</v>
      </c>
      <c r="C1780" t="s">
        <v>12</v>
      </c>
      <c r="D1780" t="s">
        <v>44</v>
      </c>
      <c r="E1780" t="s">
        <v>25</v>
      </c>
      <c r="F1780" t="s">
        <v>40</v>
      </c>
      <c r="G1780">
        <v>13</v>
      </c>
      <c r="H1780">
        <v>37548</v>
      </c>
      <c r="I1780">
        <v>488124</v>
      </c>
      <c r="J1780" t="s">
        <v>36</v>
      </c>
    </row>
    <row r="1781" spans="1:10" x14ac:dyDescent="0.25">
      <c r="A1781" t="s">
        <v>313</v>
      </c>
      <c r="B1781" t="s">
        <v>33</v>
      </c>
      <c r="C1781" t="s">
        <v>38</v>
      </c>
      <c r="D1781" t="s">
        <v>13</v>
      </c>
      <c r="E1781" t="s">
        <v>35</v>
      </c>
      <c r="F1781" t="s">
        <v>15</v>
      </c>
      <c r="G1781">
        <v>17</v>
      </c>
      <c r="H1781">
        <v>43683</v>
      </c>
      <c r="I1781">
        <v>742611</v>
      </c>
      <c r="J1781" t="s">
        <v>16</v>
      </c>
    </row>
    <row r="1782" spans="1:10" x14ac:dyDescent="0.25">
      <c r="A1782" t="s">
        <v>307</v>
      </c>
      <c r="B1782" t="s">
        <v>11</v>
      </c>
      <c r="C1782" t="s">
        <v>29</v>
      </c>
      <c r="D1782" t="s">
        <v>24</v>
      </c>
      <c r="E1782" t="s">
        <v>14</v>
      </c>
      <c r="F1782" t="s">
        <v>26</v>
      </c>
      <c r="G1782">
        <v>16</v>
      </c>
      <c r="H1782">
        <v>56035</v>
      </c>
      <c r="I1782">
        <v>896560</v>
      </c>
      <c r="J1782" t="s">
        <v>36</v>
      </c>
    </row>
    <row r="1783" spans="1:10" x14ac:dyDescent="0.25">
      <c r="A1783" t="s">
        <v>85</v>
      </c>
      <c r="B1783" t="s">
        <v>42</v>
      </c>
      <c r="C1783" t="s">
        <v>29</v>
      </c>
      <c r="D1783" t="s">
        <v>24</v>
      </c>
      <c r="E1783" t="s">
        <v>14</v>
      </c>
      <c r="F1783" t="s">
        <v>26</v>
      </c>
      <c r="G1783">
        <v>15</v>
      </c>
      <c r="H1783">
        <v>45675</v>
      </c>
      <c r="I1783">
        <v>685125</v>
      </c>
      <c r="J1783" t="s">
        <v>27</v>
      </c>
    </row>
    <row r="1784" spans="1:10" x14ac:dyDescent="0.25">
      <c r="A1784" t="s">
        <v>312</v>
      </c>
      <c r="B1784" t="s">
        <v>11</v>
      </c>
      <c r="C1784" t="s">
        <v>12</v>
      </c>
      <c r="D1784" t="s">
        <v>44</v>
      </c>
      <c r="E1784" t="s">
        <v>19</v>
      </c>
      <c r="F1784" t="s">
        <v>40</v>
      </c>
      <c r="G1784">
        <v>11</v>
      </c>
      <c r="H1784">
        <v>33524</v>
      </c>
      <c r="I1784">
        <v>368764</v>
      </c>
      <c r="J1784" t="s">
        <v>36</v>
      </c>
    </row>
    <row r="1785" spans="1:10" x14ac:dyDescent="0.25">
      <c r="A1785" t="s">
        <v>396</v>
      </c>
      <c r="B1785" t="s">
        <v>42</v>
      </c>
      <c r="C1785" t="s">
        <v>29</v>
      </c>
      <c r="D1785" t="s">
        <v>39</v>
      </c>
      <c r="E1785" t="s">
        <v>19</v>
      </c>
      <c r="F1785" t="s">
        <v>26</v>
      </c>
      <c r="G1785">
        <v>8</v>
      </c>
      <c r="H1785">
        <v>16459</v>
      </c>
      <c r="I1785">
        <v>131672</v>
      </c>
      <c r="J1785" t="s">
        <v>20</v>
      </c>
    </row>
    <row r="1786" spans="1:10" x14ac:dyDescent="0.25">
      <c r="A1786" t="s">
        <v>358</v>
      </c>
      <c r="B1786" t="s">
        <v>33</v>
      </c>
      <c r="C1786" t="s">
        <v>34</v>
      </c>
      <c r="D1786" t="s">
        <v>24</v>
      </c>
      <c r="E1786" t="s">
        <v>25</v>
      </c>
      <c r="F1786" t="s">
        <v>40</v>
      </c>
      <c r="G1786">
        <v>1</v>
      </c>
      <c r="H1786">
        <v>59155</v>
      </c>
      <c r="I1786">
        <v>59155</v>
      </c>
      <c r="J1786" t="s">
        <v>27</v>
      </c>
    </row>
    <row r="1787" spans="1:10" x14ac:dyDescent="0.25">
      <c r="A1787" t="s">
        <v>219</v>
      </c>
      <c r="B1787" t="s">
        <v>33</v>
      </c>
      <c r="C1787" t="s">
        <v>12</v>
      </c>
      <c r="D1787" t="s">
        <v>13</v>
      </c>
      <c r="E1787" t="s">
        <v>19</v>
      </c>
      <c r="F1787" t="s">
        <v>15</v>
      </c>
      <c r="G1787">
        <v>14</v>
      </c>
      <c r="H1787">
        <v>37690</v>
      </c>
      <c r="I1787">
        <v>527660</v>
      </c>
      <c r="J1787" t="s">
        <v>27</v>
      </c>
    </row>
    <row r="1788" spans="1:10" x14ac:dyDescent="0.25">
      <c r="A1788" t="s">
        <v>343</v>
      </c>
      <c r="B1788" t="s">
        <v>33</v>
      </c>
      <c r="C1788" t="s">
        <v>34</v>
      </c>
      <c r="D1788" t="s">
        <v>13</v>
      </c>
      <c r="E1788" t="s">
        <v>25</v>
      </c>
      <c r="F1788" t="s">
        <v>40</v>
      </c>
      <c r="G1788">
        <v>6</v>
      </c>
      <c r="H1788">
        <v>49050</v>
      </c>
      <c r="I1788">
        <v>294300</v>
      </c>
      <c r="J1788" t="s">
        <v>27</v>
      </c>
    </row>
    <row r="1789" spans="1:10" x14ac:dyDescent="0.25">
      <c r="A1789" t="s">
        <v>261</v>
      </c>
      <c r="B1789" t="s">
        <v>33</v>
      </c>
      <c r="C1789" t="s">
        <v>38</v>
      </c>
      <c r="D1789" t="s">
        <v>24</v>
      </c>
      <c r="E1789" t="s">
        <v>30</v>
      </c>
      <c r="F1789" t="s">
        <v>26</v>
      </c>
      <c r="G1789">
        <v>5</v>
      </c>
      <c r="H1789">
        <v>25542</v>
      </c>
      <c r="I1789">
        <v>127710</v>
      </c>
      <c r="J1789" t="s">
        <v>27</v>
      </c>
    </row>
    <row r="1790" spans="1:10" x14ac:dyDescent="0.25">
      <c r="A1790" t="s">
        <v>226</v>
      </c>
      <c r="B1790" t="s">
        <v>33</v>
      </c>
      <c r="C1790" t="s">
        <v>29</v>
      </c>
      <c r="D1790" t="s">
        <v>48</v>
      </c>
      <c r="E1790" t="s">
        <v>25</v>
      </c>
      <c r="F1790" t="s">
        <v>40</v>
      </c>
      <c r="G1790">
        <v>18</v>
      </c>
      <c r="H1790">
        <v>38832</v>
      </c>
      <c r="I1790">
        <v>698976</v>
      </c>
      <c r="J1790" t="s">
        <v>36</v>
      </c>
    </row>
    <row r="1791" spans="1:10" x14ac:dyDescent="0.25">
      <c r="A1791" t="s">
        <v>393</v>
      </c>
      <c r="B1791" t="s">
        <v>22</v>
      </c>
      <c r="C1791" t="s">
        <v>34</v>
      </c>
      <c r="D1791" t="s">
        <v>39</v>
      </c>
      <c r="E1791" t="s">
        <v>19</v>
      </c>
      <c r="F1791" t="s">
        <v>40</v>
      </c>
      <c r="G1791">
        <v>9</v>
      </c>
      <c r="H1791">
        <v>58393</v>
      </c>
      <c r="I1791">
        <v>525537</v>
      </c>
      <c r="J1791" t="s">
        <v>16</v>
      </c>
    </row>
    <row r="1792" spans="1:10" x14ac:dyDescent="0.25">
      <c r="A1792" t="s">
        <v>368</v>
      </c>
      <c r="B1792" t="s">
        <v>22</v>
      </c>
      <c r="C1792" t="s">
        <v>34</v>
      </c>
      <c r="D1792" t="s">
        <v>24</v>
      </c>
      <c r="E1792" t="s">
        <v>14</v>
      </c>
      <c r="F1792" t="s">
        <v>26</v>
      </c>
      <c r="G1792">
        <v>19</v>
      </c>
      <c r="H1792">
        <v>41343</v>
      </c>
      <c r="I1792">
        <v>785517</v>
      </c>
      <c r="J1792" t="s">
        <v>27</v>
      </c>
    </row>
    <row r="1793" spans="1:10" x14ac:dyDescent="0.25">
      <c r="A1793" t="s">
        <v>349</v>
      </c>
      <c r="B1793" t="s">
        <v>18</v>
      </c>
      <c r="C1793" t="s">
        <v>38</v>
      </c>
      <c r="D1793" t="s">
        <v>39</v>
      </c>
      <c r="E1793" t="s">
        <v>14</v>
      </c>
      <c r="F1793" t="s">
        <v>26</v>
      </c>
      <c r="G1793">
        <v>7</v>
      </c>
      <c r="H1793">
        <v>30207</v>
      </c>
      <c r="I1793">
        <v>211449</v>
      </c>
      <c r="J1793" t="s">
        <v>36</v>
      </c>
    </row>
    <row r="1794" spans="1:10" x14ac:dyDescent="0.25">
      <c r="A1794" t="s">
        <v>78</v>
      </c>
      <c r="B1794" t="s">
        <v>33</v>
      </c>
      <c r="C1794" t="s">
        <v>38</v>
      </c>
      <c r="D1794" t="s">
        <v>39</v>
      </c>
      <c r="E1794" t="s">
        <v>19</v>
      </c>
      <c r="F1794" t="s">
        <v>40</v>
      </c>
      <c r="G1794">
        <v>8</v>
      </c>
      <c r="H1794">
        <v>54500</v>
      </c>
      <c r="I1794">
        <v>436000</v>
      </c>
      <c r="J1794" t="s">
        <v>27</v>
      </c>
    </row>
    <row r="1795" spans="1:10" x14ac:dyDescent="0.25">
      <c r="A1795" t="s">
        <v>346</v>
      </c>
      <c r="B1795" t="s">
        <v>33</v>
      </c>
      <c r="C1795" t="s">
        <v>38</v>
      </c>
      <c r="D1795" t="s">
        <v>13</v>
      </c>
      <c r="E1795" t="s">
        <v>14</v>
      </c>
      <c r="F1795" t="s">
        <v>26</v>
      </c>
      <c r="G1795">
        <v>3</v>
      </c>
      <c r="H1795">
        <v>34375</v>
      </c>
      <c r="I1795">
        <v>103125</v>
      </c>
      <c r="J1795" t="s">
        <v>20</v>
      </c>
    </row>
    <row r="1796" spans="1:10" x14ac:dyDescent="0.25">
      <c r="A1796" t="s">
        <v>200</v>
      </c>
      <c r="B1796" t="s">
        <v>18</v>
      </c>
      <c r="C1796" t="s">
        <v>34</v>
      </c>
      <c r="D1796" t="s">
        <v>44</v>
      </c>
      <c r="E1796" t="s">
        <v>30</v>
      </c>
      <c r="F1796" t="s">
        <v>15</v>
      </c>
      <c r="G1796">
        <v>20</v>
      </c>
      <c r="H1796">
        <v>45095</v>
      </c>
      <c r="I1796">
        <v>901900</v>
      </c>
      <c r="J1796" t="s">
        <v>16</v>
      </c>
    </row>
    <row r="1797" spans="1:10" x14ac:dyDescent="0.25">
      <c r="A1797" t="s">
        <v>274</v>
      </c>
      <c r="B1797" t="s">
        <v>18</v>
      </c>
      <c r="C1797" t="s">
        <v>38</v>
      </c>
      <c r="D1797" t="s">
        <v>44</v>
      </c>
      <c r="E1797" t="s">
        <v>35</v>
      </c>
      <c r="F1797" t="s">
        <v>40</v>
      </c>
      <c r="G1797">
        <v>2</v>
      </c>
      <c r="H1797">
        <v>53074</v>
      </c>
      <c r="I1797">
        <v>106148</v>
      </c>
      <c r="J1797" t="s">
        <v>20</v>
      </c>
    </row>
    <row r="1798" spans="1:10" x14ac:dyDescent="0.25">
      <c r="A1798" t="s">
        <v>168</v>
      </c>
      <c r="B1798" t="s">
        <v>33</v>
      </c>
      <c r="C1798" t="s">
        <v>23</v>
      </c>
      <c r="D1798" t="s">
        <v>39</v>
      </c>
      <c r="E1798" t="s">
        <v>30</v>
      </c>
      <c r="F1798" t="s">
        <v>15</v>
      </c>
      <c r="G1798">
        <v>11</v>
      </c>
      <c r="H1798">
        <v>33084</v>
      </c>
      <c r="I1798">
        <v>363924</v>
      </c>
      <c r="J1798" t="s">
        <v>16</v>
      </c>
    </row>
    <row r="1799" spans="1:10" x14ac:dyDescent="0.25">
      <c r="A1799" t="s">
        <v>200</v>
      </c>
      <c r="B1799" t="s">
        <v>22</v>
      </c>
      <c r="C1799" t="s">
        <v>34</v>
      </c>
      <c r="D1799" t="s">
        <v>24</v>
      </c>
      <c r="E1799" t="s">
        <v>35</v>
      </c>
      <c r="F1799" t="s">
        <v>26</v>
      </c>
      <c r="G1799">
        <v>5</v>
      </c>
      <c r="H1799">
        <v>28264</v>
      </c>
      <c r="I1799">
        <v>141320</v>
      </c>
      <c r="J1799" t="s">
        <v>20</v>
      </c>
    </row>
    <row r="1800" spans="1:10" x14ac:dyDescent="0.25">
      <c r="A1800" t="s">
        <v>58</v>
      </c>
      <c r="B1800" t="s">
        <v>11</v>
      </c>
      <c r="C1800" t="s">
        <v>12</v>
      </c>
      <c r="D1800" t="s">
        <v>39</v>
      </c>
      <c r="E1800" t="s">
        <v>14</v>
      </c>
      <c r="F1800" t="s">
        <v>40</v>
      </c>
      <c r="G1800">
        <v>3</v>
      </c>
      <c r="H1800">
        <v>47644</v>
      </c>
      <c r="I1800">
        <v>142932</v>
      </c>
      <c r="J1800" t="s">
        <v>20</v>
      </c>
    </row>
    <row r="1801" spans="1:10" x14ac:dyDescent="0.25">
      <c r="A1801" t="s">
        <v>103</v>
      </c>
      <c r="B1801" t="s">
        <v>42</v>
      </c>
      <c r="C1801" t="s">
        <v>29</v>
      </c>
      <c r="D1801" t="s">
        <v>13</v>
      </c>
      <c r="E1801" t="s">
        <v>30</v>
      </c>
      <c r="F1801" t="s">
        <v>26</v>
      </c>
      <c r="G1801">
        <v>7</v>
      </c>
      <c r="H1801">
        <v>20434</v>
      </c>
      <c r="I1801">
        <v>143038</v>
      </c>
      <c r="J1801" t="s">
        <v>36</v>
      </c>
    </row>
    <row r="1802" spans="1:10" x14ac:dyDescent="0.25">
      <c r="A1802" t="s">
        <v>87</v>
      </c>
      <c r="B1802" t="s">
        <v>42</v>
      </c>
      <c r="C1802" t="s">
        <v>12</v>
      </c>
      <c r="D1802" t="s">
        <v>39</v>
      </c>
      <c r="E1802" t="s">
        <v>19</v>
      </c>
      <c r="F1802" t="s">
        <v>26</v>
      </c>
      <c r="G1802">
        <v>18</v>
      </c>
      <c r="H1802">
        <v>25537</v>
      </c>
      <c r="I1802">
        <v>459666</v>
      </c>
      <c r="J1802" t="s">
        <v>16</v>
      </c>
    </row>
    <row r="1803" spans="1:10" x14ac:dyDescent="0.25">
      <c r="A1803" t="s">
        <v>273</v>
      </c>
      <c r="B1803" t="s">
        <v>33</v>
      </c>
      <c r="C1803" t="s">
        <v>23</v>
      </c>
      <c r="D1803" t="s">
        <v>24</v>
      </c>
      <c r="E1803" t="s">
        <v>19</v>
      </c>
      <c r="F1803" t="s">
        <v>40</v>
      </c>
      <c r="G1803">
        <v>9</v>
      </c>
      <c r="H1803">
        <v>48343</v>
      </c>
      <c r="I1803">
        <v>435087</v>
      </c>
      <c r="J1803" t="s">
        <v>36</v>
      </c>
    </row>
    <row r="1804" spans="1:10" x14ac:dyDescent="0.25">
      <c r="A1804" t="s">
        <v>347</v>
      </c>
      <c r="B1804" t="s">
        <v>42</v>
      </c>
      <c r="C1804" t="s">
        <v>29</v>
      </c>
      <c r="D1804" t="s">
        <v>39</v>
      </c>
      <c r="E1804" t="s">
        <v>25</v>
      </c>
      <c r="F1804" t="s">
        <v>15</v>
      </c>
      <c r="G1804">
        <v>5</v>
      </c>
      <c r="H1804">
        <v>16939</v>
      </c>
      <c r="I1804">
        <v>84695</v>
      </c>
      <c r="J1804" t="s">
        <v>20</v>
      </c>
    </row>
    <row r="1805" spans="1:10" x14ac:dyDescent="0.25">
      <c r="A1805" t="s">
        <v>327</v>
      </c>
      <c r="B1805" t="s">
        <v>33</v>
      </c>
      <c r="C1805" t="s">
        <v>23</v>
      </c>
      <c r="D1805" t="s">
        <v>24</v>
      </c>
      <c r="E1805" t="s">
        <v>35</v>
      </c>
      <c r="F1805" t="s">
        <v>40</v>
      </c>
      <c r="G1805">
        <v>16</v>
      </c>
      <c r="H1805">
        <v>51239</v>
      </c>
      <c r="I1805">
        <v>819824</v>
      </c>
      <c r="J1805" t="s">
        <v>27</v>
      </c>
    </row>
    <row r="1806" spans="1:10" x14ac:dyDescent="0.25">
      <c r="A1806" t="s">
        <v>388</v>
      </c>
      <c r="B1806" t="s">
        <v>42</v>
      </c>
      <c r="C1806" t="s">
        <v>38</v>
      </c>
      <c r="D1806" t="s">
        <v>13</v>
      </c>
      <c r="E1806" t="s">
        <v>14</v>
      </c>
      <c r="F1806" t="s">
        <v>26</v>
      </c>
      <c r="G1806">
        <v>17</v>
      </c>
      <c r="H1806">
        <v>42542</v>
      </c>
      <c r="I1806">
        <v>723214</v>
      </c>
      <c r="J1806" t="s">
        <v>16</v>
      </c>
    </row>
    <row r="1807" spans="1:10" x14ac:dyDescent="0.25">
      <c r="A1807" t="s">
        <v>180</v>
      </c>
      <c r="B1807" t="s">
        <v>18</v>
      </c>
      <c r="C1807" t="s">
        <v>38</v>
      </c>
      <c r="D1807" t="s">
        <v>24</v>
      </c>
      <c r="E1807" t="s">
        <v>14</v>
      </c>
      <c r="F1807" t="s">
        <v>26</v>
      </c>
      <c r="G1807">
        <v>11</v>
      </c>
      <c r="H1807">
        <v>43866</v>
      </c>
      <c r="I1807">
        <v>482526</v>
      </c>
      <c r="J1807" t="s">
        <v>20</v>
      </c>
    </row>
    <row r="1808" spans="1:10" x14ac:dyDescent="0.25">
      <c r="A1808" t="s">
        <v>361</v>
      </c>
      <c r="B1808" t="s">
        <v>18</v>
      </c>
      <c r="C1808" t="s">
        <v>34</v>
      </c>
      <c r="D1808" t="s">
        <v>39</v>
      </c>
      <c r="E1808" t="s">
        <v>35</v>
      </c>
      <c r="F1808" t="s">
        <v>26</v>
      </c>
      <c r="G1808">
        <v>4</v>
      </c>
      <c r="H1808">
        <v>35075</v>
      </c>
      <c r="I1808">
        <v>140300</v>
      </c>
      <c r="J1808" t="s">
        <v>27</v>
      </c>
    </row>
    <row r="1809" spans="1:10" x14ac:dyDescent="0.25">
      <c r="A1809" t="s">
        <v>63</v>
      </c>
      <c r="B1809" t="s">
        <v>11</v>
      </c>
      <c r="C1809" t="s">
        <v>38</v>
      </c>
      <c r="D1809" t="s">
        <v>24</v>
      </c>
      <c r="E1809" t="s">
        <v>30</v>
      </c>
      <c r="F1809" t="s">
        <v>40</v>
      </c>
      <c r="G1809">
        <v>13</v>
      </c>
      <c r="H1809">
        <v>57373</v>
      </c>
      <c r="I1809">
        <v>745849</v>
      </c>
      <c r="J1809" t="s">
        <v>16</v>
      </c>
    </row>
    <row r="1810" spans="1:10" x14ac:dyDescent="0.25">
      <c r="A1810" t="s">
        <v>176</v>
      </c>
      <c r="B1810" t="s">
        <v>18</v>
      </c>
      <c r="C1810" t="s">
        <v>34</v>
      </c>
      <c r="D1810" t="s">
        <v>13</v>
      </c>
      <c r="E1810" t="s">
        <v>14</v>
      </c>
      <c r="F1810" t="s">
        <v>15</v>
      </c>
      <c r="G1810">
        <v>1</v>
      </c>
      <c r="H1810">
        <v>58785</v>
      </c>
      <c r="I1810">
        <v>58785</v>
      </c>
      <c r="J1810" t="s">
        <v>16</v>
      </c>
    </row>
    <row r="1811" spans="1:10" x14ac:dyDescent="0.25">
      <c r="A1811" t="s">
        <v>339</v>
      </c>
      <c r="B1811" t="s">
        <v>22</v>
      </c>
      <c r="C1811" t="s">
        <v>23</v>
      </c>
      <c r="D1811" t="s">
        <v>48</v>
      </c>
      <c r="E1811" t="s">
        <v>30</v>
      </c>
      <c r="F1811" t="s">
        <v>15</v>
      </c>
      <c r="G1811">
        <v>7</v>
      </c>
      <c r="H1811">
        <v>38877</v>
      </c>
      <c r="I1811">
        <v>272139</v>
      </c>
      <c r="J1811" t="s">
        <v>36</v>
      </c>
    </row>
    <row r="1812" spans="1:10" x14ac:dyDescent="0.25">
      <c r="A1812" t="s">
        <v>205</v>
      </c>
      <c r="B1812" t="s">
        <v>22</v>
      </c>
      <c r="C1812" t="s">
        <v>38</v>
      </c>
      <c r="D1812" t="s">
        <v>13</v>
      </c>
      <c r="E1812" t="s">
        <v>30</v>
      </c>
      <c r="F1812" t="s">
        <v>15</v>
      </c>
      <c r="G1812">
        <v>3</v>
      </c>
      <c r="H1812">
        <v>15858</v>
      </c>
      <c r="I1812">
        <v>47574</v>
      </c>
      <c r="J1812" t="s">
        <v>20</v>
      </c>
    </row>
    <row r="1813" spans="1:10" x14ac:dyDescent="0.25">
      <c r="A1813" t="s">
        <v>315</v>
      </c>
      <c r="B1813" t="s">
        <v>33</v>
      </c>
      <c r="C1813" t="s">
        <v>12</v>
      </c>
      <c r="D1813" t="s">
        <v>39</v>
      </c>
      <c r="E1813" t="s">
        <v>19</v>
      </c>
      <c r="F1813" t="s">
        <v>40</v>
      </c>
      <c r="G1813">
        <v>5</v>
      </c>
      <c r="H1813">
        <v>24727</v>
      </c>
      <c r="I1813">
        <v>123635</v>
      </c>
      <c r="J1813" t="s">
        <v>20</v>
      </c>
    </row>
    <row r="1814" spans="1:10" x14ac:dyDescent="0.25">
      <c r="A1814" t="s">
        <v>108</v>
      </c>
      <c r="B1814" t="s">
        <v>11</v>
      </c>
      <c r="C1814" t="s">
        <v>34</v>
      </c>
      <c r="D1814" t="s">
        <v>24</v>
      </c>
      <c r="E1814" t="s">
        <v>35</v>
      </c>
      <c r="F1814" t="s">
        <v>26</v>
      </c>
      <c r="G1814">
        <v>20</v>
      </c>
      <c r="H1814">
        <v>34673</v>
      </c>
      <c r="I1814">
        <v>693460</v>
      </c>
      <c r="J1814" t="s">
        <v>36</v>
      </c>
    </row>
    <row r="1815" spans="1:10" x14ac:dyDescent="0.25">
      <c r="A1815" t="s">
        <v>213</v>
      </c>
      <c r="B1815" t="s">
        <v>33</v>
      </c>
      <c r="C1815" t="s">
        <v>29</v>
      </c>
      <c r="D1815" t="s">
        <v>44</v>
      </c>
      <c r="E1815" t="s">
        <v>14</v>
      </c>
      <c r="F1815" t="s">
        <v>15</v>
      </c>
      <c r="G1815">
        <v>6</v>
      </c>
      <c r="H1815">
        <v>27133</v>
      </c>
      <c r="I1815">
        <v>162798</v>
      </c>
      <c r="J1815" t="s">
        <v>20</v>
      </c>
    </row>
    <row r="1816" spans="1:10" x14ac:dyDescent="0.25">
      <c r="A1816" t="s">
        <v>371</v>
      </c>
      <c r="B1816" t="s">
        <v>22</v>
      </c>
      <c r="C1816" t="s">
        <v>12</v>
      </c>
      <c r="D1816" t="s">
        <v>24</v>
      </c>
      <c r="E1816" t="s">
        <v>30</v>
      </c>
      <c r="F1816" t="s">
        <v>15</v>
      </c>
      <c r="G1816">
        <v>9</v>
      </c>
      <c r="H1816">
        <v>31555</v>
      </c>
      <c r="I1816">
        <v>283995</v>
      </c>
      <c r="J1816" t="s">
        <v>16</v>
      </c>
    </row>
    <row r="1817" spans="1:10" x14ac:dyDescent="0.25">
      <c r="A1817" t="s">
        <v>315</v>
      </c>
      <c r="B1817" t="s">
        <v>42</v>
      </c>
      <c r="C1817" t="s">
        <v>38</v>
      </c>
      <c r="D1817" t="s">
        <v>48</v>
      </c>
      <c r="E1817" t="s">
        <v>25</v>
      </c>
      <c r="F1817" t="s">
        <v>15</v>
      </c>
      <c r="G1817">
        <v>7</v>
      </c>
      <c r="H1817">
        <v>53681</v>
      </c>
      <c r="I1817">
        <v>375767</v>
      </c>
      <c r="J1817" t="s">
        <v>27</v>
      </c>
    </row>
    <row r="1818" spans="1:10" x14ac:dyDescent="0.25">
      <c r="A1818" t="s">
        <v>294</v>
      </c>
      <c r="B1818" t="s">
        <v>33</v>
      </c>
      <c r="C1818" t="s">
        <v>23</v>
      </c>
      <c r="D1818" t="s">
        <v>13</v>
      </c>
      <c r="E1818" t="s">
        <v>35</v>
      </c>
      <c r="F1818" t="s">
        <v>15</v>
      </c>
      <c r="G1818">
        <v>6</v>
      </c>
      <c r="H1818">
        <v>40449</v>
      </c>
      <c r="I1818">
        <v>242694</v>
      </c>
      <c r="J1818" t="s">
        <v>20</v>
      </c>
    </row>
    <row r="1819" spans="1:10" x14ac:dyDescent="0.25">
      <c r="A1819" t="s">
        <v>164</v>
      </c>
      <c r="B1819" t="s">
        <v>22</v>
      </c>
      <c r="C1819" t="s">
        <v>38</v>
      </c>
      <c r="D1819" t="s">
        <v>44</v>
      </c>
      <c r="E1819" t="s">
        <v>35</v>
      </c>
      <c r="F1819" t="s">
        <v>26</v>
      </c>
      <c r="G1819">
        <v>7</v>
      </c>
      <c r="H1819">
        <v>58578</v>
      </c>
      <c r="I1819">
        <v>410046</v>
      </c>
      <c r="J1819" t="s">
        <v>36</v>
      </c>
    </row>
    <row r="1820" spans="1:10" x14ac:dyDescent="0.25">
      <c r="A1820" t="s">
        <v>157</v>
      </c>
      <c r="B1820" t="s">
        <v>33</v>
      </c>
      <c r="C1820" t="s">
        <v>38</v>
      </c>
      <c r="D1820" t="s">
        <v>39</v>
      </c>
      <c r="E1820" t="s">
        <v>19</v>
      </c>
      <c r="F1820" t="s">
        <v>40</v>
      </c>
      <c r="G1820">
        <v>4</v>
      </c>
      <c r="H1820">
        <v>40941</v>
      </c>
      <c r="I1820">
        <v>163764</v>
      </c>
      <c r="J1820" t="s">
        <v>16</v>
      </c>
    </row>
    <row r="1821" spans="1:10" x14ac:dyDescent="0.25">
      <c r="A1821" t="s">
        <v>309</v>
      </c>
      <c r="B1821" t="s">
        <v>11</v>
      </c>
      <c r="C1821" t="s">
        <v>29</v>
      </c>
      <c r="D1821" t="s">
        <v>48</v>
      </c>
      <c r="E1821" t="s">
        <v>14</v>
      </c>
      <c r="F1821" t="s">
        <v>15</v>
      </c>
      <c r="G1821">
        <v>19</v>
      </c>
      <c r="H1821">
        <v>56204</v>
      </c>
      <c r="I1821">
        <v>1067876</v>
      </c>
      <c r="J1821" t="s">
        <v>36</v>
      </c>
    </row>
    <row r="1822" spans="1:10" x14ac:dyDescent="0.25">
      <c r="A1822" t="s">
        <v>320</v>
      </c>
      <c r="B1822" t="s">
        <v>11</v>
      </c>
      <c r="C1822" t="s">
        <v>38</v>
      </c>
      <c r="D1822" t="s">
        <v>44</v>
      </c>
      <c r="E1822" t="s">
        <v>35</v>
      </c>
      <c r="F1822" t="s">
        <v>15</v>
      </c>
      <c r="G1822">
        <v>20</v>
      </c>
      <c r="H1822">
        <v>47488</v>
      </c>
      <c r="I1822">
        <v>949760</v>
      </c>
      <c r="J1822" t="s">
        <v>16</v>
      </c>
    </row>
    <row r="1823" spans="1:10" x14ac:dyDescent="0.25">
      <c r="A1823" t="s">
        <v>305</v>
      </c>
      <c r="B1823" t="s">
        <v>11</v>
      </c>
      <c r="C1823" t="s">
        <v>38</v>
      </c>
      <c r="D1823" t="s">
        <v>39</v>
      </c>
      <c r="E1823" t="s">
        <v>19</v>
      </c>
      <c r="F1823" t="s">
        <v>15</v>
      </c>
      <c r="G1823">
        <v>7</v>
      </c>
      <c r="H1823">
        <v>22250</v>
      </c>
      <c r="I1823">
        <v>155750</v>
      </c>
      <c r="J1823" t="s">
        <v>36</v>
      </c>
    </row>
    <row r="1824" spans="1:10" x14ac:dyDescent="0.25">
      <c r="A1824" t="s">
        <v>278</v>
      </c>
      <c r="B1824" t="s">
        <v>18</v>
      </c>
      <c r="C1824" t="s">
        <v>12</v>
      </c>
      <c r="D1824" t="s">
        <v>13</v>
      </c>
      <c r="E1824" t="s">
        <v>19</v>
      </c>
      <c r="F1824" t="s">
        <v>15</v>
      </c>
      <c r="G1824">
        <v>8</v>
      </c>
      <c r="H1824">
        <v>59380</v>
      </c>
      <c r="I1824">
        <v>475040</v>
      </c>
      <c r="J1824" t="s">
        <v>20</v>
      </c>
    </row>
    <row r="1825" spans="1:10" x14ac:dyDescent="0.25">
      <c r="A1825" t="s">
        <v>177</v>
      </c>
      <c r="B1825" t="s">
        <v>22</v>
      </c>
      <c r="C1825" t="s">
        <v>38</v>
      </c>
      <c r="D1825" t="s">
        <v>48</v>
      </c>
      <c r="E1825" t="s">
        <v>19</v>
      </c>
      <c r="F1825" t="s">
        <v>15</v>
      </c>
      <c r="G1825">
        <v>10</v>
      </c>
      <c r="H1825">
        <v>40554</v>
      </c>
      <c r="I1825">
        <v>405540</v>
      </c>
      <c r="J1825" t="s">
        <v>36</v>
      </c>
    </row>
    <row r="1826" spans="1:10" x14ac:dyDescent="0.25">
      <c r="A1826" t="s">
        <v>259</v>
      </c>
      <c r="B1826" t="s">
        <v>22</v>
      </c>
      <c r="C1826" t="s">
        <v>29</v>
      </c>
      <c r="D1826" t="s">
        <v>44</v>
      </c>
      <c r="E1826" t="s">
        <v>35</v>
      </c>
      <c r="F1826" t="s">
        <v>40</v>
      </c>
      <c r="G1826">
        <v>14</v>
      </c>
      <c r="H1826">
        <v>51865</v>
      </c>
      <c r="I1826">
        <v>726110</v>
      </c>
      <c r="J1826" t="s">
        <v>20</v>
      </c>
    </row>
    <row r="1827" spans="1:10" x14ac:dyDescent="0.25">
      <c r="A1827" t="s">
        <v>328</v>
      </c>
      <c r="B1827" t="s">
        <v>33</v>
      </c>
      <c r="C1827" t="s">
        <v>38</v>
      </c>
      <c r="D1827" t="s">
        <v>48</v>
      </c>
      <c r="E1827" t="s">
        <v>35</v>
      </c>
      <c r="F1827" t="s">
        <v>40</v>
      </c>
      <c r="G1827">
        <v>12</v>
      </c>
      <c r="H1827">
        <v>52545</v>
      </c>
      <c r="I1827">
        <v>630540</v>
      </c>
      <c r="J1827" t="s">
        <v>36</v>
      </c>
    </row>
    <row r="1828" spans="1:10" x14ac:dyDescent="0.25">
      <c r="A1828" t="s">
        <v>172</v>
      </c>
      <c r="B1828" t="s">
        <v>22</v>
      </c>
      <c r="C1828" t="s">
        <v>29</v>
      </c>
      <c r="D1828" t="s">
        <v>13</v>
      </c>
      <c r="E1828" t="s">
        <v>19</v>
      </c>
      <c r="F1828" t="s">
        <v>15</v>
      </c>
      <c r="G1828">
        <v>12</v>
      </c>
      <c r="H1828">
        <v>16891</v>
      </c>
      <c r="I1828">
        <v>202692</v>
      </c>
      <c r="J1828" t="s">
        <v>36</v>
      </c>
    </row>
    <row r="1829" spans="1:10" x14ac:dyDescent="0.25">
      <c r="A1829" t="s">
        <v>232</v>
      </c>
      <c r="B1829" t="s">
        <v>42</v>
      </c>
      <c r="C1829" t="s">
        <v>12</v>
      </c>
      <c r="D1829" t="s">
        <v>39</v>
      </c>
      <c r="E1829" t="s">
        <v>25</v>
      </c>
      <c r="F1829" t="s">
        <v>15</v>
      </c>
      <c r="G1829">
        <v>11</v>
      </c>
      <c r="H1829">
        <v>44448</v>
      </c>
      <c r="I1829">
        <v>488928</v>
      </c>
      <c r="J1829" t="s">
        <v>16</v>
      </c>
    </row>
    <row r="1830" spans="1:10" x14ac:dyDescent="0.25">
      <c r="A1830" t="s">
        <v>309</v>
      </c>
      <c r="B1830" t="s">
        <v>42</v>
      </c>
      <c r="C1830" t="s">
        <v>38</v>
      </c>
      <c r="D1830" t="s">
        <v>39</v>
      </c>
      <c r="E1830" t="s">
        <v>14</v>
      </c>
      <c r="F1830" t="s">
        <v>15</v>
      </c>
      <c r="G1830">
        <v>14</v>
      </c>
      <c r="H1830">
        <v>28994</v>
      </c>
      <c r="I1830">
        <v>405916</v>
      </c>
      <c r="J1830" t="s">
        <v>27</v>
      </c>
    </row>
    <row r="1831" spans="1:10" x14ac:dyDescent="0.25">
      <c r="A1831" t="s">
        <v>229</v>
      </c>
      <c r="B1831" t="s">
        <v>11</v>
      </c>
      <c r="C1831" t="s">
        <v>38</v>
      </c>
      <c r="D1831" t="s">
        <v>48</v>
      </c>
      <c r="E1831" t="s">
        <v>25</v>
      </c>
      <c r="F1831" t="s">
        <v>26</v>
      </c>
      <c r="G1831">
        <v>20</v>
      </c>
      <c r="H1831">
        <v>23059</v>
      </c>
      <c r="I1831">
        <v>461180</v>
      </c>
      <c r="J1831" t="s">
        <v>16</v>
      </c>
    </row>
    <row r="1832" spans="1:10" x14ac:dyDescent="0.25">
      <c r="A1832" t="s">
        <v>276</v>
      </c>
      <c r="B1832" t="s">
        <v>11</v>
      </c>
      <c r="C1832" t="s">
        <v>34</v>
      </c>
      <c r="D1832" t="s">
        <v>44</v>
      </c>
      <c r="E1832" t="s">
        <v>14</v>
      </c>
      <c r="F1832" t="s">
        <v>26</v>
      </c>
      <c r="G1832">
        <v>14</v>
      </c>
      <c r="H1832">
        <v>39500</v>
      </c>
      <c r="I1832">
        <v>553000</v>
      </c>
      <c r="J1832" t="s">
        <v>20</v>
      </c>
    </row>
    <row r="1833" spans="1:10" x14ac:dyDescent="0.25">
      <c r="A1833" t="s">
        <v>21</v>
      </c>
      <c r="B1833" t="s">
        <v>18</v>
      </c>
      <c r="C1833" t="s">
        <v>23</v>
      </c>
      <c r="D1833" t="s">
        <v>39</v>
      </c>
      <c r="E1833" t="s">
        <v>30</v>
      </c>
      <c r="F1833" t="s">
        <v>15</v>
      </c>
      <c r="G1833">
        <v>4</v>
      </c>
      <c r="H1833">
        <v>38745</v>
      </c>
      <c r="I1833">
        <v>154980</v>
      </c>
      <c r="J1833" t="s">
        <v>27</v>
      </c>
    </row>
    <row r="1834" spans="1:10" x14ac:dyDescent="0.25">
      <c r="A1834" t="s">
        <v>278</v>
      </c>
      <c r="B1834" t="s">
        <v>22</v>
      </c>
      <c r="C1834" t="s">
        <v>12</v>
      </c>
      <c r="D1834" t="s">
        <v>39</v>
      </c>
      <c r="E1834" t="s">
        <v>30</v>
      </c>
      <c r="F1834" t="s">
        <v>26</v>
      </c>
      <c r="G1834">
        <v>15</v>
      </c>
      <c r="H1834">
        <v>53259</v>
      </c>
      <c r="I1834">
        <v>798885</v>
      </c>
      <c r="J1834" t="s">
        <v>36</v>
      </c>
    </row>
    <row r="1835" spans="1:10" x14ac:dyDescent="0.25">
      <c r="A1835" t="s">
        <v>225</v>
      </c>
      <c r="B1835" t="s">
        <v>18</v>
      </c>
      <c r="C1835" t="s">
        <v>12</v>
      </c>
      <c r="D1835" t="s">
        <v>13</v>
      </c>
      <c r="E1835" t="s">
        <v>14</v>
      </c>
      <c r="F1835" t="s">
        <v>15</v>
      </c>
      <c r="G1835">
        <v>5</v>
      </c>
      <c r="H1835">
        <v>32950</v>
      </c>
      <c r="I1835">
        <v>164750</v>
      </c>
      <c r="J1835" t="s">
        <v>16</v>
      </c>
    </row>
    <row r="1836" spans="1:10" x14ac:dyDescent="0.25">
      <c r="A1836" t="s">
        <v>188</v>
      </c>
      <c r="B1836" t="s">
        <v>22</v>
      </c>
      <c r="C1836" t="s">
        <v>23</v>
      </c>
      <c r="D1836" t="s">
        <v>48</v>
      </c>
      <c r="E1836" t="s">
        <v>25</v>
      </c>
      <c r="F1836" t="s">
        <v>40</v>
      </c>
      <c r="G1836">
        <v>6</v>
      </c>
      <c r="H1836">
        <v>33187</v>
      </c>
      <c r="I1836">
        <v>199122</v>
      </c>
      <c r="J1836" t="s">
        <v>20</v>
      </c>
    </row>
    <row r="1837" spans="1:10" x14ac:dyDescent="0.25">
      <c r="A1837" t="s">
        <v>54</v>
      </c>
      <c r="B1837" t="s">
        <v>11</v>
      </c>
      <c r="C1837" t="s">
        <v>29</v>
      </c>
      <c r="D1837" t="s">
        <v>39</v>
      </c>
      <c r="E1837" t="s">
        <v>35</v>
      </c>
      <c r="F1837" t="s">
        <v>26</v>
      </c>
      <c r="G1837">
        <v>4</v>
      </c>
      <c r="H1837">
        <v>19214</v>
      </c>
      <c r="I1837">
        <v>76856</v>
      </c>
      <c r="J1837" t="s">
        <v>36</v>
      </c>
    </row>
    <row r="1838" spans="1:10" x14ac:dyDescent="0.25">
      <c r="A1838" t="s">
        <v>152</v>
      </c>
      <c r="B1838" t="s">
        <v>42</v>
      </c>
      <c r="C1838" t="s">
        <v>23</v>
      </c>
      <c r="D1838" t="s">
        <v>48</v>
      </c>
      <c r="E1838" t="s">
        <v>35</v>
      </c>
      <c r="F1838" t="s">
        <v>40</v>
      </c>
      <c r="G1838">
        <v>13</v>
      </c>
      <c r="H1838">
        <v>55152</v>
      </c>
      <c r="I1838">
        <v>716976</v>
      </c>
      <c r="J1838" t="s">
        <v>16</v>
      </c>
    </row>
    <row r="1839" spans="1:10" x14ac:dyDescent="0.25">
      <c r="A1839" t="s">
        <v>106</v>
      </c>
      <c r="B1839" t="s">
        <v>18</v>
      </c>
      <c r="C1839" t="s">
        <v>38</v>
      </c>
      <c r="D1839" t="s">
        <v>24</v>
      </c>
      <c r="E1839" t="s">
        <v>35</v>
      </c>
      <c r="F1839" t="s">
        <v>40</v>
      </c>
      <c r="G1839">
        <v>18</v>
      </c>
      <c r="H1839">
        <v>35437</v>
      </c>
      <c r="I1839">
        <v>637866</v>
      </c>
      <c r="J1839" t="s">
        <v>36</v>
      </c>
    </row>
    <row r="1840" spans="1:10" x14ac:dyDescent="0.25">
      <c r="A1840" t="s">
        <v>166</v>
      </c>
      <c r="B1840" t="s">
        <v>22</v>
      </c>
      <c r="C1840" t="s">
        <v>29</v>
      </c>
      <c r="D1840" t="s">
        <v>44</v>
      </c>
      <c r="E1840" t="s">
        <v>19</v>
      </c>
      <c r="F1840" t="s">
        <v>40</v>
      </c>
      <c r="G1840">
        <v>3</v>
      </c>
      <c r="H1840">
        <v>28756</v>
      </c>
      <c r="I1840">
        <v>86268</v>
      </c>
      <c r="J1840" t="s">
        <v>36</v>
      </c>
    </row>
    <row r="1841" spans="1:10" x14ac:dyDescent="0.25">
      <c r="A1841" t="s">
        <v>82</v>
      </c>
      <c r="B1841" t="s">
        <v>11</v>
      </c>
      <c r="C1841" t="s">
        <v>38</v>
      </c>
      <c r="D1841" t="s">
        <v>39</v>
      </c>
      <c r="E1841" t="s">
        <v>25</v>
      </c>
      <c r="F1841" t="s">
        <v>26</v>
      </c>
      <c r="G1841">
        <v>7</v>
      </c>
      <c r="H1841">
        <v>23173</v>
      </c>
      <c r="I1841">
        <v>162211</v>
      </c>
      <c r="J1841" t="s">
        <v>16</v>
      </c>
    </row>
    <row r="1842" spans="1:10" x14ac:dyDescent="0.25">
      <c r="A1842" t="s">
        <v>85</v>
      </c>
      <c r="B1842" t="s">
        <v>11</v>
      </c>
      <c r="C1842" t="s">
        <v>38</v>
      </c>
      <c r="D1842" t="s">
        <v>24</v>
      </c>
      <c r="E1842" t="s">
        <v>30</v>
      </c>
      <c r="F1842" t="s">
        <v>40</v>
      </c>
      <c r="G1842">
        <v>10</v>
      </c>
      <c r="H1842">
        <v>53005</v>
      </c>
      <c r="I1842">
        <v>530050</v>
      </c>
      <c r="J1842" t="s">
        <v>16</v>
      </c>
    </row>
    <row r="1843" spans="1:10" x14ac:dyDescent="0.25">
      <c r="A1843" t="s">
        <v>390</v>
      </c>
      <c r="B1843" t="s">
        <v>11</v>
      </c>
      <c r="C1843" t="s">
        <v>34</v>
      </c>
      <c r="D1843" t="s">
        <v>48</v>
      </c>
      <c r="E1843" t="s">
        <v>35</v>
      </c>
      <c r="F1843" t="s">
        <v>40</v>
      </c>
      <c r="G1843">
        <v>14</v>
      </c>
      <c r="H1843">
        <v>37875</v>
      </c>
      <c r="I1843">
        <v>530250</v>
      </c>
      <c r="J1843" t="s">
        <v>20</v>
      </c>
    </row>
    <row r="1844" spans="1:10" x14ac:dyDescent="0.25">
      <c r="A1844" t="s">
        <v>132</v>
      </c>
      <c r="B1844" t="s">
        <v>42</v>
      </c>
      <c r="C1844" t="s">
        <v>34</v>
      </c>
      <c r="D1844" t="s">
        <v>24</v>
      </c>
      <c r="E1844" t="s">
        <v>35</v>
      </c>
      <c r="F1844" t="s">
        <v>40</v>
      </c>
      <c r="G1844">
        <v>13</v>
      </c>
      <c r="H1844">
        <v>23614</v>
      </c>
      <c r="I1844">
        <v>306982</v>
      </c>
      <c r="J1844" t="s">
        <v>36</v>
      </c>
    </row>
    <row r="1845" spans="1:10" x14ac:dyDescent="0.25">
      <c r="A1845" t="s">
        <v>127</v>
      </c>
      <c r="B1845" t="s">
        <v>11</v>
      </c>
      <c r="C1845" t="s">
        <v>38</v>
      </c>
      <c r="D1845" t="s">
        <v>13</v>
      </c>
      <c r="E1845" t="s">
        <v>30</v>
      </c>
      <c r="F1845" t="s">
        <v>26</v>
      </c>
      <c r="G1845">
        <v>1</v>
      </c>
      <c r="H1845">
        <v>59410</v>
      </c>
      <c r="I1845">
        <v>59410</v>
      </c>
      <c r="J1845" t="s">
        <v>36</v>
      </c>
    </row>
    <row r="1846" spans="1:10" x14ac:dyDescent="0.25">
      <c r="A1846" t="s">
        <v>329</v>
      </c>
      <c r="B1846" t="s">
        <v>33</v>
      </c>
      <c r="C1846" t="s">
        <v>38</v>
      </c>
      <c r="D1846" t="s">
        <v>24</v>
      </c>
      <c r="E1846" t="s">
        <v>14</v>
      </c>
      <c r="F1846" t="s">
        <v>15</v>
      </c>
      <c r="G1846">
        <v>20</v>
      </c>
      <c r="H1846">
        <v>30750</v>
      </c>
      <c r="I1846">
        <v>615000</v>
      </c>
      <c r="J1846" t="s">
        <v>27</v>
      </c>
    </row>
    <row r="1847" spans="1:10" x14ac:dyDescent="0.25">
      <c r="A1847" t="s">
        <v>94</v>
      </c>
      <c r="B1847" t="s">
        <v>18</v>
      </c>
      <c r="C1847" t="s">
        <v>29</v>
      </c>
      <c r="D1847" t="s">
        <v>39</v>
      </c>
      <c r="E1847" t="s">
        <v>14</v>
      </c>
      <c r="F1847" t="s">
        <v>26</v>
      </c>
      <c r="G1847">
        <v>13</v>
      </c>
      <c r="H1847">
        <v>24274</v>
      </c>
      <c r="I1847">
        <v>315562</v>
      </c>
      <c r="J1847" t="s">
        <v>16</v>
      </c>
    </row>
    <row r="1848" spans="1:10" x14ac:dyDescent="0.25">
      <c r="A1848" t="s">
        <v>390</v>
      </c>
      <c r="B1848" t="s">
        <v>11</v>
      </c>
      <c r="C1848" t="s">
        <v>29</v>
      </c>
      <c r="D1848" t="s">
        <v>24</v>
      </c>
      <c r="E1848" t="s">
        <v>35</v>
      </c>
      <c r="F1848" t="s">
        <v>15</v>
      </c>
      <c r="G1848">
        <v>6</v>
      </c>
      <c r="H1848">
        <v>40455</v>
      </c>
      <c r="I1848">
        <v>242730</v>
      </c>
      <c r="J1848" t="s">
        <v>27</v>
      </c>
    </row>
    <row r="1849" spans="1:10" x14ac:dyDescent="0.25">
      <c r="A1849" t="s">
        <v>114</v>
      </c>
      <c r="B1849" t="s">
        <v>18</v>
      </c>
      <c r="C1849" t="s">
        <v>12</v>
      </c>
      <c r="D1849" t="s">
        <v>24</v>
      </c>
      <c r="E1849" t="s">
        <v>25</v>
      </c>
      <c r="F1849" t="s">
        <v>15</v>
      </c>
      <c r="G1849">
        <v>9</v>
      </c>
      <c r="H1849">
        <v>32417</v>
      </c>
      <c r="I1849">
        <v>291753</v>
      </c>
      <c r="J1849" t="s">
        <v>27</v>
      </c>
    </row>
    <row r="1850" spans="1:10" x14ac:dyDescent="0.25">
      <c r="A1850" t="s">
        <v>233</v>
      </c>
      <c r="B1850" t="s">
        <v>18</v>
      </c>
      <c r="C1850" t="s">
        <v>34</v>
      </c>
      <c r="D1850" t="s">
        <v>48</v>
      </c>
      <c r="E1850" t="s">
        <v>14</v>
      </c>
      <c r="F1850" t="s">
        <v>26</v>
      </c>
      <c r="G1850">
        <v>16</v>
      </c>
      <c r="H1850">
        <v>15551</v>
      </c>
      <c r="I1850">
        <v>248816</v>
      </c>
      <c r="J1850" t="s">
        <v>16</v>
      </c>
    </row>
    <row r="1851" spans="1:10" x14ac:dyDescent="0.25">
      <c r="A1851" t="s">
        <v>98</v>
      </c>
      <c r="B1851" t="s">
        <v>11</v>
      </c>
      <c r="C1851" t="s">
        <v>29</v>
      </c>
      <c r="D1851" t="s">
        <v>44</v>
      </c>
      <c r="E1851" t="s">
        <v>25</v>
      </c>
      <c r="F1851" t="s">
        <v>15</v>
      </c>
      <c r="G1851">
        <v>10</v>
      </c>
      <c r="H1851">
        <v>48677</v>
      </c>
      <c r="I1851">
        <v>486770</v>
      </c>
      <c r="J1851" t="s">
        <v>36</v>
      </c>
    </row>
    <row r="1852" spans="1:10" x14ac:dyDescent="0.25">
      <c r="A1852" t="s">
        <v>303</v>
      </c>
      <c r="B1852" t="s">
        <v>11</v>
      </c>
      <c r="C1852" t="s">
        <v>12</v>
      </c>
      <c r="D1852" t="s">
        <v>13</v>
      </c>
      <c r="E1852" t="s">
        <v>14</v>
      </c>
      <c r="F1852" t="s">
        <v>15</v>
      </c>
      <c r="G1852">
        <v>9</v>
      </c>
      <c r="H1852">
        <v>19942</v>
      </c>
      <c r="I1852">
        <v>179478</v>
      </c>
      <c r="J1852" t="s">
        <v>27</v>
      </c>
    </row>
    <row r="1853" spans="1:10" x14ac:dyDescent="0.25">
      <c r="A1853" t="s">
        <v>78</v>
      </c>
      <c r="B1853" t="s">
        <v>11</v>
      </c>
      <c r="C1853" t="s">
        <v>12</v>
      </c>
      <c r="D1853" t="s">
        <v>24</v>
      </c>
      <c r="E1853" t="s">
        <v>25</v>
      </c>
      <c r="F1853" t="s">
        <v>40</v>
      </c>
      <c r="G1853">
        <v>18</v>
      </c>
      <c r="H1853">
        <v>20523</v>
      </c>
      <c r="I1853">
        <v>369414</v>
      </c>
      <c r="J1853" t="s">
        <v>36</v>
      </c>
    </row>
    <row r="1854" spans="1:10" x14ac:dyDescent="0.25">
      <c r="A1854" t="s">
        <v>85</v>
      </c>
      <c r="B1854" t="s">
        <v>33</v>
      </c>
      <c r="C1854" t="s">
        <v>34</v>
      </c>
      <c r="D1854" t="s">
        <v>44</v>
      </c>
      <c r="E1854" t="s">
        <v>30</v>
      </c>
      <c r="F1854" t="s">
        <v>26</v>
      </c>
      <c r="G1854">
        <v>14</v>
      </c>
      <c r="H1854">
        <v>42576</v>
      </c>
      <c r="I1854">
        <v>596064</v>
      </c>
      <c r="J1854" t="s">
        <v>36</v>
      </c>
    </row>
    <row r="1855" spans="1:10" x14ac:dyDescent="0.25">
      <c r="A1855" t="s">
        <v>140</v>
      </c>
      <c r="B1855" t="s">
        <v>33</v>
      </c>
      <c r="C1855" t="s">
        <v>29</v>
      </c>
      <c r="D1855" t="s">
        <v>48</v>
      </c>
      <c r="E1855" t="s">
        <v>19</v>
      </c>
      <c r="F1855" t="s">
        <v>40</v>
      </c>
      <c r="G1855">
        <v>8</v>
      </c>
      <c r="H1855">
        <v>53510</v>
      </c>
      <c r="I1855">
        <v>428080</v>
      </c>
      <c r="J1855" t="s">
        <v>36</v>
      </c>
    </row>
    <row r="1856" spans="1:10" x14ac:dyDescent="0.25">
      <c r="A1856" t="s">
        <v>67</v>
      </c>
      <c r="B1856" t="s">
        <v>18</v>
      </c>
      <c r="C1856" t="s">
        <v>29</v>
      </c>
      <c r="D1856" t="s">
        <v>13</v>
      </c>
      <c r="E1856" t="s">
        <v>35</v>
      </c>
      <c r="F1856" t="s">
        <v>15</v>
      </c>
      <c r="G1856">
        <v>16</v>
      </c>
      <c r="H1856">
        <v>36826</v>
      </c>
      <c r="I1856">
        <v>589216</v>
      </c>
      <c r="J1856" t="s">
        <v>16</v>
      </c>
    </row>
    <row r="1857" spans="1:10" x14ac:dyDescent="0.25">
      <c r="A1857" t="s">
        <v>175</v>
      </c>
      <c r="B1857" t="s">
        <v>22</v>
      </c>
      <c r="C1857" t="s">
        <v>23</v>
      </c>
      <c r="D1857" t="s">
        <v>24</v>
      </c>
      <c r="E1857" t="s">
        <v>14</v>
      </c>
      <c r="F1857" t="s">
        <v>15</v>
      </c>
      <c r="G1857">
        <v>14</v>
      </c>
      <c r="H1857">
        <v>52934</v>
      </c>
      <c r="I1857">
        <v>741076</v>
      </c>
      <c r="J1857" t="s">
        <v>27</v>
      </c>
    </row>
    <row r="1858" spans="1:10" x14ac:dyDescent="0.25">
      <c r="A1858" t="s">
        <v>349</v>
      </c>
      <c r="B1858" t="s">
        <v>11</v>
      </c>
      <c r="C1858" t="s">
        <v>12</v>
      </c>
      <c r="D1858" t="s">
        <v>39</v>
      </c>
      <c r="E1858" t="s">
        <v>25</v>
      </c>
      <c r="F1858" t="s">
        <v>26</v>
      </c>
      <c r="G1858">
        <v>6</v>
      </c>
      <c r="H1858">
        <v>58292</v>
      </c>
      <c r="I1858">
        <v>349752</v>
      </c>
      <c r="J1858" t="s">
        <v>16</v>
      </c>
    </row>
    <row r="1859" spans="1:10" x14ac:dyDescent="0.25">
      <c r="A1859" t="s">
        <v>322</v>
      </c>
      <c r="B1859" t="s">
        <v>18</v>
      </c>
      <c r="C1859" t="s">
        <v>12</v>
      </c>
      <c r="D1859" t="s">
        <v>44</v>
      </c>
      <c r="E1859" t="s">
        <v>35</v>
      </c>
      <c r="F1859" t="s">
        <v>26</v>
      </c>
      <c r="G1859">
        <v>16</v>
      </c>
      <c r="H1859">
        <v>36158</v>
      </c>
      <c r="I1859">
        <v>578528</v>
      </c>
      <c r="J1859" t="s">
        <v>16</v>
      </c>
    </row>
    <row r="1860" spans="1:10" x14ac:dyDescent="0.25">
      <c r="A1860" t="s">
        <v>209</v>
      </c>
      <c r="B1860" t="s">
        <v>11</v>
      </c>
      <c r="C1860" t="s">
        <v>29</v>
      </c>
      <c r="D1860" t="s">
        <v>39</v>
      </c>
      <c r="E1860" t="s">
        <v>14</v>
      </c>
      <c r="F1860" t="s">
        <v>40</v>
      </c>
      <c r="G1860">
        <v>1</v>
      </c>
      <c r="H1860">
        <v>25238</v>
      </c>
      <c r="I1860">
        <v>25238</v>
      </c>
      <c r="J1860" t="s">
        <v>36</v>
      </c>
    </row>
    <row r="1861" spans="1:10" x14ac:dyDescent="0.25">
      <c r="A1861" t="s">
        <v>49</v>
      </c>
      <c r="B1861" t="s">
        <v>42</v>
      </c>
      <c r="C1861" t="s">
        <v>38</v>
      </c>
      <c r="D1861" t="s">
        <v>48</v>
      </c>
      <c r="E1861" t="s">
        <v>19</v>
      </c>
      <c r="F1861" t="s">
        <v>15</v>
      </c>
      <c r="G1861">
        <v>9</v>
      </c>
      <c r="H1861">
        <v>33732</v>
      </c>
      <c r="I1861">
        <v>303588</v>
      </c>
      <c r="J1861" t="s">
        <v>27</v>
      </c>
    </row>
    <row r="1862" spans="1:10" x14ac:dyDescent="0.25">
      <c r="A1862" t="s">
        <v>235</v>
      </c>
      <c r="B1862" t="s">
        <v>33</v>
      </c>
      <c r="C1862" t="s">
        <v>12</v>
      </c>
      <c r="D1862" t="s">
        <v>44</v>
      </c>
      <c r="E1862" t="s">
        <v>14</v>
      </c>
      <c r="F1862" t="s">
        <v>15</v>
      </c>
      <c r="G1862">
        <v>7</v>
      </c>
      <c r="H1862">
        <v>45788</v>
      </c>
      <c r="I1862">
        <v>320516</v>
      </c>
      <c r="J1862" t="s">
        <v>27</v>
      </c>
    </row>
    <row r="1863" spans="1:10" x14ac:dyDescent="0.25">
      <c r="A1863" t="s">
        <v>61</v>
      </c>
      <c r="B1863" t="s">
        <v>22</v>
      </c>
      <c r="C1863" t="s">
        <v>12</v>
      </c>
      <c r="D1863" t="s">
        <v>44</v>
      </c>
      <c r="E1863" t="s">
        <v>30</v>
      </c>
      <c r="F1863" t="s">
        <v>40</v>
      </c>
      <c r="G1863">
        <v>14</v>
      </c>
      <c r="H1863">
        <v>19285</v>
      </c>
      <c r="I1863">
        <v>269990</v>
      </c>
      <c r="J1863" t="s">
        <v>16</v>
      </c>
    </row>
    <row r="1864" spans="1:10" x14ac:dyDescent="0.25">
      <c r="A1864" t="s">
        <v>191</v>
      </c>
      <c r="B1864" t="s">
        <v>18</v>
      </c>
      <c r="C1864" t="s">
        <v>12</v>
      </c>
      <c r="D1864" t="s">
        <v>13</v>
      </c>
      <c r="E1864" t="s">
        <v>30</v>
      </c>
      <c r="F1864" t="s">
        <v>40</v>
      </c>
      <c r="G1864">
        <v>19</v>
      </c>
      <c r="H1864">
        <v>55708</v>
      </c>
      <c r="I1864">
        <v>1058452</v>
      </c>
      <c r="J1864" t="s">
        <v>27</v>
      </c>
    </row>
    <row r="1865" spans="1:10" x14ac:dyDescent="0.25">
      <c r="A1865" t="s">
        <v>223</v>
      </c>
      <c r="B1865" t="s">
        <v>11</v>
      </c>
      <c r="C1865" t="s">
        <v>23</v>
      </c>
      <c r="D1865" t="s">
        <v>39</v>
      </c>
      <c r="E1865" t="s">
        <v>25</v>
      </c>
      <c r="F1865" t="s">
        <v>26</v>
      </c>
      <c r="G1865">
        <v>14</v>
      </c>
      <c r="H1865">
        <v>47290</v>
      </c>
      <c r="I1865">
        <v>662060</v>
      </c>
      <c r="J1865" t="s">
        <v>27</v>
      </c>
    </row>
    <row r="1866" spans="1:10" x14ac:dyDescent="0.25">
      <c r="A1866" t="s">
        <v>379</v>
      </c>
      <c r="B1866" t="s">
        <v>18</v>
      </c>
      <c r="C1866" t="s">
        <v>34</v>
      </c>
      <c r="D1866" t="s">
        <v>44</v>
      </c>
      <c r="E1866" t="s">
        <v>25</v>
      </c>
      <c r="F1866" t="s">
        <v>40</v>
      </c>
      <c r="G1866">
        <v>16</v>
      </c>
      <c r="H1866">
        <v>50983</v>
      </c>
      <c r="I1866">
        <v>815728</v>
      </c>
      <c r="J1866" t="s">
        <v>20</v>
      </c>
    </row>
    <row r="1867" spans="1:10" x14ac:dyDescent="0.25">
      <c r="A1867" t="s">
        <v>323</v>
      </c>
      <c r="B1867" t="s">
        <v>33</v>
      </c>
      <c r="C1867" t="s">
        <v>23</v>
      </c>
      <c r="D1867" t="s">
        <v>48</v>
      </c>
      <c r="E1867" t="s">
        <v>14</v>
      </c>
      <c r="F1867" t="s">
        <v>15</v>
      </c>
      <c r="G1867">
        <v>13</v>
      </c>
      <c r="H1867">
        <v>31430</v>
      </c>
      <c r="I1867">
        <v>408590</v>
      </c>
      <c r="J1867" t="s">
        <v>20</v>
      </c>
    </row>
    <row r="1868" spans="1:10" x14ac:dyDescent="0.25">
      <c r="A1868" t="s">
        <v>344</v>
      </c>
      <c r="B1868" t="s">
        <v>18</v>
      </c>
      <c r="C1868" t="s">
        <v>34</v>
      </c>
      <c r="D1868" t="s">
        <v>39</v>
      </c>
      <c r="E1868" t="s">
        <v>35</v>
      </c>
      <c r="F1868" t="s">
        <v>40</v>
      </c>
      <c r="G1868">
        <v>5</v>
      </c>
      <c r="H1868">
        <v>51775</v>
      </c>
      <c r="I1868">
        <v>258875</v>
      </c>
      <c r="J1868" t="s">
        <v>27</v>
      </c>
    </row>
    <row r="1869" spans="1:10" x14ac:dyDescent="0.25">
      <c r="A1869" t="s">
        <v>181</v>
      </c>
      <c r="B1869" t="s">
        <v>22</v>
      </c>
      <c r="C1869" t="s">
        <v>23</v>
      </c>
      <c r="D1869" t="s">
        <v>24</v>
      </c>
      <c r="E1869" t="s">
        <v>19</v>
      </c>
      <c r="F1869" t="s">
        <v>40</v>
      </c>
      <c r="G1869">
        <v>3</v>
      </c>
      <c r="H1869">
        <v>16997</v>
      </c>
      <c r="I1869">
        <v>50991</v>
      </c>
      <c r="J1869" t="s">
        <v>27</v>
      </c>
    </row>
    <row r="1870" spans="1:10" x14ac:dyDescent="0.25">
      <c r="A1870" t="s">
        <v>392</v>
      </c>
      <c r="B1870" t="s">
        <v>33</v>
      </c>
      <c r="C1870" t="s">
        <v>12</v>
      </c>
      <c r="D1870" t="s">
        <v>39</v>
      </c>
      <c r="E1870" t="s">
        <v>25</v>
      </c>
      <c r="F1870" t="s">
        <v>40</v>
      </c>
      <c r="G1870">
        <v>10</v>
      </c>
      <c r="H1870">
        <v>43696</v>
      </c>
      <c r="I1870">
        <v>436960</v>
      </c>
      <c r="J1870" t="s">
        <v>27</v>
      </c>
    </row>
    <row r="1871" spans="1:10" x14ac:dyDescent="0.25">
      <c r="A1871" t="s">
        <v>125</v>
      </c>
      <c r="B1871" t="s">
        <v>18</v>
      </c>
      <c r="C1871" t="s">
        <v>38</v>
      </c>
      <c r="D1871" t="s">
        <v>44</v>
      </c>
      <c r="E1871" t="s">
        <v>14</v>
      </c>
      <c r="F1871" t="s">
        <v>26</v>
      </c>
      <c r="G1871">
        <v>5</v>
      </c>
      <c r="H1871">
        <v>54298</v>
      </c>
      <c r="I1871">
        <v>271490</v>
      </c>
      <c r="J1871" t="s">
        <v>36</v>
      </c>
    </row>
    <row r="1872" spans="1:10" x14ac:dyDescent="0.25">
      <c r="A1872" t="s">
        <v>339</v>
      </c>
      <c r="B1872" t="s">
        <v>42</v>
      </c>
      <c r="C1872" t="s">
        <v>38</v>
      </c>
      <c r="D1872" t="s">
        <v>48</v>
      </c>
      <c r="E1872" t="s">
        <v>30</v>
      </c>
      <c r="F1872" t="s">
        <v>40</v>
      </c>
      <c r="G1872">
        <v>8</v>
      </c>
      <c r="H1872">
        <v>44773</v>
      </c>
      <c r="I1872">
        <v>358184</v>
      </c>
      <c r="J1872" t="s">
        <v>20</v>
      </c>
    </row>
    <row r="1873" spans="1:10" x14ac:dyDescent="0.25">
      <c r="A1873" t="s">
        <v>78</v>
      </c>
      <c r="B1873" t="s">
        <v>18</v>
      </c>
      <c r="C1873" t="s">
        <v>34</v>
      </c>
      <c r="D1873" t="s">
        <v>48</v>
      </c>
      <c r="E1873" t="s">
        <v>19</v>
      </c>
      <c r="F1873" t="s">
        <v>15</v>
      </c>
      <c r="G1873">
        <v>17</v>
      </c>
      <c r="H1873">
        <v>22246</v>
      </c>
      <c r="I1873">
        <v>378182</v>
      </c>
      <c r="J1873" t="s">
        <v>16</v>
      </c>
    </row>
    <row r="1874" spans="1:10" x14ac:dyDescent="0.25">
      <c r="A1874" t="s">
        <v>200</v>
      </c>
      <c r="B1874" t="s">
        <v>11</v>
      </c>
      <c r="C1874" t="s">
        <v>38</v>
      </c>
      <c r="D1874" t="s">
        <v>44</v>
      </c>
      <c r="E1874" t="s">
        <v>25</v>
      </c>
      <c r="F1874" t="s">
        <v>15</v>
      </c>
      <c r="G1874">
        <v>20</v>
      </c>
      <c r="H1874">
        <v>32051</v>
      </c>
      <c r="I1874">
        <v>641020</v>
      </c>
      <c r="J1874" t="s">
        <v>20</v>
      </c>
    </row>
    <row r="1875" spans="1:10" x14ac:dyDescent="0.25">
      <c r="A1875" t="s">
        <v>289</v>
      </c>
      <c r="B1875" t="s">
        <v>11</v>
      </c>
      <c r="C1875" t="s">
        <v>38</v>
      </c>
      <c r="D1875" t="s">
        <v>44</v>
      </c>
      <c r="E1875" t="s">
        <v>25</v>
      </c>
      <c r="F1875" t="s">
        <v>15</v>
      </c>
      <c r="G1875">
        <v>2</v>
      </c>
      <c r="H1875">
        <v>50422</v>
      </c>
      <c r="I1875">
        <v>100844</v>
      </c>
      <c r="J1875" t="s">
        <v>27</v>
      </c>
    </row>
    <row r="1876" spans="1:10" x14ac:dyDescent="0.25">
      <c r="A1876" t="s">
        <v>246</v>
      </c>
      <c r="B1876" t="s">
        <v>11</v>
      </c>
      <c r="C1876" t="s">
        <v>38</v>
      </c>
      <c r="D1876" t="s">
        <v>24</v>
      </c>
      <c r="E1876" t="s">
        <v>25</v>
      </c>
      <c r="F1876" t="s">
        <v>15</v>
      </c>
      <c r="G1876">
        <v>19</v>
      </c>
      <c r="H1876">
        <v>28621</v>
      </c>
      <c r="I1876">
        <v>543799</v>
      </c>
      <c r="J1876" t="s">
        <v>16</v>
      </c>
    </row>
    <row r="1877" spans="1:10" x14ac:dyDescent="0.25">
      <c r="A1877" t="s">
        <v>80</v>
      </c>
      <c r="B1877" t="s">
        <v>33</v>
      </c>
      <c r="C1877" t="s">
        <v>38</v>
      </c>
      <c r="D1877" t="s">
        <v>24</v>
      </c>
      <c r="E1877" t="s">
        <v>30</v>
      </c>
      <c r="F1877" t="s">
        <v>15</v>
      </c>
      <c r="G1877">
        <v>19</v>
      </c>
      <c r="H1877">
        <v>47443</v>
      </c>
      <c r="I1877">
        <v>901417</v>
      </c>
      <c r="J1877" t="s">
        <v>20</v>
      </c>
    </row>
    <row r="1878" spans="1:10" x14ac:dyDescent="0.25">
      <c r="A1878" t="s">
        <v>76</v>
      </c>
      <c r="B1878" t="s">
        <v>33</v>
      </c>
      <c r="C1878" t="s">
        <v>12</v>
      </c>
      <c r="D1878" t="s">
        <v>48</v>
      </c>
      <c r="E1878" t="s">
        <v>25</v>
      </c>
      <c r="F1878" t="s">
        <v>40</v>
      </c>
      <c r="G1878">
        <v>16</v>
      </c>
      <c r="H1878">
        <v>42393</v>
      </c>
      <c r="I1878">
        <v>678288</v>
      </c>
      <c r="J1878" t="s">
        <v>20</v>
      </c>
    </row>
    <row r="1879" spans="1:10" x14ac:dyDescent="0.25">
      <c r="A1879" t="s">
        <v>288</v>
      </c>
      <c r="B1879" t="s">
        <v>33</v>
      </c>
      <c r="C1879" t="s">
        <v>12</v>
      </c>
      <c r="D1879" t="s">
        <v>24</v>
      </c>
      <c r="E1879" t="s">
        <v>14</v>
      </c>
      <c r="F1879" t="s">
        <v>26</v>
      </c>
      <c r="G1879">
        <v>1</v>
      </c>
      <c r="H1879">
        <v>55400</v>
      </c>
      <c r="I1879">
        <v>55400</v>
      </c>
      <c r="J1879" t="s">
        <v>36</v>
      </c>
    </row>
    <row r="1880" spans="1:10" x14ac:dyDescent="0.25">
      <c r="A1880" t="s">
        <v>178</v>
      </c>
      <c r="B1880" t="s">
        <v>42</v>
      </c>
      <c r="C1880" t="s">
        <v>29</v>
      </c>
      <c r="D1880" t="s">
        <v>13</v>
      </c>
      <c r="E1880" t="s">
        <v>35</v>
      </c>
      <c r="F1880" t="s">
        <v>26</v>
      </c>
      <c r="G1880">
        <v>16</v>
      </c>
      <c r="H1880">
        <v>20737</v>
      </c>
      <c r="I1880">
        <v>331792</v>
      </c>
      <c r="J1880" t="s">
        <v>36</v>
      </c>
    </row>
    <row r="1881" spans="1:10" x14ac:dyDescent="0.25">
      <c r="A1881" t="s">
        <v>126</v>
      </c>
      <c r="B1881" t="s">
        <v>18</v>
      </c>
      <c r="C1881" t="s">
        <v>29</v>
      </c>
      <c r="D1881" t="s">
        <v>24</v>
      </c>
      <c r="E1881" t="s">
        <v>30</v>
      </c>
      <c r="F1881" t="s">
        <v>40</v>
      </c>
      <c r="G1881">
        <v>7</v>
      </c>
      <c r="H1881">
        <v>32233</v>
      </c>
      <c r="I1881">
        <v>225631</v>
      </c>
      <c r="J1881" t="s">
        <v>16</v>
      </c>
    </row>
    <row r="1882" spans="1:10" x14ac:dyDescent="0.25">
      <c r="A1882" t="s">
        <v>293</v>
      </c>
      <c r="B1882" t="s">
        <v>33</v>
      </c>
      <c r="C1882" t="s">
        <v>34</v>
      </c>
      <c r="D1882" t="s">
        <v>48</v>
      </c>
      <c r="E1882" t="s">
        <v>19</v>
      </c>
      <c r="F1882" t="s">
        <v>15</v>
      </c>
      <c r="G1882">
        <v>12</v>
      </c>
      <c r="H1882">
        <v>29377</v>
      </c>
      <c r="I1882">
        <v>352524</v>
      </c>
      <c r="J1882" t="s">
        <v>36</v>
      </c>
    </row>
    <row r="1883" spans="1:10" x14ac:dyDescent="0.25">
      <c r="A1883" t="s">
        <v>88</v>
      </c>
      <c r="B1883" t="s">
        <v>42</v>
      </c>
      <c r="C1883" t="s">
        <v>23</v>
      </c>
      <c r="D1883" t="s">
        <v>13</v>
      </c>
      <c r="E1883" t="s">
        <v>35</v>
      </c>
      <c r="F1883" t="s">
        <v>40</v>
      </c>
      <c r="G1883">
        <v>8</v>
      </c>
      <c r="H1883">
        <v>18520</v>
      </c>
      <c r="I1883">
        <v>148160</v>
      </c>
      <c r="J1883" t="s">
        <v>36</v>
      </c>
    </row>
    <row r="1884" spans="1:10" x14ac:dyDescent="0.25">
      <c r="A1884" t="s">
        <v>209</v>
      </c>
      <c r="B1884" t="s">
        <v>22</v>
      </c>
      <c r="C1884" t="s">
        <v>34</v>
      </c>
      <c r="D1884" t="s">
        <v>24</v>
      </c>
      <c r="E1884" t="s">
        <v>35</v>
      </c>
      <c r="F1884" t="s">
        <v>26</v>
      </c>
      <c r="G1884">
        <v>3</v>
      </c>
      <c r="H1884">
        <v>45976</v>
      </c>
      <c r="I1884">
        <v>137928</v>
      </c>
      <c r="J1884" t="s">
        <v>16</v>
      </c>
    </row>
    <row r="1885" spans="1:10" x14ac:dyDescent="0.25">
      <c r="A1885" t="s">
        <v>118</v>
      </c>
      <c r="B1885" t="s">
        <v>11</v>
      </c>
      <c r="C1885" t="s">
        <v>34</v>
      </c>
      <c r="D1885" t="s">
        <v>24</v>
      </c>
      <c r="E1885" t="s">
        <v>30</v>
      </c>
      <c r="F1885" t="s">
        <v>15</v>
      </c>
      <c r="G1885">
        <v>3</v>
      </c>
      <c r="H1885">
        <v>34673</v>
      </c>
      <c r="I1885">
        <v>104019</v>
      </c>
      <c r="J1885" t="s">
        <v>36</v>
      </c>
    </row>
    <row r="1886" spans="1:10" x14ac:dyDescent="0.25">
      <c r="A1886" t="s">
        <v>368</v>
      </c>
      <c r="B1886" t="s">
        <v>22</v>
      </c>
      <c r="C1886" t="s">
        <v>38</v>
      </c>
      <c r="D1886" t="s">
        <v>13</v>
      </c>
      <c r="E1886" t="s">
        <v>30</v>
      </c>
      <c r="F1886" t="s">
        <v>15</v>
      </c>
      <c r="G1886">
        <v>7</v>
      </c>
      <c r="H1886">
        <v>38363</v>
      </c>
      <c r="I1886">
        <v>268541</v>
      </c>
      <c r="J1886" t="s">
        <v>27</v>
      </c>
    </row>
    <row r="1887" spans="1:10" x14ac:dyDescent="0.25">
      <c r="A1887" t="s">
        <v>102</v>
      </c>
      <c r="B1887" t="s">
        <v>11</v>
      </c>
      <c r="C1887" t="s">
        <v>23</v>
      </c>
      <c r="D1887" t="s">
        <v>48</v>
      </c>
      <c r="E1887" t="s">
        <v>35</v>
      </c>
      <c r="F1887" t="s">
        <v>15</v>
      </c>
      <c r="G1887">
        <v>7</v>
      </c>
      <c r="H1887">
        <v>17579</v>
      </c>
      <c r="I1887">
        <v>123053</v>
      </c>
      <c r="J1887" t="s">
        <v>16</v>
      </c>
    </row>
    <row r="1888" spans="1:10" x14ac:dyDescent="0.25">
      <c r="A1888" t="s">
        <v>285</v>
      </c>
      <c r="B1888" t="s">
        <v>22</v>
      </c>
      <c r="C1888" t="s">
        <v>23</v>
      </c>
      <c r="D1888" t="s">
        <v>39</v>
      </c>
      <c r="E1888" t="s">
        <v>25</v>
      </c>
      <c r="F1888" t="s">
        <v>40</v>
      </c>
      <c r="G1888">
        <v>11</v>
      </c>
      <c r="H1888">
        <v>51348</v>
      </c>
      <c r="I1888">
        <v>564828</v>
      </c>
      <c r="J1888" t="s">
        <v>36</v>
      </c>
    </row>
    <row r="1889" spans="1:10" x14ac:dyDescent="0.25">
      <c r="A1889" t="s">
        <v>75</v>
      </c>
      <c r="B1889" t="s">
        <v>22</v>
      </c>
      <c r="C1889" t="s">
        <v>34</v>
      </c>
      <c r="D1889" t="s">
        <v>24</v>
      </c>
      <c r="E1889" t="s">
        <v>25</v>
      </c>
      <c r="F1889" t="s">
        <v>26</v>
      </c>
      <c r="G1889">
        <v>6</v>
      </c>
      <c r="H1889">
        <v>41020</v>
      </c>
      <c r="I1889">
        <v>246120</v>
      </c>
      <c r="J1889" t="s">
        <v>27</v>
      </c>
    </row>
    <row r="1890" spans="1:10" x14ac:dyDescent="0.25">
      <c r="A1890" t="s">
        <v>145</v>
      </c>
      <c r="B1890" t="s">
        <v>11</v>
      </c>
      <c r="C1890" t="s">
        <v>34</v>
      </c>
      <c r="D1890" t="s">
        <v>13</v>
      </c>
      <c r="E1890" t="s">
        <v>35</v>
      </c>
      <c r="F1890" t="s">
        <v>15</v>
      </c>
      <c r="G1890">
        <v>10</v>
      </c>
      <c r="H1890">
        <v>57718</v>
      </c>
      <c r="I1890">
        <v>577180</v>
      </c>
      <c r="J1890" t="s">
        <v>27</v>
      </c>
    </row>
    <row r="1891" spans="1:10" x14ac:dyDescent="0.25">
      <c r="A1891" t="s">
        <v>297</v>
      </c>
      <c r="B1891" t="s">
        <v>18</v>
      </c>
      <c r="C1891" t="s">
        <v>38</v>
      </c>
      <c r="D1891" t="s">
        <v>13</v>
      </c>
      <c r="E1891" t="s">
        <v>19</v>
      </c>
      <c r="F1891" t="s">
        <v>15</v>
      </c>
      <c r="G1891">
        <v>18</v>
      </c>
      <c r="H1891">
        <v>16121</v>
      </c>
      <c r="I1891">
        <v>290178</v>
      </c>
      <c r="J1891" t="s">
        <v>27</v>
      </c>
    </row>
    <row r="1892" spans="1:10" x14ac:dyDescent="0.25">
      <c r="A1892" t="s">
        <v>367</v>
      </c>
      <c r="B1892" t="s">
        <v>18</v>
      </c>
      <c r="C1892" t="s">
        <v>23</v>
      </c>
      <c r="D1892" t="s">
        <v>39</v>
      </c>
      <c r="E1892" t="s">
        <v>30</v>
      </c>
      <c r="F1892" t="s">
        <v>26</v>
      </c>
      <c r="G1892">
        <v>20</v>
      </c>
      <c r="H1892">
        <v>19420</v>
      </c>
      <c r="I1892">
        <v>388400</v>
      </c>
      <c r="J1892" t="s">
        <v>27</v>
      </c>
    </row>
    <row r="1893" spans="1:10" x14ac:dyDescent="0.25">
      <c r="A1893" t="s">
        <v>205</v>
      </c>
      <c r="B1893" t="s">
        <v>11</v>
      </c>
      <c r="C1893" t="s">
        <v>12</v>
      </c>
      <c r="D1893" t="s">
        <v>44</v>
      </c>
      <c r="E1893" t="s">
        <v>14</v>
      </c>
      <c r="F1893" t="s">
        <v>15</v>
      </c>
      <c r="G1893">
        <v>18</v>
      </c>
      <c r="H1893">
        <v>58229</v>
      </c>
      <c r="I1893">
        <v>1048122</v>
      </c>
      <c r="J1893" t="s">
        <v>20</v>
      </c>
    </row>
    <row r="1894" spans="1:10" x14ac:dyDescent="0.25">
      <c r="A1894" t="s">
        <v>390</v>
      </c>
      <c r="B1894" t="s">
        <v>42</v>
      </c>
      <c r="C1894" t="s">
        <v>23</v>
      </c>
      <c r="D1894" t="s">
        <v>13</v>
      </c>
      <c r="E1894" t="s">
        <v>35</v>
      </c>
      <c r="F1894" t="s">
        <v>40</v>
      </c>
      <c r="G1894">
        <v>8</v>
      </c>
      <c r="H1894">
        <v>24059</v>
      </c>
      <c r="I1894">
        <v>192472</v>
      </c>
      <c r="J1894" t="s">
        <v>20</v>
      </c>
    </row>
    <row r="1895" spans="1:10" x14ac:dyDescent="0.25">
      <c r="A1895" t="s">
        <v>207</v>
      </c>
      <c r="B1895" t="s">
        <v>33</v>
      </c>
      <c r="C1895" t="s">
        <v>23</v>
      </c>
      <c r="D1895" t="s">
        <v>39</v>
      </c>
      <c r="E1895" t="s">
        <v>30</v>
      </c>
      <c r="F1895" t="s">
        <v>15</v>
      </c>
      <c r="G1895">
        <v>10</v>
      </c>
      <c r="H1895">
        <v>25902</v>
      </c>
      <c r="I1895">
        <v>259020</v>
      </c>
      <c r="J1895" t="s">
        <v>20</v>
      </c>
    </row>
    <row r="1896" spans="1:10" x14ac:dyDescent="0.25">
      <c r="A1896" t="s">
        <v>276</v>
      </c>
      <c r="B1896" t="s">
        <v>33</v>
      </c>
      <c r="C1896" t="s">
        <v>23</v>
      </c>
      <c r="D1896" t="s">
        <v>24</v>
      </c>
      <c r="E1896" t="s">
        <v>14</v>
      </c>
      <c r="F1896" t="s">
        <v>40</v>
      </c>
      <c r="G1896">
        <v>5</v>
      </c>
      <c r="H1896">
        <v>48705</v>
      </c>
      <c r="I1896">
        <v>243525</v>
      </c>
      <c r="J1896" t="s">
        <v>36</v>
      </c>
    </row>
    <row r="1897" spans="1:10" x14ac:dyDescent="0.25">
      <c r="A1897" t="s">
        <v>94</v>
      </c>
      <c r="B1897" t="s">
        <v>11</v>
      </c>
      <c r="C1897" t="s">
        <v>34</v>
      </c>
      <c r="D1897" t="s">
        <v>13</v>
      </c>
      <c r="E1897" t="s">
        <v>14</v>
      </c>
      <c r="F1897" t="s">
        <v>40</v>
      </c>
      <c r="G1897">
        <v>2</v>
      </c>
      <c r="H1897">
        <v>34196</v>
      </c>
      <c r="I1897">
        <v>68392</v>
      </c>
      <c r="J1897" t="s">
        <v>16</v>
      </c>
    </row>
    <row r="1898" spans="1:10" x14ac:dyDescent="0.25">
      <c r="A1898" t="s">
        <v>54</v>
      </c>
      <c r="B1898" t="s">
        <v>11</v>
      </c>
      <c r="C1898" t="s">
        <v>23</v>
      </c>
      <c r="D1898" t="s">
        <v>24</v>
      </c>
      <c r="E1898" t="s">
        <v>14</v>
      </c>
      <c r="F1898" t="s">
        <v>15</v>
      </c>
      <c r="G1898">
        <v>20</v>
      </c>
      <c r="H1898">
        <v>20224</v>
      </c>
      <c r="I1898">
        <v>404480</v>
      </c>
      <c r="J1898" t="s">
        <v>36</v>
      </c>
    </row>
    <row r="1899" spans="1:10" x14ac:dyDescent="0.25">
      <c r="A1899" t="s">
        <v>43</v>
      </c>
      <c r="B1899" t="s">
        <v>42</v>
      </c>
      <c r="C1899" t="s">
        <v>38</v>
      </c>
      <c r="D1899" t="s">
        <v>39</v>
      </c>
      <c r="E1899" t="s">
        <v>14</v>
      </c>
      <c r="F1899" t="s">
        <v>15</v>
      </c>
      <c r="G1899">
        <v>20</v>
      </c>
      <c r="H1899">
        <v>38317</v>
      </c>
      <c r="I1899">
        <v>766340</v>
      </c>
      <c r="J1899" t="s">
        <v>16</v>
      </c>
    </row>
    <row r="1900" spans="1:10" x14ac:dyDescent="0.25">
      <c r="A1900" t="s">
        <v>315</v>
      </c>
      <c r="B1900" t="s">
        <v>18</v>
      </c>
      <c r="C1900" t="s">
        <v>12</v>
      </c>
      <c r="D1900" t="s">
        <v>24</v>
      </c>
      <c r="E1900" t="s">
        <v>25</v>
      </c>
      <c r="F1900" t="s">
        <v>26</v>
      </c>
      <c r="G1900">
        <v>7</v>
      </c>
      <c r="H1900">
        <v>57241</v>
      </c>
      <c r="I1900">
        <v>400687</v>
      </c>
      <c r="J1900" t="s">
        <v>20</v>
      </c>
    </row>
    <row r="1901" spans="1:10" x14ac:dyDescent="0.25">
      <c r="A1901" t="s">
        <v>159</v>
      </c>
      <c r="B1901" t="s">
        <v>22</v>
      </c>
      <c r="C1901" t="s">
        <v>29</v>
      </c>
      <c r="D1901" t="s">
        <v>48</v>
      </c>
      <c r="E1901" t="s">
        <v>14</v>
      </c>
      <c r="F1901" t="s">
        <v>15</v>
      </c>
      <c r="G1901">
        <v>15</v>
      </c>
      <c r="H1901">
        <v>58374</v>
      </c>
      <c r="I1901">
        <v>875610</v>
      </c>
      <c r="J1901" t="s">
        <v>16</v>
      </c>
    </row>
    <row r="1902" spans="1:10" x14ac:dyDescent="0.25">
      <c r="A1902" t="s">
        <v>241</v>
      </c>
      <c r="B1902" t="s">
        <v>18</v>
      </c>
      <c r="C1902" t="s">
        <v>38</v>
      </c>
      <c r="D1902" t="s">
        <v>24</v>
      </c>
      <c r="E1902" t="s">
        <v>19</v>
      </c>
      <c r="F1902" t="s">
        <v>40</v>
      </c>
      <c r="G1902">
        <v>14</v>
      </c>
      <c r="H1902">
        <v>48299</v>
      </c>
      <c r="I1902">
        <v>676186</v>
      </c>
      <c r="J1902" t="s">
        <v>20</v>
      </c>
    </row>
    <row r="1903" spans="1:10" x14ac:dyDescent="0.25">
      <c r="A1903" t="s">
        <v>303</v>
      </c>
      <c r="B1903" t="s">
        <v>18</v>
      </c>
      <c r="C1903" t="s">
        <v>38</v>
      </c>
      <c r="D1903" t="s">
        <v>13</v>
      </c>
      <c r="E1903" t="s">
        <v>25</v>
      </c>
      <c r="F1903" t="s">
        <v>40</v>
      </c>
      <c r="G1903">
        <v>20</v>
      </c>
      <c r="H1903">
        <v>45643</v>
      </c>
      <c r="I1903">
        <v>912860</v>
      </c>
      <c r="J1903" t="s">
        <v>20</v>
      </c>
    </row>
    <row r="1904" spans="1:10" x14ac:dyDescent="0.25">
      <c r="A1904" t="s">
        <v>292</v>
      </c>
      <c r="B1904" t="s">
        <v>22</v>
      </c>
      <c r="C1904" t="s">
        <v>34</v>
      </c>
      <c r="D1904" t="s">
        <v>39</v>
      </c>
      <c r="E1904" t="s">
        <v>19</v>
      </c>
      <c r="F1904" t="s">
        <v>26</v>
      </c>
      <c r="G1904">
        <v>20</v>
      </c>
      <c r="H1904">
        <v>27717</v>
      </c>
      <c r="I1904">
        <v>554340</v>
      </c>
      <c r="J1904" t="s">
        <v>27</v>
      </c>
    </row>
    <row r="1905" spans="1:10" x14ac:dyDescent="0.25">
      <c r="A1905" t="s">
        <v>384</v>
      </c>
      <c r="B1905" t="s">
        <v>33</v>
      </c>
      <c r="C1905" t="s">
        <v>23</v>
      </c>
      <c r="D1905" t="s">
        <v>24</v>
      </c>
      <c r="E1905" t="s">
        <v>14</v>
      </c>
      <c r="F1905" t="s">
        <v>26</v>
      </c>
      <c r="G1905">
        <v>8</v>
      </c>
      <c r="H1905">
        <v>44148</v>
      </c>
      <c r="I1905">
        <v>353184</v>
      </c>
      <c r="J1905" t="s">
        <v>20</v>
      </c>
    </row>
    <row r="1906" spans="1:10" x14ac:dyDescent="0.25">
      <c r="A1906" t="s">
        <v>10</v>
      </c>
      <c r="B1906" t="s">
        <v>18</v>
      </c>
      <c r="C1906" t="s">
        <v>34</v>
      </c>
      <c r="D1906" t="s">
        <v>39</v>
      </c>
      <c r="E1906" t="s">
        <v>35</v>
      </c>
      <c r="F1906" t="s">
        <v>15</v>
      </c>
      <c r="G1906">
        <v>20</v>
      </c>
      <c r="H1906">
        <v>26318</v>
      </c>
      <c r="I1906">
        <v>526360</v>
      </c>
      <c r="J1906" t="s">
        <v>27</v>
      </c>
    </row>
    <row r="1907" spans="1:10" x14ac:dyDescent="0.25">
      <c r="A1907" t="s">
        <v>346</v>
      </c>
      <c r="B1907" t="s">
        <v>42</v>
      </c>
      <c r="C1907" t="s">
        <v>38</v>
      </c>
      <c r="D1907" t="s">
        <v>13</v>
      </c>
      <c r="E1907" t="s">
        <v>14</v>
      </c>
      <c r="F1907" t="s">
        <v>15</v>
      </c>
      <c r="G1907">
        <v>19</v>
      </c>
      <c r="H1907">
        <v>53331</v>
      </c>
      <c r="I1907">
        <v>1013289</v>
      </c>
      <c r="J1907" t="s">
        <v>16</v>
      </c>
    </row>
    <row r="1908" spans="1:10" x14ac:dyDescent="0.25">
      <c r="A1908" t="s">
        <v>218</v>
      </c>
      <c r="B1908" t="s">
        <v>42</v>
      </c>
      <c r="C1908" t="s">
        <v>29</v>
      </c>
      <c r="D1908" t="s">
        <v>13</v>
      </c>
      <c r="E1908" t="s">
        <v>35</v>
      </c>
      <c r="F1908" t="s">
        <v>15</v>
      </c>
      <c r="G1908">
        <v>18</v>
      </c>
      <c r="H1908">
        <v>37211</v>
      </c>
      <c r="I1908">
        <v>669798</v>
      </c>
      <c r="J1908" t="s">
        <v>36</v>
      </c>
    </row>
    <row r="1909" spans="1:10" x14ac:dyDescent="0.25">
      <c r="A1909" t="s">
        <v>64</v>
      </c>
      <c r="B1909" t="s">
        <v>33</v>
      </c>
      <c r="C1909" t="s">
        <v>38</v>
      </c>
      <c r="D1909" t="s">
        <v>24</v>
      </c>
      <c r="E1909" t="s">
        <v>25</v>
      </c>
      <c r="F1909" t="s">
        <v>15</v>
      </c>
      <c r="G1909">
        <v>4</v>
      </c>
      <c r="H1909">
        <v>42154</v>
      </c>
      <c r="I1909">
        <v>168616</v>
      </c>
      <c r="J1909" t="s">
        <v>16</v>
      </c>
    </row>
    <row r="1910" spans="1:10" x14ac:dyDescent="0.25">
      <c r="A1910" t="s">
        <v>353</v>
      </c>
      <c r="B1910" t="s">
        <v>42</v>
      </c>
      <c r="C1910" t="s">
        <v>38</v>
      </c>
      <c r="D1910" t="s">
        <v>13</v>
      </c>
      <c r="E1910" t="s">
        <v>14</v>
      </c>
      <c r="F1910" t="s">
        <v>15</v>
      </c>
      <c r="G1910">
        <v>14</v>
      </c>
      <c r="H1910">
        <v>51237</v>
      </c>
      <c r="I1910">
        <v>717318</v>
      </c>
      <c r="J1910" t="s">
        <v>20</v>
      </c>
    </row>
    <row r="1911" spans="1:10" x14ac:dyDescent="0.25">
      <c r="A1911" t="s">
        <v>321</v>
      </c>
      <c r="B1911" t="s">
        <v>42</v>
      </c>
      <c r="C1911" t="s">
        <v>38</v>
      </c>
      <c r="D1911" t="s">
        <v>44</v>
      </c>
      <c r="E1911" t="s">
        <v>25</v>
      </c>
      <c r="F1911" t="s">
        <v>40</v>
      </c>
      <c r="G1911">
        <v>14</v>
      </c>
      <c r="H1911">
        <v>22063</v>
      </c>
      <c r="I1911">
        <v>308882</v>
      </c>
      <c r="J1911" t="s">
        <v>16</v>
      </c>
    </row>
    <row r="1912" spans="1:10" x14ac:dyDescent="0.25">
      <c r="A1912" t="s">
        <v>277</v>
      </c>
      <c r="B1912" t="s">
        <v>33</v>
      </c>
      <c r="C1912" t="s">
        <v>34</v>
      </c>
      <c r="D1912" t="s">
        <v>48</v>
      </c>
      <c r="E1912" t="s">
        <v>35</v>
      </c>
      <c r="F1912" t="s">
        <v>15</v>
      </c>
      <c r="G1912">
        <v>14</v>
      </c>
      <c r="H1912">
        <v>26872</v>
      </c>
      <c r="I1912">
        <v>376208</v>
      </c>
      <c r="J1912" t="s">
        <v>27</v>
      </c>
    </row>
    <row r="1913" spans="1:10" x14ac:dyDescent="0.25">
      <c r="A1913" t="s">
        <v>386</v>
      </c>
      <c r="B1913" t="s">
        <v>18</v>
      </c>
      <c r="C1913" t="s">
        <v>29</v>
      </c>
      <c r="D1913" t="s">
        <v>44</v>
      </c>
      <c r="E1913" t="s">
        <v>30</v>
      </c>
      <c r="F1913" t="s">
        <v>26</v>
      </c>
      <c r="G1913">
        <v>20</v>
      </c>
      <c r="H1913">
        <v>54924</v>
      </c>
      <c r="I1913">
        <v>1098480</v>
      </c>
      <c r="J1913" t="s">
        <v>36</v>
      </c>
    </row>
    <row r="1914" spans="1:10" x14ac:dyDescent="0.25">
      <c r="A1914" t="s">
        <v>111</v>
      </c>
      <c r="B1914" t="s">
        <v>33</v>
      </c>
      <c r="C1914" t="s">
        <v>29</v>
      </c>
      <c r="D1914" t="s">
        <v>48</v>
      </c>
      <c r="E1914" t="s">
        <v>19</v>
      </c>
      <c r="F1914" t="s">
        <v>15</v>
      </c>
      <c r="G1914">
        <v>18</v>
      </c>
      <c r="H1914">
        <v>43344</v>
      </c>
      <c r="I1914">
        <v>780192</v>
      </c>
      <c r="J1914" t="s">
        <v>20</v>
      </c>
    </row>
    <row r="1915" spans="1:10" x14ac:dyDescent="0.25">
      <c r="A1915" t="s">
        <v>305</v>
      </c>
      <c r="B1915" t="s">
        <v>22</v>
      </c>
      <c r="C1915" t="s">
        <v>38</v>
      </c>
      <c r="D1915" t="s">
        <v>13</v>
      </c>
      <c r="E1915" t="s">
        <v>14</v>
      </c>
      <c r="F1915" t="s">
        <v>26</v>
      </c>
      <c r="G1915">
        <v>6</v>
      </c>
      <c r="H1915">
        <v>34610</v>
      </c>
      <c r="I1915">
        <v>207660</v>
      </c>
      <c r="J1915" t="s">
        <v>36</v>
      </c>
    </row>
    <row r="1916" spans="1:10" x14ac:dyDescent="0.25">
      <c r="A1916" t="s">
        <v>31</v>
      </c>
      <c r="B1916" t="s">
        <v>11</v>
      </c>
      <c r="C1916" t="s">
        <v>34</v>
      </c>
      <c r="D1916" t="s">
        <v>13</v>
      </c>
      <c r="E1916" t="s">
        <v>35</v>
      </c>
      <c r="F1916" t="s">
        <v>40</v>
      </c>
      <c r="G1916">
        <v>13</v>
      </c>
      <c r="H1916">
        <v>33497</v>
      </c>
      <c r="I1916">
        <v>435461</v>
      </c>
      <c r="J1916" t="s">
        <v>27</v>
      </c>
    </row>
    <row r="1917" spans="1:10" x14ac:dyDescent="0.25">
      <c r="A1917" t="s">
        <v>65</v>
      </c>
      <c r="B1917" t="s">
        <v>42</v>
      </c>
      <c r="C1917" t="s">
        <v>34</v>
      </c>
      <c r="D1917" t="s">
        <v>24</v>
      </c>
      <c r="E1917" t="s">
        <v>19</v>
      </c>
      <c r="F1917" t="s">
        <v>15</v>
      </c>
      <c r="G1917">
        <v>14</v>
      </c>
      <c r="H1917">
        <v>31594</v>
      </c>
      <c r="I1917">
        <v>442316</v>
      </c>
      <c r="J1917" t="s">
        <v>27</v>
      </c>
    </row>
    <row r="1918" spans="1:10" x14ac:dyDescent="0.25">
      <c r="A1918" t="s">
        <v>236</v>
      </c>
      <c r="B1918" t="s">
        <v>33</v>
      </c>
      <c r="C1918" t="s">
        <v>29</v>
      </c>
      <c r="D1918" t="s">
        <v>24</v>
      </c>
      <c r="E1918" t="s">
        <v>25</v>
      </c>
      <c r="F1918" t="s">
        <v>15</v>
      </c>
      <c r="G1918">
        <v>11</v>
      </c>
      <c r="H1918">
        <v>22405</v>
      </c>
      <c r="I1918">
        <v>246455</v>
      </c>
      <c r="J1918" t="s">
        <v>20</v>
      </c>
    </row>
    <row r="1919" spans="1:10" x14ac:dyDescent="0.25">
      <c r="A1919" t="s">
        <v>216</v>
      </c>
      <c r="B1919" t="s">
        <v>18</v>
      </c>
      <c r="C1919" t="s">
        <v>38</v>
      </c>
      <c r="D1919" t="s">
        <v>24</v>
      </c>
      <c r="E1919" t="s">
        <v>30</v>
      </c>
      <c r="F1919" t="s">
        <v>26</v>
      </c>
      <c r="G1919">
        <v>2</v>
      </c>
      <c r="H1919">
        <v>42598</v>
      </c>
      <c r="I1919">
        <v>85196</v>
      </c>
      <c r="J1919" t="s">
        <v>27</v>
      </c>
    </row>
    <row r="1920" spans="1:10" x14ac:dyDescent="0.25">
      <c r="A1920" t="s">
        <v>374</v>
      </c>
      <c r="B1920" t="s">
        <v>42</v>
      </c>
      <c r="C1920" t="s">
        <v>34</v>
      </c>
      <c r="D1920" t="s">
        <v>44</v>
      </c>
      <c r="E1920" t="s">
        <v>30</v>
      </c>
      <c r="F1920" t="s">
        <v>15</v>
      </c>
      <c r="G1920">
        <v>11</v>
      </c>
      <c r="H1920">
        <v>34013</v>
      </c>
      <c r="I1920">
        <v>374143</v>
      </c>
      <c r="J1920" t="s">
        <v>16</v>
      </c>
    </row>
    <row r="1921" spans="1:10" x14ac:dyDescent="0.25">
      <c r="A1921" t="s">
        <v>330</v>
      </c>
      <c r="B1921" t="s">
        <v>11</v>
      </c>
      <c r="C1921" t="s">
        <v>29</v>
      </c>
      <c r="D1921" t="s">
        <v>44</v>
      </c>
      <c r="E1921" t="s">
        <v>30</v>
      </c>
      <c r="F1921" t="s">
        <v>15</v>
      </c>
      <c r="G1921">
        <v>11</v>
      </c>
      <c r="H1921">
        <v>24347</v>
      </c>
      <c r="I1921">
        <v>267817</v>
      </c>
      <c r="J1921" t="s">
        <v>20</v>
      </c>
    </row>
    <row r="1922" spans="1:10" x14ac:dyDescent="0.25">
      <c r="A1922" t="s">
        <v>312</v>
      </c>
      <c r="B1922" t="s">
        <v>42</v>
      </c>
      <c r="C1922" t="s">
        <v>23</v>
      </c>
      <c r="D1922" t="s">
        <v>13</v>
      </c>
      <c r="E1922" t="s">
        <v>35</v>
      </c>
      <c r="F1922" t="s">
        <v>40</v>
      </c>
      <c r="G1922">
        <v>15</v>
      </c>
      <c r="H1922">
        <v>27356</v>
      </c>
      <c r="I1922">
        <v>410340</v>
      </c>
      <c r="J1922" t="s">
        <v>16</v>
      </c>
    </row>
    <row r="1923" spans="1:10" x14ac:dyDescent="0.25">
      <c r="A1923" t="s">
        <v>392</v>
      </c>
      <c r="B1923" t="s">
        <v>11</v>
      </c>
      <c r="C1923" t="s">
        <v>23</v>
      </c>
      <c r="D1923" t="s">
        <v>44</v>
      </c>
      <c r="E1923" t="s">
        <v>35</v>
      </c>
      <c r="F1923" t="s">
        <v>26</v>
      </c>
      <c r="G1923">
        <v>7</v>
      </c>
      <c r="H1923">
        <v>17800</v>
      </c>
      <c r="I1923">
        <v>124600</v>
      </c>
      <c r="J1923" t="s">
        <v>36</v>
      </c>
    </row>
    <row r="1924" spans="1:10" x14ac:dyDescent="0.25">
      <c r="A1924" t="s">
        <v>256</v>
      </c>
      <c r="B1924" t="s">
        <v>22</v>
      </c>
      <c r="C1924" t="s">
        <v>12</v>
      </c>
      <c r="D1924" t="s">
        <v>13</v>
      </c>
      <c r="E1924" t="s">
        <v>14</v>
      </c>
      <c r="F1924" t="s">
        <v>15</v>
      </c>
      <c r="G1924">
        <v>10</v>
      </c>
      <c r="H1924">
        <v>26920</v>
      </c>
      <c r="I1924">
        <v>269200</v>
      </c>
      <c r="J1924" t="s">
        <v>36</v>
      </c>
    </row>
    <row r="1925" spans="1:10" x14ac:dyDescent="0.25">
      <c r="A1925" t="s">
        <v>313</v>
      </c>
      <c r="B1925" t="s">
        <v>18</v>
      </c>
      <c r="C1925" t="s">
        <v>29</v>
      </c>
      <c r="D1925" t="s">
        <v>44</v>
      </c>
      <c r="E1925" t="s">
        <v>30</v>
      </c>
      <c r="F1925" t="s">
        <v>40</v>
      </c>
      <c r="G1925">
        <v>6</v>
      </c>
      <c r="H1925">
        <v>59963</v>
      </c>
      <c r="I1925">
        <v>359778</v>
      </c>
      <c r="J1925" t="s">
        <v>20</v>
      </c>
    </row>
    <row r="1926" spans="1:10" x14ac:dyDescent="0.25">
      <c r="A1926" t="s">
        <v>220</v>
      </c>
      <c r="B1926" t="s">
        <v>42</v>
      </c>
      <c r="C1926" t="s">
        <v>23</v>
      </c>
      <c r="D1926" t="s">
        <v>44</v>
      </c>
      <c r="E1926" t="s">
        <v>14</v>
      </c>
      <c r="F1926" t="s">
        <v>40</v>
      </c>
      <c r="G1926">
        <v>13</v>
      </c>
      <c r="H1926">
        <v>53193</v>
      </c>
      <c r="I1926">
        <v>691509</v>
      </c>
      <c r="J1926" t="s">
        <v>16</v>
      </c>
    </row>
    <row r="1927" spans="1:10" x14ac:dyDescent="0.25">
      <c r="A1927" t="s">
        <v>396</v>
      </c>
      <c r="B1927" t="s">
        <v>22</v>
      </c>
      <c r="C1927" t="s">
        <v>29</v>
      </c>
      <c r="D1927" t="s">
        <v>24</v>
      </c>
      <c r="E1927" t="s">
        <v>19</v>
      </c>
      <c r="F1927" t="s">
        <v>26</v>
      </c>
      <c r="G1927">
        <v>19</v>
      </c>
      <c r="H1927">
        <v>21127</v>
      </c>
      <c r="I1927">
        <v>401413</v>
      </c>
      <c r="J1927" t="s">
        <v>36</v>
      </c>
    </row>
    <row r="1928" spans="1:10" x14ac:dyDescent="0.25">
      <c r="A1928" t="s">
        <v>46</v>
      </c>
      <c r="B1928" t="s">
        <v>22</v>
      </c>
      <c r="C1928" t="s">
        <v>38</v>
      </c>
      <c r="D1928" t="s">
        <v>48</v>
      </c>
      <c r="E1928" t="s">
        <v>35</v>
      </c>
      <c r="F1928" t="s">
        <v>40</v>
      </c>
      <c r="G1928">
        <v>3</v>
      </c>
      <c r="H1928">
        <v>55138</v>
      </c>
      <c r="I1928">
        <v>165414</v>
      </c>
      <c r="J1928" t="s">
        <v>36</v>
      </c>
    </row>
    <row r="1929" spans="1:10" x14ac:dyDescent="0.25">
      <c r="A1929" t="s">
        <v>291</v>
      </c>
      <c r="B1929" t="s">
        <v>18</v>
      </c>
      <c r="C1929" t="s">
        <v>38</v>
      </c>
      <c r="D1929" t="s">
        <v>13</v>
      </c>
      <c r="E1929" t="s">
        <v>14</v>
      </c>
      <c r="F1929" t="s">
        <v>15</v>
      </c>
      <c r="G1929">
        <v>9</v>
      </c>
      <c r="H1929">
        <v>57992</v>
      </c>
      <c r="I1929">
        <v>521928</v>
      </c>
      <c r="J1929" t="s">
        <v>20</v>
      </c>
    </row>
    <row r="1930" spans="1:10" x14ac:dyDescent="0.25">
      <c r="A1930" t="s">
        <v>131</v>
      </c>
      <c r="B1930" t="s">
        <v>22</v>
      </c>
      <c r="C1930" t="s">
        <v>12</v>
      </c>
      <c r="D1930" t="s">
        <v>44</v>
      </c>
      <c r="E1930" t="s">
        <v>14</v>
      </c>
      <c r="F1930" t="s">
        <v>26</v>
      </c>
      <c r="G1930">
        <v>15</v>
      </c>
      <c r="H1930">
        <v>16307</v>
      </c>
      <c r="I1930">
        <v>244605</v>
      </c>
      <c r="J1930" t="s">
        <v>36</v>
      </c>
    </row>
    <row r="1931" spans="1:10" x14ac:dyDescent="0.25">
      <c r="A1931" t="s">
        <v>341</v>
      </c>
      <c r="B1931" t="s">
        <v>18</v>
      </c>
      <c r="C1931" t="s">
        <v>34</v>
      </c>
      <c r="D1931" t="s">
        <v>48</v>
      </c>
      <c r="E1931" t="s">
        <v>30</v>
      </c>
      <c r="F1931" t="s">
        <v>40</v>
      </c>
      <c r="G1931">
        <v>6</v>
      </c>
      <c r="H1931">
        <v>29767</v>
      </c>
      <c r="I1931">
        <v>178602</v>
      </c>
      <c r="J1931" t="s">
        <v>20</v>
      </c>
    </row>
    <row r="1932" spans="1:10" x14ac:dyDescent="0.25">
      <c r="A1932" t="s">
        <v>291</v>
      </c>
      <c r="B1932" t="s">
        <v>18</v>
      </c>
      <c r="C1932" t="s">
        <v>34</v>
      </c>
      <c r="D1932" t="s">
        <v>39</v>
      </c>
      <c r="E1932" t="s">
        <v>35</v>
      </c>
      <c r="F1932" t="s">
        <v>40</v>
      </c>
      <c r="G1932">
        <v>6</v>
      </c>
      <c r="H1932">
        <v>19021</v>
      </c>
      <c r="I1932">
        <v>114126</v>
      </c>
      <c r="J1932" t="s">
        <v>36</v>
      </c>
    </row>
    <row r="1933" spans="1:10" x14ac:dyDescent="0.25">
      <c r="A1933" t="s">
        <v>189</v>
      </c>
      <c r="B1933" t="s">
        <v>33</v>
      </c>
      <c r="C1933" t="s">
        <v>38</v>
      </c>
      <c r="D1933" t="s">
        <v>39</v>
      </c>
      <c r="E1933" t="s">
        <v>35</v>
      </c>
      <c r="F1933" t="s">
        <v>15</v>
      </c>
      <c r="G1933">
        <v>3</v>
      </c>
      <c r="H1933">
        <v>38503</v>
      </c>
      <c r="I1933">
        <v>115509</v>
      </c>
      <c r="J1933" t="s">
        <v>20</v>
      </c>
    </row>
    <row r="1934" spans="1:10" x14ac:dyDescent="0.25">
      <c r="A1934" t="s">
        <v>293</v>
      </c>
      <c r="B1934" t="s">
        <v>22</v>
      </c>
      <c r="C1934" t="s">
        <v>23</v>
      </c>
      <c r="D1934" t="s">
        <v>44</v>
      </c>
      <c r="E1934" t="s">
        <v>35</v>
      </c>
      <c r="F1934" t="s">
        <v>26</v>
      </c>
      <c r="G1934">
        <v>1</v>
      </c>
      <c r="H1934">
        <v>54238</v>
      </c>
      <c r="I1934">
        <v>54238</v>
      </c>
      <c r="J1934" t="s">
        <v>36</v>
      </c>
    </row>
    <row r="1935" spans="1:10" x14ac:dyDescent="0.25">
      <c r="A1935" t="s">
        <v>71</v>
      </c>
      <c r="B1935" t="s">
        <v>42</v>
      </c>
      <c r="C1935" t="s">
        <v>29</v>
      </c>
      <c r="D1935" t="s">
        <v>44</v>
      </c>
      <c r="E1935" t="s">
        <v>35</v>
      </c>
      <c r="F1935" t="s">
        <v>15</v>
      </c>
      <c r="G1935">
        <v>4</v>
      </c>
      <c r="H1935">
        <v>41666</v>
      </c>
      <c r="I1935">
        <v>166664</v>
      </c>
      <c r="J1935" t="s">
        <v>20</v>
      </c>
    </row>
    <row r="1936" spans="1:10" x14ac:dyDescent="0.25">
      <c r="A1936" t="s">
        <v>104</v>
      </c>
      <c r="B1936" t="s">
        <v>22</v>
      </c>
      <c r="C1936" t="s">
        <v>23</v>
      </c>
      <c r="D1936" t="s">
        <v>13</v>
      </c>
      <c r="E1936" t="s">
        <v>14</v>
      </c>
      <c r="F1936" t="s">
        <v>40</v>
      </c>
      <c r="G1936">
        <v>13</v>
      </c>
      <c r="H1936">
        <v>53625</v>
      </c>
      <c r="I1936">
        <v>697125</v>
      </c>
      <c r="J1936" t="s">
        <v>20</v>
      </c>
    </row>
    <row r="1937" spans="1:10" x14ac:dyDescent="0.25">
      <c r="A1937" t="s">
        <v>164</v>
      </c>
      <c r="B1937" t="s">
        <v>33</v>
      </c>
      <c r="C1937" t="s">
        <v>29</v>
      </c>
      <c r="D1937" t="s">
        <v>39</v>
      </c>
      <c r="E1937" t="s">
        <v>30</v>
      </c>
      <c r="F1937" t="s">
        <v>15</v>
      </c>
      <c r="G1937">
        <v>19</v>
      </c>
      <c r="H1937">
        <v>56890</v>
      </c>
      <c r="I1937">
        <v>1080910</v>
      </c>
      <c r="J1937" t="s">
        <v>27</v>
      </c>
    </row>
    <row r="1938" spans="1:10" x14ac:dyDescent="0.25">
      <c r="A1938" t="s">
        <v>190</v>
      </c>
      <c r="B1938" t="s">
        <v>42</v>
      </c>
      <c r="C1938" t="s">
        <v>38</v>
      </c>
      <c r="D1938" t="s">
        <v>39</v>
      </c>
      <c r="E1938" t="s">
        <v>35</v>
      </c>
      <c r="F1938" t="s">
        <v>26</v>
      </c>
      <c r="G1938">
        <v>14</v>
      </c>
      <c r="H1938">
        <v>54264</v>
      </c>
      <c r="I1938">
        <v>759696</v>
      </c>
      <c r="J1938" t="s">
        <v>16</v>
      </c>
    </row>
    <row r="1939" spans="1:10" x14ac:dyDescent="0.25">
      <c r="A1939" t="s">
        <v>55</v>
      </c>
      <c r="B1939" t="s">
        <v>11</v>
      </c>
      <c r="C1939" t="s">
        <v>34</v>
      </c>
      <c r="D1939" t="s">
        <v>24</v>
      </c>
      <c r="E1939" t="s">
        <v>19</v>
      </c>
      <c r="F1939" t="s">
        <v>40</v>
      </c>
      <c r="G1939">
        <v>2</v>
      </c>
      <c r="H1939">
        <v>39767</v>
      </c>
      <c r="I1939">
        <v>79534</v>
      </c>
      <c r="J1939" t="s">
        <v>27</v>
      </c>
    </row>
    <row r="1940" spans="1:10" x14ac:dyDescent="0.25">
      <c r="A1940" t="s">
        <v>131</v>
      </c>
      <c r="B1940" t="s">
        <v>11</v>
      </c>
      <c r="C1940" t="s">
        <v>38</v>
      </c>
      <c r="D1940" t="s">
        <v>48</v>
      </c>
      <c r="E1940" t="s">
        <v>25</v>
      </c>
      <c r="F1940" t="s">
        <v>26</v>
      </c>
      <c r="G1940">
        <v>5</v>
      </c>
      <c r="H1940">
        <v>30283</v>
      </c>
      <c r="I1940">
        <v>151415</v>
      </c>
      <c r="J1940" t="s">
        <v>27</v>
      </c>
    </row>
    <row r="1941" spans="1:10" x14ac:dyDescent="0.25">
      <c r="A1941" t="s">
        <v>183</v>
      </c>
      <c r="B1941" t="s">
        <v>18</v>
      </c>
      <c r="C1941" t="s">
        <v>34</v>
      </c>
      <c r="D1941" t="s">
        <v>44</v>
      </c>
      <c r="E1941" t="s">
        <v>35</v>
      </c>
      <c r="F1941" t="s">
        <v>40</v>
      </c>
      <c r="G1941">
        <v>11</v>
      </c>
      <c r="H1941">
        <v>16078</v>
      </c>
      <c r="I1941">
        <v>176858</v>
      </c>
      <c r="J1941" t="s">
        <v>16</v>
      </c>
    </row>
    <row r="1942" spans="1:10" x14ac:dyDescent="0.25">
      <c r="A1942" t="s">
        <v>115</v>
      </c>
      <c r="B1942" t="s">
        <v>18</v>
      </c>
      <c r="C1942" t="s">
        <v>34</v>
      </c>
      <c r="D1942" t="s">
        <v>44</v>
      </c>
      <c r="E1942" t="s">
        <v>25</v>
      </c>
      <c r="F1942" t="s">
        <v>40</v>
      </c>
      <c r="G1942">
        <v>17</v>
      </c>
      <c r="H1942">
        <v>23209</v>
      </c>
      <c r="I1942">
        <v>394553</v>
      </c>
      <c r="J1942" t="s">
        <v>36</v>
      </c>
    </row>
    <row r="1943" spans="1:10" x14ac:dyDescent="0.25">
      <c r="A1943" t="s">
        <v>111</v>
      </c>
      <c r="B1943" t="s">
        <v>18</v>
      </c>
      <c r="C1943" t="s">
        <v>34</v>
      </c>
      <c r="D1943" t="s">
        <v>44</v>
      </c>
      <c r="E1943" t="s">
        <v>30</v>
      </c>
      <c r="F1943" t="s">
        <v>40</v>
      </c>
      <c r="G1943">
        <v>16</v>
      </c>
      <c r="H1943">
        <v>16486</v>
      </c>
      <c r="I1943">
        <v>263776</v>
      </c>
      <c r="J1943" t="s">
        <v>27</v>
      </c>
    </row>
    <row r="1944" spans="1:10" x14ac:dyDescent="0.25">
      <c r="A1944" t="s">
        <v>210</v>
      </c>
      <c r="B1944" t="s">
        <v>18</v>
      </c>
      <c r="C1944" t="s">
        <v>29</v>
      </c>
      <c r="D1944" t="s">
        <v>48</v>
      </c>
      <c r="E1944" t="s">
        <v>19</v>
      </c>
      <c r="F1944" t="s">
        <v>26</v>
      </c>
      <c r="G1944">
        <v>4</v>
      </c>
      <c r="H1944">
        <v>48835</v>
      </c>
      <c r="I1944">
        <v>195340</v>
      </c>
      <c r="J1944" t="s">
        <v>20</v>
      </c>
    </row>
    <row r="1945" spans="1:10" x14ac:dyDescent="0.25">
      <c r="A1945" t="s">
        <v>162</v>
      </c>
      <c r="B1945" t="s">
        <v>33</v>
      </c>
      <c r="C1945" t="s">
        <v>12</v>
      </c>
      <c r="D1945" t="s">
        <v>48</v>
      </c>
      <c r="E1945" t="s">
        <v>35</v>
      </c>
      <c r="F1945" t="s">
        <v>40</v>
      </c>
      <c r="G1945">
        <v>3</v>
      </c>
      <c r="H1945">
        <v>37479</v>
      </c>
      <c r="I1945">
        <v>112437</v>
      </c>
      <c r="J1945" t="s">
        <v>36</v>
      </c>
    </row>
    <row r="1946" spans="1:10" x14ac:dyDescent="0.25">
      <c r="A1946" t="s">
        <v>302</v>
      </c>
      <c r="B1946" t="s">
        <v>42</v>
      </c>
      <c r="C1946" t="s">
        <v>23</v>
      </c>
      <c r="D1946" t="s">
        <v>24</v>
      </c>
      <c r="E1946" t="s">
        <v>35</v>
      </c>
      <c r="F1946" t="s">
        <v>40</v>
      </c>
      <c r="G1946">
        <v>5</v>
      </c>
      <c r="H1946">
        <v>52549</v>
      </c>
      <c r="I1946">
        <v>262745</v>
      </c>
      <c r="J1946" t="s">
        <v>20</v>
      </c>
    </row>
    <row r="1947" spans="1:10" x14ac:dyDescent="0.25">
      <c r="A1947" t="s">
        <v>393</v>
      </c>
      <c r="B1947" t="s">
        <v>18</v>
      </c>
      <c r="C1947" t="s">
        <v>23</v>
      </c>
      <c r="D1947" t="s">
        <v>24</v>
      </c>
      <c r="E1947" t="s">
        <v>14</v>
      </c>
      <c r="F1947" t="s">
        <v>26</v>
      </c>
      <c r="G1947">
        <v>19</v>
      </c>
      <c r="H1947">
        <v>40744</v>
      </c>
      <c r="I1947">
        <v>774136</v>
      </c>
      <c r="J1947" t="s">
        <v>27</v>
      </c>
    </row>
    <row r="1948" spans="1:10" x14ac:dyDescent="0.25">
      <c r="A1948" t="s">
        <v>340</v>
      </c>
      <c r="B1948" t="s">
        <v>11</v>
      </c>
      <c r="C1948" t="s">
        <v>38</v>
      </c>
      <c r="D1948" t="s">
        <v>48</v>
      </c>
      <c r="E1948" t="s">
        <v>14</v>
      </c>
      <c r="F1948" t="s">
        <v>26</v>
      </c>
      <c r="G1948">
        <v>15</v>
      </c>
      <c r="H1948">
        <v>15800</v>
      </c>
      <c r="I1948">
        <v>237000</v>
      </c>
      <c r="J1948" t="s">
        <v>16</v>
      </c>
    </row>
    <row r="1949" spans="1:10" x14ac:dyDescent="0.25">
      <c r="A1949" t="s">
        <v>300</v>
      </c>
      <c r="B1949" t="s">
        <v>11</v>
      </c>
      <c r="C1949" t="s">
        <v>29</v>
      </c>
      <c r="D1949" t="s">
        <v>48</v>
      </c>
      <c r="E1949" t="s">
        <v>19</v>
      </c>
      <c r="F1949" t="s">
        <v>15</v>
      </c>
      <c r="G1949">
        <v>15</v>
      </c>
      <c r="H1949">
        <v>48510</v>
      </c>
      <c r="I1949">
        <v>727650</v>
      </c>
      <c r="J1949" t="s">
        <v>27</v>
      </c>
    </row>
    <row r="1950" spans="1:10" x14ac:dyDescent="0.25">
      <c r="A1950" t="s">
        <v>82</v>
      </c>
      <c r="B1950" t="s">
        <v>22</v>
      </c>
      <c r="C1950" t="s">
        <v>38</v>
      </c>
      <c r="D1950" t="s">
        <v>39</v>
      </c>
      <c r="E1950" t="s">
        <v>25</v>
      </c>
      <c r="F1950" t="s">
        <v>15</v>
      </c>
      <c r="G1950">
        <v>1</v>
      </c>
      <c r="H1950">
        <v>36072</v>
      </c>
      <c r="I1950">
        <v>36072</v>
      </c>
      <c r="J1950" t="s">
        <v>20</v>
      </c>
    </row>
    <row r="1951" spans="1:10" x14ac:dyDescent="0.25">
      <c r="A1951" t="s">
        <v>272</v>
      </c>
      <c r="B1951" t="s">
        <v>22</v>
      </c>
      <c r="C1951" t="s">
        <v>38</v>
      </c>
      <c r="D1951" t="s">
        <v>13</v>
      </c>
      <c r="E1951" t="s">
        <v>35</v>
      </c>
      <c r="F1951" t="s">
        <v>15</v>
      </c>
      <c r="G1951">
        <v>7</v>
      </c>
      <c r="H1951">
        <v>25751</v>
      </c>
      <c r="I1951">
        <v>180257</v>
      </c>
      <c r="J1951" t="s">
        <v>27</v>
      </c>
    </row>
    <row r="1952" spans="1:10" x14ac:dyDescent="0.25">
      <c r="A1952" t="s">
        <v>345</v>
      </c>
      <c r="B1952" t="s">
        <v>42</v>
      </c>
      <c r="C1952" t="s">
        <v>29</v>
      </c>
      <c r="D1952" t="s">
        <v>44</v>
      </c>
      <c r="E1952" t="s">
        <v>25</v>
      </c>
      <c r="F1952" t="s">
        <v>40</v>
      </c>
      <c r="G1952">
        <v>18</v>
      </c>
      <c r="H1952">
        <v>32249</v>
      </c>
      <c r="I1952">
        <v>580482</v>
      </c>
      <c r="J1952" t="s">
        <v>20</v>
      </c>
    </row>
    <row r="1953" spans="1:10" x14ac:dyDescent="0.25">
      <c r="A1953" t="s">
        <v>281</v>
      </c>
      <c r="B1953" t="s">
        <v>18</v>
      </c>
      <c r="C1953" t="s">
        <v>12</v>
      </c>
      <c r="D1953" t="s">
        <v>44</v>
      </c>
      <c r="E1953" t="s">
        <v>35</v>
      </c>
      <c r="F1953" t="s">
        <v>26</v>
      </c>
      <c r="G1953">
        <v>16</v>
      </c>
      <c r="H1953">
        <v>38885</v>
      </c>
      <c r="I1953">
        <v>622160</v>
      </c>
      <c r="J1953" t="s">
        <v>20</v>
      </c>
    </row>
    <row r="1954" spans="1:10" x14ac:dyDescent="0.25">
      <c r="A1954" t="s">
        <v>335</v>
      </c>
      <c r="B1954" t="s">
        <v>11</v>
      </c>
      <c r="C1954" t="s">
        <v>38</v>
      </c>
      <c r="D1954" t="s">
        <v>48</v>
      </c>
      <c r="E1954" t="s">
        <v>30</v>
      </c>
      <c r="F1954" t="s">
        <v>40</v>
      </c>
      <c r="G1954">
        <v>18</v>
      </c>
      <c r="H1954">
        <v>17826</v>
      </c>
      <c r="I1954">
        <v>320868</v>
      </c>
      <c r="J1954" t="s">
        <v>16</v>
      </c>
    </row>
    <row r="1955" spans="1:10" x14ac:dyDescent="0.25">
      <c r="A1955" t="s">
        <v>41</v>
      </c>
      <c r="B1955" t="s">
        <v>22</v>
      </c>
      <c r="C1955" t="s">
        <v>38</v>
      </c>
      <c r="D1955" t="s">
        <v>44</v>
      </c>
      <c r="E1955" t="s">
        <v>19</v>
      </c>
      <c r="F1955" t="s">
        <v>15</v>
      </c>
      <c r="G1955">
        <v>13</v>
      </c>
      <c r="H1955">
        <v>45284</v>
      </c>
      <c r="I1955">
        <v>588692</v>
      </c>
      <c r="J1955" t="s">
        <v>36</v>
      </c>
    </row>
    <row r="1956" spans="1:10" x14ac:dyDescent="0.25">
      <c r="A1956" t="s">
        <v>141</v>
      </c>
      <c r="B1956" t="s">
        <v>11</v>
      </c>
      <c r="C1956" t="s">
        <v>29</v>
      </c>
      <c r="D1956" t="s">
        <v>13</v>
      </c>
      <c r="E1956" t="s">
        <v>25</v>
      </c>
      <c r="F1956" t="s">
        <v>40</v>
      </c>
      <c r="G1956">
        <v>14</v>
      </c>
      <c r="H1956">
        <v>31625</v>
      </c>
      <c r="I1956">
        <v>442750</v>
      </c>
      <c r="J1956" t="s">
        <v>20</v>
      </c>
    </row>
    <row r="1957" spans="1:10" x14ac:dyDescent="0.25">
      <c r="A1957" t="s">
        <v>193</v>
      </c>
      <c r="B1957" t="s">
        <v>22</v>
      </c>
      <c r="C1957" t="s">
        <v>29</v>
      </c>
      <c r="D1957" t="s">
        <v>24</v>
      </c>
      <c r="E1957" t="s">
        <v>14</v>
      </c>
      <c r="F1957" t="s">
        <v>26</v>
      </c>
      <c r="G1957">
        <v>7</v>
      </c>
      <c r="H1957">
        <v>41326</v>
      </c>
      <c r="I1957">
        <v>289282</v>
      </c>
      <c r="J1957" t="s">
        <v>20</v>
      </c>
    </row>
    <row r="1958" spans="1:10" x14ac:dyDescent="0.25">
      <c r="A1958" t="s">
        <v>200</v>
      </c>
      <c r="B1958" t="s">
        <v>22</v>
      </c>
      <c r="C1958" t="s">
        <v>12</v>
      </c>
      <c r="D1958" t="s">
        <v>24</v>
      </c>
      <c r="E1958" t="s">
        <v>30</v>
      </c>
      <c r="F1958" t="s">
        <v>40</v>
      </c>
      <c r="G1958">
        <v>10</v>
      </c>
      <c r="H1958">
        <v>20856</v>
      </c>
      <c r="I1958">
        <v>208560</v>
      </c>
      <c r="J1958" t="s">
        <v>36</v>
      </c>
    </row>
    <row r="1959" spans="1:10" x14ac:dyDescent="0.25">
      <c r="A1959" t="s">
        <v>88</v>
      </c>
      <c r="B1959" t="s">
        <v>11</v>
      </c>
      <c r="C1959" t="s">
        <v>38</v>
      </c>
      <c r="D1959" t="s">
        <v>39</v>
      </c>
      <c r="E1959" t="s">
        <v>25</v>
      </c>
      <c r="F1959" t="s">
        <v>40</v>
      </c>
      <c r="G1959">
        <v>19</v>
      </c>
      <c r="H1959">
        <v>59802</v>
      </c>
      <c r="I1959">
        <v>1136238</v>
      </c>
      <c r="J1959" t="s">
        <v>36</v>
      </c>
    </row>
    <row r="1960" spans="1:10" x14ac:dyDescent="0.25">
      <c r="A1960" t="s">
        <v>369</v>
      </c>
      <c r="B1960" t="s">
        <v>18</v>
      </c>
      <c r="C1960" t="s">
        <v>23</v>
      </c>
      <c r="D1960" t="s">
        <v>44</v>
      </c>
      <c r="E1960" t="s">
        <v>19</v>
      </c>
      <c r="F1960" t="s">
        <v>15</v>
      </c>
      <c r="G1960">
        <v>7</v>
      </c>
      <c r="H1960">
        <v>44926</v>
      </c>
      <c r="I1960">
        <v>314482</v>
      </c>
      <c r="J1960" t="s">
        <v>16</v>
      </c>
    </row>
    <row r="1961" spans="1:10" x14ac:dyDescent="0.25">
      <c r="A1961" t="s">
        <v>104</v>
      </c>
      <c r="B1961" t="s">
        <v>18</v>
      </c>
      <c r="C1961" t="s">
        <v>34</v>
      </c>
      <c r="D1961" t="s">
        <v>13</v>
      </c>
      <c r="E1961" t="s">
        <v>14</v>
      </c>
      <c r="F1961" t="s">
        <v>26</v>
      </c>
      <c r="G1961">
        <v>11</v>
      </c>
      <c r="H1961">
        <v>48381</v>
      </c>
      <c r="I1961">
        <v>532191</v>
      </c>
      <c r="J1961" t="s">
        <v>16</v>
      </c>
    </row>
    <row r="1962" spans="1:10" x14ac:dyDescent="0.25">
      <c r="A1962" t="s">
        <v>131</v>
      </c>
      <c r="B1962" t="s">
        <v>11</v>
      </c>
      <c r="C1962" t="s">
        <v>12</v>
      </c>
      <c r="D1962" t="s">
        <v>44</v>
      </c>
      <c r="E1962" t="s">
        <v>30</v>
      </c>
      <c r="F1962" t="s">
        <v>26</v>
      </c>
      <c r="G1962">
        <v>15</v>
      </c>
      <c r="H1962">
        <v>43408</v>
      </c>
      <c r="I1962">
        <v>651120</v>
      </c>
      <c r="J1962" t="s">
        <v>27</v>
      </c>
    </row>
    <row r="1963" spans="1:10" x14ac:dyDescent="0.25">
      <c r="A1963" t="s">
        <v>74</v>
      </c>
      <c r="B1963" t="s">
        <v>33</v>
      </c>
      <c r="C1963" t="s">
        <v>12</v>
      </c>
      <c r="D1963" t="s">
        <v>39</v>
      </c>
      <c r="E1963" t="s">
        <v>35</v>
      </c>
      <c r="F1963" t="s">
        <v>15</v>
      </c>
      <c r="G1963">
        <v>4</v>
      </c>
      <c r="H1963">
        <v>38505</v>
      </c>
      <c r="I1963">
        <v>154020</v>
      </c>
      <c r="J1963" t="s">
        <v>20</v>
      </c>
    </row>
    <row r="1964" spans="1:10" x14ac:dyDescent="0.25">
      <c r="A1964" t="s">
        <v>290</v>
      </c>
      <c r="B1964" t="s">
        <v>33</v>
      </c>
      <c r="C1964" t="s">
        <v>38</v>
      </c>
      <c r="D1964" t="s">
        <v>44</v>
      </c>
      <c r="E1964" t="s">
        <v>14</v>
      </c>
      <c r="F1964" t="s">
        <v>40</v>
      </c>
      <c r="G1964">
        <v>19</v>
      </c>
      <c r="H1964">
        <v>36133</v>
      </c>
      <c r="I1964">
        <v>686527</v>
      </c>
      <c r="J1964" t="s">
        <v>27</v>
      </c>
    </row>
    <row r="1965" spans="1:10" x14ac:dyDescent="0.25">
      <c r="A1965" t="s">
        <v>203</v>
      </c>
      <c r="B1965" t="s">
        <v>33</v>
      </c>
      <c r="C1965" t="s">
        <v>38</v>
      </c>
      <c r="D1965" t="s">
        <v>24</v>
      </c>
      <c r="E1965" t="s">
        <v>25</v>
      </c>
      <c r="F1965" t="s">
        <v>15</v>
      </c>
      <c r="G1965">
        <v>1</v>
      </c>
      <c r="H1965">
        <v>23799</v>
      </c>
      <c r="I1965">
        <v>23799</v>
      </c>
      <c r="J1965" t="s">
        <v>16</v>
      </c>
    </row>
    <row r="1966" spans="1:10" x14ac:dyDescent="0.25">
      <c r="A1966" t="s">
        <v>399</v>
      </c>
      <c r="B1966" t="s">
        <v>18</v>
      </c>
      <c r="C1966" t="s">
        <v>38</v>
      </c>
      <c r="D1966" t="s">
        <v>48</v>
      </c>
      <c r="E1966" t="s">
        <v>25</v>
      </c>
      <c r="F1966" t="s">
        <v>40</v>
      </c>
      <c r="G1966">
        <v>7</v>
      </c>
      <c r="H1966">
        <v>48983</v>
      </c>
      <c r="I1966">
        <v>342881</v>
      </c>
      <c r="J1966" t="s">
        <v>27</v>
      </c>
    </row>
    <row r="1967" spans="1:10" x14ac:dyDescent="0.25">
      <c r="A1967" t="s">
        <v>104</v>
      </c>
      <c r="B1967" t="s">
        <v>18</v>
      </c>
      <c r="C1967" t="s">
        <v>29</v>
      </c>
      <c r="D1967" t="s">
        <v>48</v>
      </c>
      <c r="E1967" t="s">
        <v>19</v>
      </c>
      <c r="F1967" t="s">
        <v>26</v>
      </c>
      <c r="G1967">
        <v>7</v>
      </c>
      <c r="H1967">
        <v>42585</v>
      </c>
      <c r="I1967">
        <v>298095</v>
      </c>
      <c r="J1967" t="s">
        <v>36</v>
      </c>
    </row>
    <row r="1968" spans="1:10" x14ac:dyDescent="0.25">
      <c r="A1968" t="s">
        <v>193</v>
      </c>
      <c r="B1968" t="s">
        <v>11</v>
      </c>
      <c r="C1968" t="s">
        <v>34</v>
      </c>
      <c r="D1968" t="s">
        <v>24</v>
      </c>
      <c r="E1968" t="s">
        <v>30</v>
      </c>
      <c r="F1968" t="s">
        <v>15</v>
      </c>
      <c r="G1968">
        <v>5</v>
      </c>
      <c r="H1968">
        <v>19031</v>
      </c>
      <c r="I1968">
        <v>95155</v>
      </c>
      <c r="J1968" t="s">
        <v>20</v>
      </c>
    </row>
    <row r="1969" spans="1:10" x14ac:dyDescent="0.25">
      <c r="A1969" t="s">
        <v>338</v>
      </c>
      <c r="B1969" t="s">
        <v>42</v>
      </c>
      <c r="C1969" t="s">
        <v>34</v>
      </c>
      <c r="D1969" t="s">
        <v>48</v>
      </c>
      <c r="E1969" t="s">
        <v>14</v>
      </c>
      <c r="F1969" t="s">
        <v>15</v>
      </c>
      <c r="G1969">
        <v>5</v>
      </c>
      <c r="H1969">
        <v>23540</v>
      </c>
      <c r="I1969">
        <v>117700</v>
      </c>
      <c r="J1969" t="s">
        <v>20</v>
      </c>
    </row>
    <row r="1970" spans="1:10" x14ac:dyDescent="0.25">
      <c r="A1970" t="s">
        <v>146</v>
      </c>
      <c r="B1970" t="s">
        <v>33</v>
      </c>
      <c r="C1970" t="s">
        <v>12</v>
      </c>
      <c r="D1970" t="s">
        <v>39</v>
      </c>
      <c r="E1970" t="s">
        <v>30</v>
      </c>
      <c r="F1970" t="s">
        <v>40</v>
      </c>
      <c r="G1970">
        <v>16</v>
      </c>
      <c r="H1970">
        <v>52607</v>
      </c>
      <c r="I1970">
        <v>841712</v>
      </c>
      <c r="J1970" t="s">
        <v>27</v>
      </c>
    </row>
    <row r="1971" spans="1:10" x14ac:dyDescent="0.25">
      <c r="A1971" t="s">
        <v>319</v>
      </c>
      <c r="B1971" t="s">
        <v>18</v>
      </c>
      <c r="C1971" t="s">
        <v>34</v>
      </c>
      <c r="D1971" t="s">
        <v>24</v>
      </c>
      <c r="E1971" t="s">
        <v>35</v>
      </c>
      <c r="F1971" t="s">
        <v>15</v>
      </c>
      <c r="G1971">
        <v>4</v>
      </c>
      <c r="H1971">
        <v>40481</v>
      </c>
      <c r="I1971">
        <v>161924</v>
      </c>
      <c r="J1971" t="s">
        <v>36</v>
      </c>
    </row>
    <row r="1972" spans="1:10" x14ac:dyDescent="0.25">
      <c r="A1972" t="s">
        <v>133</v>
      </c>
      <c r="B1972" t="s">
        <v>33</v>
      </c>
      <c r="C1972" t="s">
        <v>38</v>
      </c>
      <c r="D1972" t="s">
        <v>24</v>
      </c>
      <c r="E1972" t="s">
        <v>25</v>
      </c>
      <c r="F1972" t="s">
        <v>15</v>
      </c>
      <c r="G1972">
        <v>9</v>
      </c>
      <c r="H1972">
        <v>31131</v>
      </c>
      <c r="I1972">
        <v>280179</v>
      </c>
      <c r="J1972" t="s">
        <v>20</v>
      </c>
    </row>
    <row r="1973" spans="1:10" x14ac:dyDescent="0.25">
      <c r="A1973" t="s">
        <v>290</v>
      </c>
      <c r="B1973" t="s">
        <v>18</v>
      </c>
      <c r="C1973" t="s">
        <v>34</v>
      </c>
      <c r="D1973" t="s">
        <v>39</v>
      </c>
      <c r="E1973" t="s">
        <v>19</v>
      </c>
      <c r="F1973" t="s">
        <v>40</v>
      </c>
      <c r="G1973">
        <v>2</v>
      </c>
      <c r="H1973">
        <v>42716</v>
      </c>
      <c r="I1973">
        <v>85432</v>
      </c>
      <c r="J1973" t="s">
        <v>20</v>
      </c>
    </row>
    <row r="1974" spans="1:10" x14ac:dyDescent="0.25">
      <c r="A1974" t="s">
        <v>156</v>
      </c>
      <c r="B1974" t="s">
        <v>42</v>
      </c>
      <c r="C1974" t="s">
        <v>12</v>
      </c>
      <c r="D1974" t="s">
        <v>39</v>
      </c>
      <c r="E1974" t="s">
        <v>19</v>
      </c>
      <c r="F1974" t="s">
        <v>40</v>
      </c>
      <c r="G1974">
        <v>18</v>
      </c>
      <c r="H1974">
        <v>28526</v>
      </c>
      <c r="I1974">
        <v>513468</v>
      </c>
      <c r="J1974" t="s">
        <v>20</v>
      </c>
    </row>
    <row r="1975" spans="1:10" x14ac:dyDescent="0.25">
      <c r="A1975" t="s">
        <v>255</v>
      </c>
      <c r="B1975" t="s">
        <v>22</v>
      </c>
      <c r="C1975" t="s">
        <v>23</v>
      </c>
      <c r="D1975" t="s">
        <v>39</v>
      </c>
      <c r="E1975" t="s">
        <v>14</v>
      </c>
      <c r="F1975" t="s">
        <v>15</v>
      </c>
      <c r="G1975">
        <v>19</v>
      </c>
      <c r="H1975">
        <v>19663</v>
      </c>
      <c r="I1975">
        <v>373597</v>
      </c>
      <c r="J1975" t="s">
        <v>27</v>
      </c>
    </row>
    <row r="1976" spans="1:10" x14ac:dyDescent="0.25">
      <c r="A1976" t="s">
        <v>145</v>
      </c>
      <c r="B1976" t="s">
        <v>42</v>
      </c>
      <c r="C1976" t="s">
        <v>12</v>
      </c>
      <c r="D1976" t="s">
        <v>24</v>
      </c>
      <c r="E1976" t="s">
        <v>19</v>
      </c>
      <c r="F1976" t="s">
        <v>15</v>
      </c>
      <c r="G1976">
        <v>5</v>
      </c>
      <c r="H1976">
        <v>23396</v>
      </c>
      <c r="I1976">
        <v>116980</v>
      </c>
      <c r="J1976" t="s">
        <v>16</v>
      </c>
    </row>
    <row r="1977" spans="1:10" x14ac:dyDescent="0.25">
      <c r="A1977" t="s">
        <v>267</v>
      </c>
      <c r="B1977" t="s">
        <v>42</v>
      </c>
      <c r="C1977" t="s">
        <v>23</v>
      </c>
      <c r="D1977" t="s">
        <v>24</v>
      </c>
      <c r="E1977" t="s">
        <v>19</v>
      </c>
      <c r="F1977" t="s">
        <v>40</v>
      </c>
      <c r="G1977">
        <v>20</v>
      </c>
      <c r="H1977">
        <v>32881</v>
      </c>
      <c r="I1977">
        <v>657620</v>
      </c>
      <c r="J1977" t="s">
        <v>36</v>
      </c>
    </row>
    <row r="1978" spans="1:10" x14ac:dyDescent="0.25">
      <c r="A1978" t="s">
        <v>388</v>
      </c>
      <c r="B1978" t="s">
        <v>33</v>
      </c>
      <c r="C1978" t="s">
        <v>38</v>
      </c>
      <c r="D1978" t="s">
        <v>39</v>
      </c>
      <c r="E1978" t="s">
        <v>25</v>
      </c>
      <c r="F1978" t="s">
        <v>26</v>
      </c>
      <c r="G1978">
        <v>17</v>
      </c>
      <c r="H1978">
        <v>32256</v>
      </c>
      <c r="I1978">
        <v>548352</v>
      </c>
      <c r="J1978" t="s">
        <v>27</v>
      </c>
    </row>
    <row r="1979" spans="1:10" x14ac:dyDescent="0.25">
      <c r="A1979" t="s">
        <v>312</v>
      </c>
      <c r="B1979" t="s">
        <v>11</v>
      </c>
      <c r="C1979" t="s">
        <v>29</v>
      </c>
      <c r="D1979" t="s">
        <v>13</v>
      </c>
      <c r="E1979" t="s">
        <v>25</v>
      </c>
      <c r="F1979" t="s">
        <v>15</v>
      </c>
      <c r="G1979">
        <v>1</v>
      </c>
      <c r="H1979">
        <v>28730</v>
      </c>
      <c r="I1979">
        <v>28730</v>
      </c>
      <c r="J1979" t="s">
        <v>36</v>
      </c>
    </row>
    <row r="1980" spans="1:10" x14ac:dyDescent="0.25">
      <c r="A1980" t="s">
        <v>332</v>
      </c>
      <c r="B1980" t="s">
        <v>18</v>
      </c>
      <c r="C1980" t="s">
        <v>29</v>
      </c>
      <c r="D1980" t="s">
        <v>24</v>
      </c>
      <c r="E1980" t="s">
        <v>35</v>
      </c>
      <c r="F1980" t="s">
        <v>15</v>
      </c>
      <c r="G1980">
        <v>2</v>
      </c>
      <c r="H1980">
        <v>37385</v>
      </c>
      <c r="I1980">
        <v>74770</v>
      </c>
      <c r="J1980" t="s">
        <v>27</v>
      </c>
    </row>
    <row r="1981" spans="1:10" x14ac:dyDescent="0.25">
      <c r="A1981" t="s">
        <v>126</v>
      </c>
      <c r="B1981" t="s">
        <v>33</v>
      </c>
      <c r="C1981" t="s">
        <v>38</v>
      </c>
      <c r="D1981" t="s">
        <v>44</v>
      </c>
      <c r="E1981" t="s">
        <v>35</v>
      </c>
      <c r="F1981" t="s">
        <v>15</v>
      </c>
      <c r="G1981">
        <v>17</v>
      </c>
      <c r="H1981">
        <v>39757</v>
      </c>
      <c r="I1981">
        <v>675869</v>
      </c>
      <c r="J1981" t="s">
        <v>20</v>
      </c>
    </row>
    <row r="1982" spans="1:10" x14ac:dyDescent="0.25">
      <c r="A1982" t="s">
        <v>193</v>
      </c>
      <c r="B1982" t="s">
        <v>22</v>
      </c>
      <c r="C1982" t="s">
        <v>38</v>
      </c>
      <c r="D1982" t="s">
        <v>48</v>
      </c>
      <c r="E1982" t="s">
        <v>14</v>
      </c>
      <c r="F1982" t="s">
        <v>15</v>
      </c>
      <c r="G1982">
        <v>11</v>
      </c>
      <c r="H1982">
        <v>31280</v>
      </c>
      <c r="I1982">
        <v>344080</v>
      </c>
      <c r="J1982" t="s">
        <v>36</v>
      </c>
    </row>
    <row r="1983" spans="1:10" x14ac:dyDescent="0.25">
      <c r="A1983" t="s">
        <v>43</v>
      </c>
      <c r="B1983" t="s">
        <v>18</v>
      </c>
      <c r="C1983" t="s">
        <v>23</v>
      </c>
      <c r="D1983" t="s">
        <v>44</v>
      </c>
      <c r="E1983" t="s">
        <v>35</v>
      </c>
      <c r="F1983" t="s">
        <v>40</v>
      </c>
      <c r="G1983">
        <v>14</v>
      </c>
      <c r="H1983">
        <v>32103</v>
      </c>
      <c r="I1983">
        <v>449442</v>
      </c>
      <c r="J1983" t="s">
        <v>36</v>
      </c>
    </row>
    <row r="1984" spans="1:10" x14ac:dyDescent="0.25">
      <c r="A1984" t="s">
        <v>142</v>
      </c>
      <c r="B1984" t="s">
        <v>33</v>
      </c>
      <c r="C1984" t="s">
        <v>29</v>
      </c>
      <c r="D1984" t="s">
        <v>24</v>
      </c>
      <c r="E1984" t="s">
        <v>19</v>
      </c>
      <c r="F1984" t="s">
        <v>26</v>
      </c>
      <c r="G1984">
        <v>19</v>
      </c>
      <c r="H1984">
        <v>37525</v>
      </c>
      <c r="I1984">
        <v>712975</v>
      </c>
      <c r="J1984" t="s">
        <v>36</v>
      </c>
    </row>
    <row r="1985" spans="1:10" x14ac:dyDescent="0.25">
      <c r="A1985" t="s">
        <v>148</v>
      </c>
      <c r="B1985" t="s">
        <v>33</v>
      </c>
      <c r="C1985" t="s">
        <v>12</v>
      </c>
      <c r="D1985" t="s">
        <v>13</v>
      </c>
      <c r="E1985" t="s">
        <v>30</v>
      </c>
      <c r="F1985" t="s">
        <v>40</v>
      </c>
      <c r="G1985">
        <v>15</v>
      </c>
      <c r="H1985">
        <v>54716</v>
      </c>
      <c r="I1985">
        <v>820740</v>
      </c>
      <c r="J1985" t="s">
        <v>36</v>
      </c>
    </row>
    <row r="1986" spans="1:10" x14ac:dyDescent="0.25">
      <c r="A1986" t="s">
        <v>248</v>
      </c>
      <c r="B1986" t="s">
        <v>42</v>
      </c>
      <c r="C1986" t="s">
        <v>23</v>
      </c>
      <c r="D1986" t="s">
        <v>13</v>
      </c>
      <c r="E1986" t="s">
        <v>25</v>
      </c>
      <c r="F1986" t="s">
        <v>26</v>
      </c>
      <c r="G1986">
        <v>12</v>
      </c>
      <c r="H1986">
        <v>26869</v>
      </c>
      <c r="I1986">
        <v>322428</v>
      </c>
      <c r="J1986" t="s">
        <v>27</v>
      </c>
    </row>
    <row r="1987" spans="1:10" x14ac:dyDescent="0.25">
      <c r="A1987" t="s">
        <v>190</v>
      </c>
      <c r="B1987" t="s">
        <v>22</v>
      </c>
      <c r="C1987" t="s">
        <v>38</v>
      </c>
      <c r="D1987" t="s">
        <v>44</v>
      </c>
      <c r="E1987" t="s">
        <v>35</v>
      </c>
      <c r="F1987" t="s">
        <v>40</v>
      </c>
      <c r="G1987">
        <v>13</v>
      </c>
      <c r="H1987">
        <v>24607</v>
      </c>
      <c r="I1987">
        <v>319891</v>
      </c>
      <c r="J1987" t="s">
        <v>27</v>
      </c>
    </row>
    <row r="1988" spans="1:10" x14ac:dyDescent="0.25">
      <c r="A1988" t="s">
        <v>325</v>
      </c>
      <c r="B1988" t="s">
        <v>18</v>
      </c>
      <c r="C1988" t="s">
        <v>23</v>
      </c>
      <c r="D1988" t="s">
        <v>24</v>
      </c>
      <c r="E1988" t="s">
        <v>30</v>
      </c>
      <c r="F1988" t="s">
        <v>40</v>
      </c>
      <c r="G1988">
        <v>14</v>
      </c>
      <c r="H1988">
        <v>19702</v>
      </c>
      <c r="I1988">
        <v>275828</v>
      </c>
      <c r="J1988" t="s">
        <v>36</v>
      </c>
    </row>
    <row r="1989" spans="1:10" x14ac:dyDescent="0.25">
      <c r="A1989" t="s">
        <v>243</v>
      </c>
      <c r="B1989" t="s">
        <v>33</v>
      </c>
      <c r="C1989" t="s">
        <v>38</v>
      </c>
      <c r="D1989" t="s">
        <v>13</v>
      </c>
      <c r="E1989" t="s">
        <v>25</v>
      </c>
      <c r="F1989" t="s">
        <v>15</v>
      </c>
      <c r="G1989">
        <v>8</v>
      </c>
      <c r="H1989">
        <v>41154</v>
      </c>
      <c r="I1989">
        <v>329232</v>
      </c>
      <c r="J1989" t="s">
        <v>36</v>
      </c>
    </row>
    <row r="1990" spans="1:10" x14ac:dyDescent="0.25">
      <c r="A1990" t="s">
        <v>130</v>
      </c>
      <c r="B1990" t="s">
        <v>33</v>
      </c>
      <c r="C1990" t="s">
        <v>34</v>
      </c>
      <c r="D1990" t="s">
        <v>39</v>
      </c>
      <c r="E1990" t="s">
        <v>14</v>
      </c>
      <c r="F1990" t="s">
        <v>26</v>
      </c>
      <c r="G1990">
        <v>14</v>
      </c>
      <c r="H1990">
        <v>58904</v>
      </c>
      <c r="I1990">
        <v>824656</v>
      </c>
      <c r="J1990" t="s">
        <v>16</v>
      </c>
    </row>
    <row r="1991" spans="1:10" x14ac:dyDescent="0.25">
      <c r="A1991" t="s">
        <v>108</v>
      </c>
      <c r="B1991" t="s">
        <v>11</v>
      </c>
      <c r="C1991" t="s">
        <v>23</v>
      </c>
      <c r="D1991" t="s">
        <v>44</v>
      </c>
      <c r="E1991" t="s">
        <v>19</v>
      </c>
      <c r="F1991" t="s">
        <v>26</v>
      </c>
      <c r="G1991">
        <v>12</v>
      </c>
      <c r="H1991">
        <v>45132</v>
      </c>
      <c r="I1991">
        <v>541584</v>
      </c>
      <c r="J1991" t="s">
        <v>36</v>
      </c>
    </row>
    <row r="1992" spans="1:10" x14ac:dyDescent="0.25">
      <c r="A1992" t="s">
        <v>161</v>
      </c>
      <c r="B1992" t="s">
        <v>33</v>
      </c>
      <c r="C1992" t="s">
        <v>29</v>
      </c>
      <c r="D1992" t="s">
        <v>13</v>
      </c>
      <c r="E1992" t="s">
        <v>25</v>
      </c>
      <c r="F1992" t="s">
        <v>40</v>
      </c>
      <c r="G1992">
        <v>10</v>
      </c>
      <c r="H1992">
        <v>23515</v>
      </c>
      <c r="I1992">
        <v>235150</v>
      </c>
      <c r="J1992" t="s">
        <v>16</v>
      </c>
    </row>
    <row r="1993" spans="1:10" x14ac:dyDescent="0.25">
      <c r="A1993" t="s">
        <v>95</v>
      </c>
      <c r="B1993" t="s">
        <v>22</v>
      </c>
      <c r="C1993" t="s">
        <v>12</v>
      </c>
      <c r="D1993" t="s">
        <v>48</v>
      </c>
      <c r="E1993" t="s">
        <v>14</v>
      </c>
      <c r="F1993" t="s">
        <v>40</v>
      </c>
      <c r="G1993">
        <v>19</v>
      </c>
      <c r="H1993">
        <v>23225</v>
      </c>
      <c r="I1993">
        <v>441275</v>
      </c>
      <c r="J1993" t="s">
        <v>36</v>
      </c>
    </row>
    <row r="1994" spans="1:10" x14ac:dyDescent="0.25">
      <c r="A1994" t="s">
        <v>243</v>
      </c>
      <c r="B1994" t="s">
        <v>33</v>
      </c>
      <c r="C1994" t="s">
        <v>23</v>
      </c>
      <c r="D1994" t="s">
        <v>44</v>
      </c>
      <c r="E1994" t="s">
        <v>19</v>
      </c>
      <c r="F1994" t="s">
        <v>26</v>
      </c>
      <c r="G1994">
        <v>10</v>
      </c>
      <c r="H1994">
        <v>42951</v>
      </c>
      <c r="I1994">
        <v>429510</v>
      </c>
      <c r="J1994" t="s">
        <v>27</v>
      </c>
    </row>
    <row r="1995" spans="1:10" x14ac:dyDescent="0.25">
      <c r="A1995" t="s">
        <v>111</v>
      </c>
      <c r="B1995" t="s">
        <v>42</v>
      </c>
      <c r="C1995" t="s">
        <v>12</v>
      </c>
      <c r="D1995" t="s">
        <v>48</v>
      </c>
      <c r="E1995" t="s">
        <v>35</v>
      </c>
      <c r="F1995" t="s">
        <v>40</v>
      </c>
      <c r="G1995">
        <v>8</v>
      </c>
      <c r="H1995">
        <v>55113</v>
      </c>
      <c r="I1995">
        <v>440904</v>
      </c>
      <c r="J1995" t="s">
        <v>16</v>
      </c>
    </row>
    <row r="1996" spans="1:10" x14ac:dyDescent="0.25">
      <c r="A1996" t="s">
        <v>46</v>
      </c>
      <c r="B1996" t="s">
        <v>18</v>
      </c>
      <c r="C1996" t="s">
        <v>38</v>
      </c>
      <c r="D1996" t="s">
        <v>48</v>
      </c>
      <c r="E1996" t="s">
        <v>19</v>
      </c>
      <c r="F1996" t="s">
        <v>40</v>
      </c>
      <c r="G1996">
        <v>15</v>
      </c>
      <c r="H1996">
        <v>45433</v>
      </c>
      <c r="I1996">
        <v>681495</v>
      </c>
      <c r="J1996" t="s">
        <v>16</v>
      </c>
    </row>
    <row r="1997" spans="1:10" x14ac:dyDescent="0.25">
      <c r="A1997" t="s">
        <v>190</v>
      </c>
      <c r="B1997" t="s">
        <v>18</v>
      </c>
      <c r="C1997" t="s">
        <v>29</v>
      </c>
      <c r="D1997" t="s">
        <v>39</v>
      </c>
      <c r="E1997" t="s">
        <v>25</v>
      </c>
      <c r="F1997" t="s">
        <v>15</v>
      </c>
      <c r="G1997">
        <v>10</v>
      </c>
      <c r="H1997">
        <v>16670</v>
      </c>
      <c r="I1997">
        <v>166700</v>
      </c>
      <c r="J1997" t="s">
        <v>16</v>
      </c>
    </row>
    <row r="1998" spans="1:10" x14ac:dyDescent="0.25">
      <c r="A1998" t="s">
        <v>272</v>
      </c>
      <c r="B1998" t="s">
        <v>18</v>
      </c>
      <c r="C1998" t="s">
        <v>12</v>
      </c>
      <c r="D1998" t="s">
        <v>24</v>
      </c>
      <c r="E1998" t="s">
        <v>19</v>
      </c>
      <c r="F1998" t="s">
        <v>15</v>
      </c>
      <c r="G1998">
        <v>12</v>
      </c>
      <c r="H1998">
        <v>47696</v>
      </c>
      <c r="I1998">
        <v>572352</v>
      </c>
      <c r="J1998" t="s">
        <v>27</v>
      </c>
    </row>
    <row r="1999" spans="1:10" x14ac:dyDescent="0.25">
      <c r="A1999" t="s">
        <v>58</v>
      </c>
      <c r="B1999" t="s">
        <v>11</v>
      </c>
      <c r="C1999" t="s">
        <v>12</v>
      </c>
      <c r="D1999" t="s">
        <v>39</v>
      </c>
      <c r="E1999" t="s">
        <v>35</v>
      </c>
      <c r="F1999" t="s">
        <v>26</v>
      </c>
      <c r="G1999">
        <v>8</v>
      </c>
      <c r="H1999">
        <v>33804</v>
      </c>
      <c r="I1999">
        <v>270432</v>
      </c>
      <c r="J1999" t="s">
        <v>36</v>
      </c>
    </row>
    <row r="2000" spans="1:10" x14ac:dyDescent="0.25">
      <c r="A2000" t="s">
        <v>282</v>
      </c>
      <c r="B2000" t="s">
        <v>22</v>
      </c>
      <c r="C2000" t="s">
        <v>23</v>
      </c>
      <c r="D2000" t="s">
        <v>13</v>
      </c>
      <c r="E2000" t="s">
        <v>30</v>
      </c>
      <c r="F2000" t="s">
        <v>26</v>
      </c>
      <c r="G2000">
        <v>10</v>
      </c>
      <c r="H2000">
        <v>26342</v>
      </c>
      <c r="I2000">
        <v>263420</v>
      </c>
      <c r="J2000" t="s">
        <v>20</v>
      </c>
    </row>
    <row r="2001" spans="1:10" x14ac:dyDescent="0.25">
      <c r="A2001" t="s">
        <v>371</v>
      </c>
      <c r="B2001" t="s">
        <v>33</v>
      </c>
      <c r="C2001" t="s">
        <v>29</v>
      </c>
      <c r="D2001" t="s">
        <v>44</v>
      </c>
      <c r="E2001" t="s">
        <v>25</v>
      </c>
      <c r="F2001" t="s">
        <v>15</v>
      </c>
      <c r="G2001">
        <v>19</v>
      </c>
      <c r="H2001">
        <v>19264</v>
      </c>
      <c r="I2001">
        <v>366016</v>
      </c>
      <c r="J2001" t="s">
        <v>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6F32-0430-475C-A79B-F8E5B3B30AFE}">
  <dimension ref="A1:M2001"/>
  <sheetViews>
    <sheetView workbookViewId="0">
      <selection activeCell="J7" sqref="J7"/>
    </sheetView>
  </sheetViews>
  <sheetFormatPr baseColWidth="10" defaultColWidth="9.140625" defaultRowHeight="15" x14ac:dyDescent="0.25"/>
  <cols>
    <col min="1" max="1" width="10.42578125" bestFit="1" customWidth="1"/>
    <col min="2" max="2" width="10.42578125" customWidth="1"/>
    <col min="3" max="3" width="12.140625" bestFit="1" customWidth="1"/>
    <col min="4" max="4" width="12.140625" customWidth="1"/>
    <col min="5" max="5" width="9.42578125" bestFit="1" customWidth="1"/>
    <col min="6" max="6" width="11.7109375" bestFit="1" customWidth="1"/>
    <col min="7" max="7" width="11.5703125" bestFit="1" customWidth="1"/>
    <col min="8" max="8" width="15.85546875" customWidth="1"/>
    <col min="9" max="9" width="14.28515625" customWidth="1"/>
    <col min="10" max="10" width="20.85546875" customWidth="1"/>
    <col min="11" max="11" width="17" customWidth="1"/>
    <col min="12" max="12" width="15.140625" customWidth="1"/>
    <col min="13" max="13" width="12" customWidth="1"/>
  </cols>
  <sheetData>
    <row r="1" spans="1:13" x14ac:dyDescent="0.25">
      <c r="A1" t="s">
        <v>0</v>
      </c>
      <c r="B1" t="s">
        <v>401</v>
      </c>
      <c r="C1" t="s">
        <v>400</v>
      </c>
      <c r="D1" t="s">
        <v>402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 t="s">
        <v>10</v>
      </c>
      <c r="B2" t="str">
        <f>TEXT(Tabla24[[#This Row],[Fecha]],"dddd")</f>
        <v>martes</v>
      </c>
      <c r="C2" t="str">
        <f>TEXT(Tabla24[[#This Row],[Fecha]],"mmmm")</f>
        <v>julio</v>
      </c>
      <c r="D2" t="str">
        <f>TEXT(Tabla24[[#This Row],[Fecha]],"aaaa")</f>
        <v>2024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>
        <v>4</v>
      </c>
      <c r="K2">
        <v>25219</v>
      </c>
      <c r="L2">
        <f>Tabla24[[#This Row],[Precio_Unitario]]*Tabla24[[#This Row],[Unidades_Vendidas]]</f>
        <v>100876</v>
      </c>
      <c r="M2" t="s">
        <v>16</v>
      </c>
    </row>
    <row r="3" spans="1:13" x14ac:dyDescent="0.25">
      <c r="A3" t="s">
        <v>17</v>
      </c>
      <c r="B3" t="str">
        <f>TEXT(Tabla24[[#This Row],[Fecha]],"dddd")</f>
        <v>lunes</v>
      </c>
      <c r="C3" t="str">
        <f>TEXT(Tabla24[[#This Row],[Fecha]],"mmmm")</f>
        <v>septiembre</v>
      </c>
      <c r="D3" t="str">
        <f>TEXT(Tabla24[[#This Row],[Fecha]],"aaaa")</f>
        <v>2024</v>
      </c>
      <c r="E3" t="s">
        <v>18</v>
      </c>
      <c r="F3" t="s">
        <v>12</v>
      </c>
      <c r="G3" t="s">
        <v>13</v>
      </c>
      <c r="H3" t="s">
        <v>19</v>
      </c>
      <c r="I3" t="s">
        <v>15</v>
      </c>
      <c r="J3">
        <v>13</v>
      </c>
      <c r="K3">
        <v>57839</v>
      </c>
      <c r="L3">
        <f>Tabla24[[#This Row],[Precio_Unitario]]*Tabla24[[#This Row],[Unidades_Vendidas]]</f>
        <v>751907</v>
      </c>
      <c r="M3" t="s">
        <v>20</v>
      </c>
    </row>
    <row r="4" spans="1:13" x14ac:dyDescent="0.25">
      <c r="A4" t="s">
        <v>21</v>
      </c>
      <c r="B4" t="str">
        <f>TEXT(Tabla24[[#This Row],[Fecha]],"dddd")</f>
        <v>lunes</v>
      </c>
      <c r="C4" t="str">
        <f>TEXT(Tabla24[[#This Row],[Fecha]],"mmmm")</f>
        <v>septiembre</v>
      </c>
      <c r="D4" t="str">
        <f>TEXT(Tabla24[[#This Row],[Fecha]],"aaaa")</f>
        <v>2024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>
        <v>7</v>
      </c>
      <c r="K4">
        <v>44293</v>
      </c>
      <c r="L4">
        <f>Tabla24[[#This Row],[Precio_Unitario]]*Tabla24[[#This Row],[Unidades_Vendidas]]</f>
        <v>310051</v>
      </c>
      <c r="M4" t="s">
        <v>27</v>
      </c>
    </row>
    <row r="5" spans="1:13" x14ac:dyDescent="0.25">
      <c r="A5" t="s">
        <v>28</v>
      </c>
      <c r="B5" t="str">
        <f>TEXT(Tabla24[[#This Row],[Fecha]],"dddd")</f>
        <v>jueves</v>
      </c>
      <c r="C5" t="str">
        <f>TEXT(Tabla24[[#This Row],[Fecha]],"mmmm")</f>
        <v>agosto</v>
      </c>
      <c r="D5" t="str">
        <f>TEXT(Tabla24[[#This Row],[Fecha]],"aaaa")</f>
        <v>2024</v>
      </c>
      <c r="E5" t="s">
        <v>11</v>
      </c>
      <c r="F5" t="s">
        <v>29</v>
      </c>
      <c r="G5" t="s">
        <v>13</v>
      </c>
      <c r="H5" t="s">
        <v>30</v>
      </c>
      <c r="I5" t="s">
        <v>26</v>
      </c>
      <c r="J5">
        <v>1</v>
      </c>
      <c r="K5">
        <v>41792</v>
      </c>
      <c r="L5">
        <f>Tabla24[[#This Row],[Precio_Unitario]]*Tabla24[[#This Row],[Unidades_Vendidas]]</f>
        <v>41792</v>
      </c>
      <c r="M5" t="s">
        <v>27</v>
      </c>
    </row>
    <row r="6" spans="1:13" x14ac:dyDescent="0.25">
      <c r="A6" t="s">
        <v>31</v>
      </c>
      <c r="B6" t="str">
        <f>TEXT(Tabla24[[#This Row],[Fecha]],"dddd")</f>
        <v>miércoles</v>
      </c>
      <c r="C6" t="str">
        <f>TEXT(Tabla24[[#This Row],[Fecha]],"mmmm")</f>
        <v>abril</v>
      </c>
      <c r="D6" t="str">
        <f>TEXT(Tabla24[[#This Row],[Fecha]],"aaaa")</f>
        <v>2024</v>
      </c>
      <c r="E6" t="s">
        <v>11</v>
      </c>
      <c r="F6" t="s">
        <v>23</v>
      </c>
      <c r="G6" t="s">
        <v>24</v>
      </c>
      <c r="H6" t="s">
        <v>25</v>
      </c>
      <c r="I6" t="s">
        <v>26</v>
      </c>
      <c r="J6">
        <v>15</v>
      </c>
      <c r="K6">
        <v>52774</v>
      </c>
      <c r="L6">
        <f>Tabla24[[#This Row],[Precio_Unitario]]*Tabla24[[#This Row],[Unidades_Vendidas]]</f>
        <v>791610</v>
      </c>
      <c r="M6" t="s">
        <v>16</v>
      </c>
    </row>
    <row r="7" spans="1:13" x14ac:dyDescent="0.25">
      <c r="A7" t="s">
        <v>32</v>
      </c>
      <c r="B7" t="str">
        <f>TEXT(Tabla24[[#This Row],[Fecha]],"dddd")</f>
        <v>viernes</v>
      </c>
      <c r="C7" t="str">
        <f>TEXT(Tabla24[[#This Row],[Fecha]],"mmmm")</f>
        <v>mayo</v>
      </c>
      <c r="D7" t="str">
        <f>TEXT(Tabla24[[#This Row],[Fecha]],"aaaa")</f>
        <v>2024</v>
      </c>
      <c r="E7" t="s">
        <v>33</v>
      </c>
      <c r="F7" t="s">
        <v>34</v>
      </c>
      <c r="G7" t="s">
        <v>24</v>
      </c>
      <c r="H7" t="s">
        <v>35</v>
      </c>
      <c r="I7" t="s">
        <v>26</v>
      </c>
      <c r="J7">
        <v>12</v>
      </c>
      <c r="K7">
        <v>22482</v>
      </c>
      <c r="L7">
        <f>Tabla24[[#This Row],[Precio_Unitario]]*Tabla24[[#This Row],[Unidades_Vendidas]]</f>
        <v>269784</v>
      </c>
      <c r="M7" t="s">
        <v>36</v>
      </c>
    </row>
    <row r="8" spans="1:13" x14ac:dyDescent="0.25">
      <c r="A8" t="s">
        <v>37</v>
      </c>
      <c r="B8" t="str">
        <f>TEXT(Tabla24[[#This Row],[Fecha]],"dddd")</f>
        <v>viernes</v>
      </c>
      <c r="C8" t="str">
        <f>TEXT(Tabla24[[#This Row],[Fecha]],"mmmm")</f>
        <v>noviembre</v>
      </c>
      <c r="D8" t="str">
        <f>TEXT(Tabla24[[#This Row],[Fecha]],"aaaa")</f>
        <v>2024</v>
      </c>
      <c r="E8" t="s">
        <v>22</v>
      </c>
      <c r="F8" t="s">
        <v>38</v>
      </c>
      <c r="G8" t="s">
        <v>39</v>
      </c>
      <c r="H8" t="s">
        <v>35</v>
      </c>
      <c r="I8" t="s">
        <v>40</v>
      </c>
      <c r="J8">
        <v>4</v>
      </c>
      <c r="K8">
        <v>53850</v>
      </c>
      <c r="L8">
        <f>Tabla24[[#This Row],[Precio_Unitario]]*Tabla24[[#This Row],[Unidades_Vendidas]]</f>
        <v>215400</v>
      </c>
      <c r="M8" t="s">
        <v>36</v>
      </c>
    </row>
    <row r="9" spans="1:13" x14ac:dyDescent="0.25">
      <c r="A9" t="s">
        <v>41</v>
      </c>
      <c r="B9" t="str">
        <f>TEXT(Tabla24[[#This Row],[Fecha]],"dddd")</f>
        <v>miércoles</v>
      </c>
      <c r="C9" t="str">
        <f>TEXT(Tabla24[[#This Row],[Fecha]],"mmmm")</f>
        <v>marzo</v>
      </c>
      <c r="D9" t="str">
        <f>TEXT(Tabla24[[#This Row],[Fecha]],"aaaa")</f>
        <v>2024</v>
      </c>
      <c r="E9" t="s">
        <v>42</v>
      </c>
      <c r="F9" t="s">
        <v>23</v>
      </c>
      <c r="G9" t="s">
        <v>24</v>
      </c>
      <c r="H9" t="s">
        <v>35</v>
      </c>
      <c r="I9" t="s">
        <v>15</v>
      </c>
      <c r="J9">
        <v>11</v>
      </c>
      <c r="K9">
        <v>16085</v>
      </c>
      <c r="L9">
        <f>Tabla24[[#This Row],[Precio_Unitario]]*Tabla24[[#This Row],[Unidades_Vendidas]]</f>
        <v>176935</v>
      </c>
      <c r="M9" t="s">
        <v>36</v>
      </c>
    </row>
    <row r="10" spans="1:13" x14ac:dyDescent="0.25">
      <c r="A10" t="s">
        <v>43</v>
      </c>
      <c r="B10" t="str">
        <f>TEXT(Tabla24[[#This Row],[Fecha]],"dddd")</f>
        <v>martes</v>
      </c>
      <c r="C10" t="str">
        <f>TEXT(Tabla24[[#This Row],[Fecha]],"mmmm")</f>
        <v>marzo</v>
      </c>
      <c r="D10" t="str">
        <f>TEXT(Tabla24[[#This Row],[Fecha]],"aaaa")</f>
        <v>2024</v>
      </c>
      <c r="E10" t="s">
        <v>33</v>
      </c>
      <c r="F10" t="s">
        <v>29</v>
      </c>
      <c r="G10" t="s">
        <v>44</v>
      </c>
      <c r="H10" t="s">
        <v>19</v>
      </c>
      <c r="I10" t="s">
        <v>26</v>
      </c>
      <c r="J10">
        <v>8</v>
      </c>
      <c r="K10">
        <v>17272</v>
      </c>
      <c r="L10">
        <f>Tabla24[[#This Row],[Precio_Unitario]]*Tabla24[[#This Row],[Unidades_Vendidas]]</f>
        <v>138176</v>
      </c>
      <c r="M10" t="s">
        <v>16</v>
      </c>
    </row>
    <row r="11" spans="1:13" x14ac:dyDescent="0.25">
      <c r="A11" t="s">
        <v>10</v>
      </c>
      <c r="B11" t="str">
        <f>TEXT(Tabla24[[#This Row],[Fecha]],"dddd")</f>
        <v>martes</v>
      </c>
      <c r="C11" t="str">
        <f>TEXT(Tabla24[[#This Row],[Fecha]],"mmmm")</f>
        <v>julio</v>
      </c>
      <c r="D11" t="str">
        <f>TEXT(Tabla24[[#This Row],[Fecha]],"aaaa")</f>
        <v>2024</v>
      </c>
      <c r="E11" t="s">
        <v>11</v>
      </c>
      <c r="F11" t="s">
        <v>29</v>
      </c>
      <c r="G11" t="s">
        <v>13</v>
      </c>
      <c r="H11" t="s">
        <v>25</v>
      </c>
      <c r="I11" t="s">
        <v>15</v>
      </c>
      <c r="J11">
        <v>18</v>
      </c>
      <c r="K11">
        <v>48746</v>
      </c>
      <c r="L11">
        <f>Tabla24[[#This Row],[Precio_Unitario]]*Tabla24[[#This Row],[Unidades_Vendidas]]</f>
        <v>877428</v>
      </c>
      <c r="M11" t="s">
        <v>16</v>
      </c>
    </row>
    <row r="12" spans="1:13" x14ac:dyDescent="0.25">
      <c r="A12" t="s">
        <v>45</v>
      </c>
      <c r="B12" t="str">
        <f>TEXT(Tabla24[[#This Row],[Fecha]],"dddd")</f>
        <v>domingo</v>
      </c>
      <c r="C12" t="str">
        <f>TEXT(Tabla24[[#This Row],[Fecha]],"mmmm")</f>
        <v>diciembre</v>
      </c>
      <c r="D12" t="str">
        <f>TEXT(Tabla24[[#This Row],[Fecha]],"aaaa")</f>
        <v>2024</v>
      </c>
      <c r="E12" t="s">
        <v>22</v>
      </c>
      <c r="F12" t="s">
        <v>23</v>
      </c>
      <c r="G12" t="s">
        <v>24</v>
      </c>
      <c r="H12" t="s">
        <v>30</v>
      </c>
      <c r="I12" t="s">
        <v>15</v>
      </c>
      <c r="J12">
        <v>10</v>
      </c>
      <c r="K12">
        <v>40118</v>
      </c>
      <c r="L12">
        <f>Tabla24[[#This Row],[Precio_Unitario]]*Tabla24[[#This Row],[Unidades_Vendidas]]</f>
        <v>401180</v>
      </c>
      <c r="M12" t="s">
        <v>27</v>
      </c>
    </row>
    <row r="13" spans="1:13" x14ac:dyDescent="0.25">
      <c r="A13" t="s">
        <v>46</v>
      </c>
      <c r="B13" t="str">
        <f>TEXT(Tabla24[[#This Row],[Fecha]],"dddd")</f>
        <v>miércoles</v>
      </c>
      <c r="C13" t="str">
        <f>TEXT(Tabla24[[#This Row],[Fecha]],"mmmm")</f>
        <v>marzo</v>
      </c>
      <c r="D13" t="str">
        <f>TEXT(Tabla24[[#This Row],[Fecha]],"aaaa")</f>
        <v>2024</v>
      </c>
      <c r="E13" t="s">
        <v>11</v>
      </c>
      <c r="F13" t="s">
        <v>34</v>
      </c>
      <c r="G13" t="s">
        <v>13</v>
      </c>
      <c r="H13" t="s">
        <v>19</v>
      </c>
      <c r="I13" t="s">
        <v>15</v>
      </c>
      <c r="J13">
        <v>6</v>
      </c>
      <c r="K13">
        <v>36009</v>
      </c>
      <c r="L13">
        <f>Tabla24[[#This Row],[Precio_Unitario]]*Tabla24[[#This Row],[Unidades_Vendidas]]</f>
        <v>216054</v>
      </c>
      <c r="M13" t="s">
        <v>27</v>
      </c>
    </row>
    <row r="14" spans="1:13" x14ac:dyDescent="0.25">
      <c r="A14" t="s">
        <v>47</v>
      </c>
      <c r="B14" t="str">
        <f>TEXT(Tabla24[[#This Row],[Fecha]],"dddd")</f>
        <v>miércoles</v>
      </c>
      <c r="C14" t="str">
        <f>TEXT(Tabla24[[#This Row],[Fecha]],"mmmm")</f>
        <v>septiembre</v>
      </c>
      <c r="D14" t="str">
        <f>TEXT(Tabla24[[#This Row],[Fecha]],"aaaa")</f>
        <v>2024</v>
      </c>
      <c r="E14" t="s">
        <v>33</v>
      </c>
      <c r="F14" t="s">
        <v>23</v>
      </c>
      <c r="G14" t="s">
        <v>48</v>
      </c>
      <c r="H14" t="s">
        <v>14</v>
      </c>
      <c r="I14" t="s">
        <v>15</v>
      </c>
      <c r="J14">
        <v>6</v>
      </c>
      <c r="K14">
        <v>54461</v>
      </c>
      <c r="L14">
        <f>Tabla24[[#This Row],[Precio_Unitario]]*Tabla24[[#This Row],[Unidades_Vendidas]]</f>
        <v>326766</v>
      </c>
      <c r="M14" t="s">
        <v>27</v>
      </c>
    </row>
    <row r="15" spans="1:13" x14ac:dyDescent="0.25">
      <c r="A15" t="s">
        <v>49</v>
      </c>
      <c r="B15" t="str">
        <f>TEXT(Tabla24[[#This Row],[Fecha]],"dddd")</f>
        <v>lunes</v>
      </c>
      <c r="C15" t="str">
        <f>TEXT(Tabla24[[#This Row],[Fecha]],"mmmm")</f>
        <v>mayo</v>
      </c>
      <c r="D15" t="str">
        <f>TEXT(Tabla24[[#This Row],[Fecha]],"aaaa")</f>
        <v>2024</v>
      </c>
      <c r="E15" t="s">
        <v>33</v>
      </c>
      <c r="F15" t="s">
        <v>29</v>
      </c>
      <c r="G15" t="s">
        <v>44</v>
      </c>
      <c r="H15" t="s">
        <v>35</v>
      </c>
      <c r="I15" t="s">
        <v>15</v>
      </c>
      <c r="J15">
        <v>19</v>
      </c>
      <c r="K15">
        <v>24275</v>
      </c>
      <c r="L15">
        <f>Tabla24[[#This Row],[Precio_Unitario]]*Tabla24[[#This Row],[Unidades_Vendidas]]</f>
        <v>461225</v>
      </c>
      <c r="M15" t="s">
        <v>16</v>
      </c>
    </row>
    <row r="16" spans="1:13" x14ac:dyDescent="0.25">
      <c r="A16" t="s">
        <v>50</v>
      </c>
      <c r="B16" t="str">
        <f>TEXT(Tabla24[[#This Row],[Fecha]],"dddd")</f>
        <v>viernes</v>
      </c>
      <c r="C16" t="str">
        <f>TEXT(Tabla24[[#This Row],[Fecha]],"mmmm")</f>
        <v>agosto</v>
      </c>
      <c r="D16" t="str">
        <f>TEXT(Tabla24[[#This Row],[Fecha]],"aaaa")</f>
        <v>2024</v>
      </c>
      <c r="E16" t="s">
        <v>18</v>
      </c>
      <c r="F16" t="s">
        <v>34</v>
      </c>
      <c r="G16" t="s">
        <v>24</v>
      </c>
      <c r="H16" t="s">
        <v>19</v>
      </c>
      <c r="I16" t="s">
        <v>15</v>
      </c>
      <c r="J16">
        <v>14</v>
      </c>
      <c r="K16">
        <v>54738</v>
      </c>
      <c r="L16">
        <f>Tabla24[[#This Row],[Precio_Unitario]]*Tabla24[[#This Row],[Unidades_Vendidas]]</f>
        <v>766332</v>
      </c>
      <c r="M16" t="s">
        <v>36</v>
      </c>
    </row>
    <row r="17" spans="1:13" x14ac:dyDescent="0.25">
      <c r="A17" t="s">
        <v>51</v>
      </c>
      <c r="B17" t="str">
        <f>TEXT(Tabla24[[#This Row],[Fecha]],"dddd")</f>
        <v>miércoles</v>
      </c>
      <c r="C17" t="str">
        <f>TEXT(Tabla24[[#This Row],[Fecha]],"mmmm")</f>
        <v>octubre</v>
      </c>
      <c r="D17" t="str">
        <f>TEXT(Tabla24[[#This Row],[Fecha]],"aaaa")</f>
        <v>2024</v>
      </c>
      <c r="E17" t="s">
        <v>11</v>
      </c>
      <c r="F17" t="s">
        <v>29</v>
      </c>
      <c r="G17" t="s">
        <v>13</v>
      </c>
      <c r="H17" t="s">
        <v>35</v>
      </c>
      <c r="I17" t="s">
        <v>15</v>
      </c>
      <c r="J17">
        <v>8</v>
      </c>
      <c r="K17">
        <v>31396</v>
      </c>
      <c r="L17">
        <f>Tabla24[[#This Row],[Precio_Unitario]]*Tabla24[[#This Row],[Unidades_Vendidas]]</f>
        <v>251168</v>
      </c>
      <c r="M17" t="s">
        <v>36</v>
      </c>
    </row>
    <row r="18" spans="1:13" x14ac:dyDescent="0.25">
      <c r="A18" t="s">
        <v>52</v>
      </c>
      <c r="B18" t="str">
        <f>TEXT(Tabla24[[#This Row],[Fecha]],"dddd")</f>
        <v>jueves</v>
      </c>
      <c r="C18" t="str">
        <f>TEXT(Tabla24[[#This Row],[Fecha]],"mmmm")</f>
        <v>diciembre</v>
      </c>
      <c r="D18" t="str">
        <f>TEXT(Tabla24[[#This Row],[Fecha]],"aaaa")</f>
        <v>2024</v>
      </c>
      <c r="E18" t="s">
        <v>42</v>
      </c>
      <c r="F18" t="s">
        <v>23</v>
      </c>
      <c r="G18" t="s">
        <v>13</v>
      </c>
      <c r="H18" t="s">
        <v>25</v>
      </c>
      <c r="I18" t="s">
        <v>26</v>
      </c>
      <c r="J18">
        <v>20</v>
      </c>
      <c r="K18">
        <v>21854</v>
      </c>
      <c r="L18">
        <f>Tabla24[[#This Row],[Precio_Unitario]]*Tabla24[[#This Row],[Unidades_Vendidas]]</f>
        <v>437080</v>
      </c>
      <c r="M18" t="s">
        <v>27</v>
      </c>
    </row>
    <row r="19" spans="1:13" x14ac:dyDescent="0.25">
      <c r="A19" t="s">
        <v>53</v>
      </c>
      <c r="B19" t="str">
        <f>TEXT(Tabla24[[#This Row],[Fecha]],"dddd")</f>
        <v>jueves</v>
      </c>
      <c r="C19" t="str">
        <f>TEXT(Tabla24[[#This Row],[Fecha]],"mmmm")</f>
        <v>mayo</v>
      </c>
      <c r="D19" t="str">
        <f>TEXT(Tabla24[[#This Row],[Fecha]],"aaaa")</f>
        <v>2024</v>
      </c>
      <c r="E19" t="s">
        <v>22</v>
      </c>
      <c r="F19" t="s">
        <v>23</v>
      </c>
      <c r="G19" t="s">
        <v>44</v>
      </c>
      <c r="H19" t="s">
        <v>35</v>
      </c>
      <c r="I19" t="s">
        <v>26</v>
      </c>
      <c r="J19">
        <v>3</v>
      </c>
      <c r="K19">
        <v>33825</v>
      </c>
      <c r="L19">
        <f>Tabla24[[#This Row],[Precio_Unitario]]*Tabla24[[#This Row],[Unidades_Vendidas]]</f>
        <v>101475</v>
      </c>
      <c r="M19" t="s">
        <v>27</v>
      </c>
    </row>
    <row r="20" spans="1:13" x14ac:dyDescent="0.25">
      <c r="A20" t="s">
        <v>54</v>
      </c>
      <c r="B20" t="str">
        <f>TEXT(Tabla24[[#This Row],[Fecha]],"dddd")</f>
        <v>sábado</v>
      </c>
      <c r="C20" t="str">
        <f>TEXT(Tabla24[[#This Row],[Fecha]],"mmmm")</f>
        <v>marzo</v>
      </c>
      <c r="D20" t="str">
        <f>TEXT(Tabla24[[#This Row],[Fecha]],"aaaa")</f>
        <v>2024</v>
      </c>
      <c r="E20" t="s">
        <v>18</v>
      </c>
      <c r="F20" t="s">
        <v>34</v>
      </c>
      <c r="G20" t="s">
        <v>24</v>
      </c>
      <c r="H20" t="s">
        <v>30</v>
      </c>
      <c r="I20" t="s">
        <v>15</v>
      </c>
      <c r="J20">
        <v>7</v>
      </c>
      <c r="K20">
        <v>45748</v>
      </c>
      <c r="L20">
        <f>Tabla24[[#This Row],[Precio_Unitario]]*Tabla24[[#This Row],[Unidades_Vendidas]]</f>
        <v>320236</v>
      </c>
      <c r="M20" t="s">
        <v>36</v>
      </c>
    </row>
    <row r="21" spans="1:13" x14ac:dyDescent="0.25">
      <c r="A21" t="s">
        <v>55</v>
      </c>
      <c r="B21" t="str">
        <f>TEXT(Tabla24[[#This Row],[Fecha]],"dddd")</f>
        <v>domingo</v>
      </c>
      <c r="C21" t="str">
        <f>TEXT(Tabla24[[#This Row],[Fecha]],"mmmm")</f>
        <v>diciembre</v>
      </c>
      <c r="D21" t="str">
        <f>TEXT(Tabla24[[#This Row],[Fecha]],"aaaa")</f>
        <v>2024</v>
      </c>
      <c r="E21" t="s">
        <v>33</v>
      </c>
      <c r="F21" t="s">
        <v>29</v>
      </c>
      <c r="G21" t="s">
        <v>24</v>
      </c>
      <c r="H21" t="s">
        <v>35</v>
      </c>
      <c r="I21" t="s">
        <v>15</v>
      </c>
      <c r="J21">
        <v>13</v>
      </c>
      <c r="K21">
        <v>17202</v>
      </c>
      <c r="L21">
        <f>Tabla24[[#This Row],[Precio_Unitario]]*Tabla24[[#This Row],[Unidades_Vendidas]]</f>
        <v>223626</v>
      </c>
      <c r="M21" t="s">
        <v>27</v>
      </c>
    </row>
    <row r="22" spans="1:13" x14ac:dyDescent="0.25">
      <c r="A22" t="s">
        <v>56</v>
      </c>
      <c r="B22" t="str">
        <f>TEXT(Tabla24[[#This Row],[Fecha]],"dddd")</f>
        <v>sábado</v>
      </c>
      <c r="C22" t="str">
        <f>TEXT(Tabla24[[#This Row],[Fecha]],"mmmm")</f>
        <v>septiembre</v>
      </c>
      <c r="D22" t="str">
        <f>TEXT(Tabla24[[#This Row],[Fecha]],"aaaa")</f>
        <v>2024</v>
      </c>
      <c r="E22" t="s">
        <v>22</v>
      </c>
      <c r="F22" t="s">
        <v>34</v>
      </c>
      <c r="G22" t="s">
        <v>39</v>
      </c>
      <c r="H22" t="s">
        <v>25</v>
      </c>
      <c r="I22" t="s">
        <v>15</v>
      </c>
      <c r="J22">
        <v>6</v>
      </c>
      <c r="K22">
        <v>28242</v>
      </c>
      <c r="L22">
        <f>Tabla24[[#This Row],[Precio_Unitario]]*Tabla24[[#This Row],[Unidades_Vendidas]]</f>
        <v>169452</v>
      </c>
      <c r="M22" t="s">
        <v>27</v>
      </c>
    </row>
    <row r="23" spans="1:13" x14ac:dyDescent="0.25">
      <c r="A23" t="s">
        <v>57</v>
      </c>
      <c r="B23" t="str">
        <f>TEXT(Tabla24[[#This Row],[Fecha]],"dddd")</f>
        <v>lunes</v>
      </c>
      <c r="C23" t="str">
        <f>TEXT(Tabla24[[#This Row],[Fecha]],"mmmm")</f>
        <v>junio</v>
      </c>
      <c r="D23" t="str">
        <f>TEXT(Tabla24[[#This Row],[Fecha]],"aaaa")</f>
        <v>2024</v>
      </c>
      <c r="E23" t="s">
        <v>11</v>
      </c>
      <c r="F23" t="s">
        <v>34</v>
      </c>
      <c r="G23" t="s">
        <v>39</v>
      </c>
      <c r="H23" t="s">
        <v>35</v>
      </c>
      <c r="I23" t="s">
        <v>26</v>
      </c>
      <c r="J23">
        <v>13</v>
      </c>
      <c r="K23">
        <v>15999</v>
      </c>
      <c r="L23">
        <f>Tabla24[[#This Row],[Precio_Unitario]]*Tabla24[[#This Row],[Unidades_Vendidas]]</f>
        <v>207987</v>
      </c>
      <c r="M23" t="s">
        <v>20</v>
      </c>
    </row>
    <row r="24" spans="1:13" x14ac:dyDescent="0.25">
      <c r="A24" t="s">
        <v>58</v>
      </c>
      <c r="B24" t="str">
        <f>TEXT(Tabla24[[#This Row],[Fecha]],"dddd")</f>
        <v>lunes</v>
      </c>
      <c r="C24" t="str">
        <f>TEXT(Tabla24[[#This Row],[Fecha]],"mmmm")</f>
        <v>octubre</v>
      </c>
      <c r="D24" t="str">
        <f>TEXT(Tabla24[[#This Row],[Fecha]],"aaaa")</f>
        <v>2024</v>
      </c>
      <c r="E24" t="s">
        <v>18</v>
      </c>
      <c r="F24" t="s">
        <v>38</v>
      </c>
      <c r="G24" t="s">
        <v>39</v>
      </c>
      <c r="H24" t="s">
        <v>19</v>
      </c>
      <c r="I24" t="s">
        <v>15</v>
      </c>
      <c r="J24">
        <v>20</v>
      </c>
      <c r="K24">
        <v>47914</v>
      </c>
      <c r="L24">
        <f>Tabla24[[#This Row],[Precio_Unitario]]*Tabla24[[#This Row],[Unidades_Vendidas]]</f>
        <v>958280</v>
      </c>
      <c r="M24" t="s">
        <v>16</v>
      </c>
    </row>
    <row r="25" spans="1:13" x14ac:dyDescent="0.25">
      <c r="A25" t="s">
        <v>59</v>
      </c>
      <c r="B25" t="str">
        <f>TEXT(Tabla24[[#This Row],[Fecha]],"dddd")</f>
        <v>sábado</v>
      </c>
      <c r="C25" t="str">
        <f>TEXT(Tabla24[[#This Row],[Fecha]],"mmmm")</f>
        <v>octubre</v>
      </c>
      <c r="D25" t="str">
        <f>TEXT(Tabla24[[#This Row],[Fecha]],"aaaa")</f>
        <v>2024</v>
      </c>
      <c r="E25" t="s">
        <v>33</v>
      </c>
      <c r="F25" t="s">
        <v>12</v>
      </c>
      <c r="G25" t="s">
        <v>39</v>
      </c>
      <c r="H25" t="s">
        <v>19</v>
      </c>
      <c r="I25" t="s">
        <v>15</v>
      </c>
      <c r="J25">
        <v>2</v>
      </c>
      <c r="K25">
        <v>28132</v>
      </c>
      <c r="L25">
        <f>Tabla24[[#This Row],[Precio_Unitario]]*Tabla24[[#This Row],[Unidades_Vendidas]]</f>
        <v>56264</v>
      </c>
      <c r="M25" t="s">
        <v>16</v>
      </c>
    </row>
    <row r="26" spans="1:13" x14ac:dyDescent="0.25">
      <c r="A26" t="s">
        <v>60</v>
      </c>
      <c r="B26" t="str">
        <f>TEXT(Tabla24[[#This Row],[Fecha]],"dddd")</f>
        <v>lunes</v>
      </c>
      <c r="C26" t="str">
        <f>TEXT(Tabla24[[#This Row],[Fecha]],"mmmm")</f>
        <v>junio</v>
      </c>
      <c r="D26" t="str">
        <f>TEXT(Tabla24[[#This Row],[Fecha]],"aaaa")</f>
        <v>2024</v>
      </c>
      <c r="E26" t="s">
        <v>33</v>
      </c>
      <c r="F26" t="s">
        <v>12</v>
      </c>
      <c r="G26" t="s">
        <v>48</v>
      </c>
      <c r="H26" t="s">
        <v>30</v>
      </c>
      <c r="I26" t="s">
        <v>26</v>
      </c>
      <c r="J26">
        <v>8</v>
      </c>
      <c r="K26">
        <v>56427</v>
      </c>
      <c r="L26">
        <f>Tabla24[[#This Row],[Precio_Unitario]]*Tabla24[[#This Row],[Unidades_Vendidas]]</f>
        <v>451416</v>
      </c>
      <c r="M26" t="s">
        <v>20</v>
      </c>
    </row>
    <row r="27" spans="1:13" x14ac:dyDescent="0.25">
      <c r="A27" t="s">
        <v>61</v>
      </c>
      <c r="B27" t="str">
        <f>TEXT(Tabla24[[#This Row],[Fecha]],"dddd")</f>
        <v>domingo</v>
      </c>
      <c r="C27" t="str">
        <f>TEXT(Tabla24[[#This Row],[Fecha]],"mmmm")</f>
        <v>abril</v>
      </c>
      <c r="D27" t="str">
        <f>TEXT(Tabla24[[#This Row],[Fecha]],"aaaa")</f>
        <v>2024</v>
      </c>
      <c r="E27" t="s">
        <v>33</v>
      </c>
      <c r="F27" t="s">
        <v>29</v>
      </c>
      <c r="G27" t="s">
        <v>13</v>
      </c>
      <c r="H27" t="s">
        <v>19</v>
      </c>
      <c r="I27" t="s">
        <v>15</v>
      </c>
      <c r="J27">
        <v>11</v>
      </c>
      <c r="K27">
        <v>15688</v>
      </c>
      <c r="L27">
        <f>Tabla24[[#This Row],[Precio_Unitario]]*Tabla24[[#This Row],[Unidades_Vendidas]]</f>
        <v>172568</v>
      </c>
      <c r="M27" t="s">
        <v>27</v>
      </c>
    </row>
    <row r="28" spans="1:13" x14ac:dyDescent="0.25">
      <c r="A28" t="s">
        <v>52</v>
      </c>
      <c r="B28" t="str">
        <f>TEXT(Tabla24[[#This Row],[Fecha]],"dddd")</f>
        <v>jueves</v>
      </c>
      <c r="C28" t="str">
        <f>TEXT(Tabla24[[#This Row],[Fecha]],"mmmm")</f>
        <v>diciembre</v>
      </c>
      <c r="D28" t="str">
        <f>TEXT(Tabla24[[#This Row],[Fecha]],"aaaa")</f>
        <v>2024</v>
      </c>
      <c r="E28" t="s">
        <v>11</v>
      </c>
      <c r="F28" t="s">
        <v>34</v>
      </c>
      <c r="G28" t="s">
        <v>44</v>
      </c>
      <c r="H28" t="s">
        <v>14</v>
      </c>
      <c r="I28" t="s">
        <v>40</v>
      </c>
      <c r="J28">
        <v>13</v>
      </c>
      <c r="K28">
        <v>15854</v>
      </c>
      <c r="L28">
        <f>Tabla24[[#This Row],[Precio_Unitario]]*Tabla24[[#This Row],[Unidades_Vendidas]]</f>
        <v>206102</v>
      </c>
      <c r="M28" t="s">
        <v>20</v>
      </c>
    </row>
    <row r="29" spans="1:13" x14ac:dyDescent="0.25">
      <c r="A29" t="s">
        <v>62</v>
      </c>
      <c r="B29" t="str">
        <f>TEXT(Tabla24[[#This Row],[Fecha]],"dddd")</f>
        <v>sábado</v>
      </c>
      <c r="C29" t="str">
        <f>TEXT(Tabla24[[#This Row],[Fecha]],"mmmm")</f>
        <v>mayo</v>
      </c>
      <c r="D29" t="str">
        <f>TEXT(Tabla24[[#This Row],[Fecha]],"aaaa")</f>
        <v>2024</v>
      </c>
      <c r="E29" t="s">
        <v>33</v>
      </c>
      <c r="F29" t="s">
        <v>34</v>
      </c>
      <c r="G29" t="s">
        <v>44</v>
      </c>
      <c r="H29" t="s">
        <v>14</v>
      </c>
      <c r="I29" t="s">
        <v>40</v>
      </c>
      <c r="J29">
        <v>18</v>
      </c>
      <c r="K29">
        <v>20973</v>
      </c>
      <c r="L29">
        <f>Tabla24[[#This Row],[Precio_Unitario]]*Tabla24[[#This Row],[Unidades_Vendidas]]</f>
        <v>377514</v>
      </c>
      <c r="M29" t="s">
        <v>27</v>
      </c>
    </row>
    <row r="30" spans="1:13" x14ac:dyDescent="0.25">
      <c r="A30" t="s">
        <v>63</v>
      </c>
      <c r="B30" t="str">
        <f>TEXT(Tabla24[[#This Row],[Fecha]],"dddd")</f>
        <v>lunes</v>
      </c>
      <c r="C30" t="str">
        <f>TEXT(Tabla24[[#This Row],[Fecha]],"mmmm")</f>
        <v>octubre</v>
      </c>
      <c r="D30" t="str">
        <f>TEXT(Tabla24[[#This Row],[Fecha]],"aaaa")</f>
        <v>2024</v>
      </c>
      <c r="E30" t="s">
        <v>42</v>
      </c>
      <c r="F30" t="s">
        <v>12</v>
      </c>
      <c r="G30" t="s">
        <v>13</v>
      </c>
      <c r="H30" t="s">
        <v>30</v>
      </c>
      <c r="I30" t="s">
        <v>26</v>
      </c>
      <c r="J30">
        <v>13</v>
      </c>
      <c r="K30">
        <v>24001</v>
      </c>
      <c r="L30">
        <f>Tabla24[[#This Row],[Precio_Unitario]]*Tabla24[[#This Row],[Unidades_Vendidas]]</f>
        <v>312013</v>
      </c>
      <c r="M30" t="s">
        <v>20</v>
      </c>
    </row>
    <row r="31" spans="1:13" x14ac:dyDescent="0.25">
      <c r="A31" t="s">
        <v>64</v>
      </c>
      <c r="B31" t="str">
        <f>TEXT(Tabla24[[#This Row],[Fecha]],"dddd")</f>
        <v>martes</v>
      </c>
      <c r="C31" t="str">
        <f>TEXT(Tabla24[[#This Row],[Fecha]],"mmmm")</f>
        <v>octubre</v>
      </c>
      <c r="D31" t="str">
        <f>TEXT(Tabla24[[#This Row],[Fecha]],"aaaa")</f>
        <v>2024</v>
      </c>
      <c r="E31" t="s">
        <v>22</v>
      </c>
      <c r="F31" t="s">
        <v>23</v>
      </c>
      <c r="G31" t="s">
        <v>44</v>
      </c>
      <c r="H31" t="s">
        <v>19</v>
      </c>
      <c r="I31" t="s">
        <v>40</v>
      </c>
      <c r="J31">
        <v>11</v>
      </c>
      <c r="K31">
        <v>19001</v>
      </c>
      <c r="L31">
        <f>Tabla24[[#This Row],[Precio_Unitario]]*Tabla24[[#This Row],[Unidades_Vendidas]]</f>
        <v>209011</v>
      </c>
      <c r="M31" t="s">
        <v>36</v>
      </c>
    </row>
    <row r="32" spans="1:13" x14ac:dyDescent="0.25">
      <c r="A32" t="s">
        <v>59</v>
      </c>
      <c r="B32" t="str">
        <f>TEXT(Tabla24[[#This Row],[Fecha]],"dddd")</f>
        <v>sábado</v>
      </c>
      <c r="C32" t="str">
        <f>TEXT(Tabla24[[#This Row],[Fecha]],"mmmm")</f>
        <v>octubre</v>
      </c>
      <c r="D32" t="str">
        <f>TEXT(Tabla24[[#This Row],[Fecha]],"aaaa")</f>
        <v>2024</v>
      </c>
      <c r="E32" t="s">
        <v>18</v>
      </c>
      <c r="F32" t="s">
        <v>38</v>
      </c>
      <c r="G32" t="s">
        <v>48</v>
      </c>
      <c r="H32" t="s">
        <v>30</v>
      </c>
      <c r="I32" t="s">
        <v>15</v>
      </c>
      <c r="J32">
        <v>19</v>
      </c>
      <c r="K32">
        <v>58650</v>
      </c>
      <c r="L32">
        <f>Tabla24[[#This Row],[Precio_Unitario]]*Tabla24[[#This Row],[Unidades_Vendidas]]</f>
        <v>1114350</v>
      </c>
      <c r="M32" t="s">
        <v>16</v>
      </c>
    </row>
    <row r="33" spans="1:13" x14ac:dyDescent="0.25">
      <c r="A33" t="s">
        <v>65</v>
      </c>
      <c r="B33" t="str">
        <f>TEXT(Tabla24[[#This Row],[Fecha]],"dddd")</f>
        <v>viernes</v>
      </c>
      <c r="C33" t="str">
        <f>TEXT(Tabla24[[#This Row],[Fecha]],"mmmm")</f>
        <v>abril</v>
      </c>
      <c r="D33" t="str">
        <f>TEXT(Tabla24[[#This Row],[Fecha]],"aaaa")</f>
        <v>2024</v>
      </c>
      <c r="E33" t="s">
        <v>22</v>
      </c>
      <c r="F33" t="s">
        <v>12</v>
      </c>
      <c r="G33" t="s">
        <v>39</v>
      </c>
      <c r="H33" t="s">
        <v>25</v>
      </c>
      <c r="I33" t="s">
        <v>26</v>
      </c>
      <c r="J33">
        <v>17</v>
      </c>
      <c r="K33">
        <v>25152</v>
      </c>
      <c r="L33">
        <f>Tabla24[[#This Row],[Precio_Unitario]]*Tabla24[[#This Row],[Unidades_Vendidas]]</f>
        <v>427584</v>
      </c>
      <c r="M33" t="s">
        <v>36</v>
      </c>
    </row>
    <row r="34" spans="1:13" x14ac:dyDescent="0.25">
      <c r="A34" t="s">
        <v>66</v>
      </c>
      <c r="B34" t="str">
        <f>TEXT(Tabla24[[#This Row],[Fecha]],"dddd")</f>
        <v>lunes</v>
      </c>
      <c r="C34" t="str">
        <f>TEXT(Tabla24[[#This Row],[Fecha]],"mmmm")</f>
        <v>mayo</v>
      </c>
      <c r="D34" t="str">
        <f>TEXT(Tabla24[[#This Row],[Fecha]],"aaaa")</f>
        <v>2024</v>
      </c>
      <c r="E34" t="s">
        <v>42</v>
      </c>
      <c r="F34" t="s">
        <v>23</v>
      </c>
      <c r="G34" t="s">
        <v>44</v>
      </c>
      <c r="H34" t="s">
        <v>25</v>
      </c>
      <c r="I34" t="s">
        <v>15</v>
      </c>
      <c r="J34">
        <v>13</v>
      </c>
      <c r="K34">
        <v>39995</v>
      </c>
      <c r="L34">
        <f>Tabla24[[#This Row],[Precio_Unitario]]*Tabla24[[#This Row],[Unidades_Vendidas]]</f>
        <v>519935</v>
      </c>
      <c r="M34" t="s">
        <v>36</v>
      </c>
    </row>
    <row r="35" spans="1:13" x14ac:dyDescent="0.25">
      <c r="A35" t="s">
        <v>67</v>
      </c>
      <c r="B35" t="str">
        <f>TEXT(Tabla24[[#This Row],[Fecha]],"dddd")</f>
        <v>jueves</v>
      </c>
      <c r="C35" t="str">
        <f>TEXT(Tabla24[[#This Row],[Fecha]],"mmmm")</f>
        <v>agosto</v>
      </c>
      <c r="D35" t="str">
        <f>TEXT(Tabla24[[#This Row],[Fecha]],"aaaa")</f>
        <v>2024</v>
      </c>
      <c r="E35" t="s">
        <v>33</v>
      </c>
      <c r="F35" t="s">
        <v>29</v>
      </c>
      <c r="G35" t="s">
        <v>39</v>
      </c>
      <c r="H35" t="s">
        <v>19</v>
      </c>
      <c r="I35" t="s">
        <v>26</v>
      </c>
      <c r="J35">
        <v>8</v>
      </c>
      <c r="K35">
        <v>23069</v>
      </c>
      <c r="L35">
        <f>Tabla24[[#This Row],[Precio_Unitario]]*Tabla24[[#This Row],[Unidades_Vendidas]]</f>
        <v>184552</v>
      </c>
      <c r="M35" t="s">
        <v>36</v>
      </c>
    </row>
    <row r="36" spans="1:13" x14ac:dyDescent="0.25">
      <c r="A36" t="s">
        <v>68</v>
      </c>
      <c r="B36" t="str">
        <f>TEXT(Tabla24[[#This Row],[Fecha]],"dddd")</f>
        <v>viernes</v>
      </c>
      <c r="C36" t="str">
        <f>TEXT(Tabla24[[#This Row],[Fecha]],"mmmm")</f>
        <v>diciembre</v>
      </c>
      <c r="D36" t="str">
        <f>TEXT(Tabla24[[#This Row],[Fecha]],"aaaa")</f>
        <v>2024</v>
      </c>
      <c r="E36" t="s">
        <v>18</v>
      </c>
      <c r="F36" t="s">
        <v>38</v>
      </c>
      <c r="G36" t="s">
        <v>39</v>
      </c>
      <c r="H36" t="s">
        <v>35</v>
      </c>
      <c r="I36" t="s">
        <v>26</v>
      </c>
      <c r="J36">
        <v>16</v>
      </c>
      <c r="K36">
        <v>20386</v>
      </c>
      <c r="L36">
        <f>Tabla24[[#This Row],[Precio_Unitario]]*Tabla24[[#This Row],[Unidades_Vendidas]]</f>
        <v>326176</v>
      </c>
      <c r="M36" t="s">
        <v>27</v>
      </c>
    </row>
    <row r="37" spans="1:13" x14ac:dyDescent="0.25">
      <c r="A37" t="s">
        <v>69</v>
      </c>
      <c r="B37" t="str">
        <f>TEXT(Tabla24[[#This Row],[Fecha]],"dddd")</f>
        <v>lunes</v>
      </c>
      <c r="C37" t="str">
        <f>TEXT(Tabla24[[#This Row],[Fecha]],"mmmm")</f>
        <v>abril</v>
      </c>
      <c r="D37" t="str">
        <f>TEXT(Tabla24[[#This Row],[Fecha]],"aaaa")</f>
        <v>2024</v>
      </c>
      <c r="E37" t="s">
        <v>33</v>
      </c>
      <c r="F37" t="s">
        <v>23</v>
      </c>
      <c r="G37" t="s">
        <v>44</v>
      </c>
      <c r="H37" t="s">
        <v>30</v>
      </c>
      <c r="I37" t="s">
        <v>15</v>
      </c>
      <c r="J37">
        <v>16</v>
      </c>
      <c r="K37">
        <v>22504</v>
      </c>
      <c r="L37">
        <f>Tabla24[[#This Row],[Precio_Unitario]]*Tabla24[[#This Row],[Unidades_Vendidas]]</f>
        <v>360064</v>
      </c>
      <c r="M37" t="s">
        <v>16</v>
      </c>
    </row>
    <row r="38" spans="1:13" x14ac:dyDescent="0.25">
      <c r="A38" t="s">
        <v>70</v>
      </c>
      <c r="B38" t="str">
        <f>TEXT(Tabla24[[#This Row],[Fecha]],"dddd")</f>
        <v>martes</v>
      </c>
      <c r="C38" t="str">
        <f>TEXT(Tabla24[[#This Row],[Fecha]],"mmmm")</f>
        <v>julio</v>
      </c>
      <c r="D38" t="str">
        <f>TEXT(Tabla24[[#This Row],[Fecha]],"aaaa")</f>
        <v>2024</v>
      </c>
      <c r="E38" t="s">
        <v>22</v>
      </c>
      <c r="F38" t="s">
        <v>23</v>
      </c>
      <c r="G38" t="s">
        <v>13</v>
      </c>
      <c r="H38" t="s">
        <v>25</v>
      </c>
      <c r="I38" t="s">
        <v>40</v>
      </c>
      <c r="J38">
        <v>13</v>
      </c>
      <c r="K38">
        <v>30123</v>
      </c>
      <c r="L38">
        <f>Tabla24[[#This Row],[Precio_Unitario]]*Tabla24[[#This Row],[Unidades_Vendidas]]</f>
        <v>391599</v>
      </c>
      <c r="M38" t="s">
        <v>27</v>
      </c>
    </row>
    <row r="39" spans="1:13" x14ac:dyDescent="0.25">
      <c r="A39" t="s">
        <v>71</v>
      </c>
      <c r="B39" t="str">
        <f>TEXT(Tabla24[[#This Row],[Fecha]],"dddd")</f>
        <v>martes</v>
      </c>
      <c r="C39" t="str">
        <f>TEXT(Tabla24[[#This Row],[Fecha]],"mmmm")</f>
        <v>julio</v>
      </c>
      <c r="D39" t="str">
        <f>TEXT(Tabla24[[#This Row],[Fecha]],"aaaa")</f>
        <v>2024</v>
      </c>
      <c r="E39" t="s">
        <v>42</v>
      </c>
      <c r="F39" t="s">
        <v>23</v>
      </c>
      <c r="G39" t="s">
        <v>48</v>
      </c>
      <c r="H39" t="s">
        <v>35</v>
      </c>
      <c r="I39" t="s">
        <v>40</v>
      </c>
      <c r="J39">
        <v>16</v>
      </c>
      <c r="K39">
        <v>51959</v>
      </c>
      <c r="L39">
        <f>Tabla24[[#This Row],[Precio_Unitario]]*Tabla24[[#This Row],[Unidades_Vendidas]]</f>
        <v>831344</v>
      </c>
      <c r="M39" t="s">
        <v>27</v>
      </c>
    </row>
    <row r="40" spans="1:13" x14ac:dyDescent="0.25">
      <c r="A40" t="s">
        <v>72</v>
      </c>
      <c r="B40" t="str">
        <f>TEXT(Tabla24[[#This Row],[Fecha]],"dddd")</f>
        <v>sábado</v>
      </c>
      <c r="C40" t="str">
        <f>TEXT(Tabla24[[#This Row],[Fecha]],"mmmm")</f>
        <v>septiembre</v>
      </c>
      <c r="D40" t="str">
        <f>TEXT(Tabla24[[#This Row],[Fecha]],"aaaa")</f>
        <v>2024</v>
      </c>
      <c r="E40" t="s">
        <v>33</v>
      </c>
      <c r="F40" t="s">
        <v>34</v>
      </c>
      <c r="G40" t="s">
        <v>39</v>
      </c>
      <c r="H40" t="s">
        <v>25</v>
      </c>
      <c r="I40" t="s">
        <v>26</v>
      </c>
      <c r="J40">
        <v>20</v>
      </c>
      <c r="K40">
        <v>42230</v>
      </c>
      <c r="L40">
        <f>Tabla24[[#This Row],[Precio_Unitario]]*Tabla24[[#This Row],[Unidades_Vendidas]]</f>
        <v>844600</v>
      </c>
      <c r="M40" t="s">
        <v>20</v>
      </c>
    </row>
    <row r="41" spans="1:13" x14ac:dyDescent="0.25">
      <c r="A41" t="s">
        <v>73</v>
      </c>
      <c r="B41" t="str">
        <f>TEXT(Tabla24[[#This Row],[Fecha]],"dddd")</f>
        <v>jueves</v>
      </c>
      <c r="C41" t="str">
        <f>TEXT(Tabla24[[#This Row],[Fecha]],"mmmm")</f>
        <v>febrero</v>
      </c>
      <c r="D41" t="str">
        <f>TEXT(Tabla24[[#This Row],[Fecha]],"aaaa")</f>
        <v>2024</v>
      </c>
      <c r="E41" t="s">
        <v>33</v>
      </c>
      <c r="F41" t="s">
        <v>38</v>
      </c>
      <c r="G41" t="s">
        <v>39</v>
      </c>
      <c r="H41" t="s">
        <v>35</v>
      </c>
      <c r="I41" t="s">
        <v>15</v>
      </c>
      <c r="J41">
        <v>19</v>
      </c>
      <c r="K41">
        <v>18713</v>
      </c>
      <c r="L41">
        <f>Tabla24[[#This Row],[Precio_Unitario]]*Tabla24[[#This Row],[Unidades_Vendidas]]</f>
        <v>355547</v>
      </c>
      <c r="M41" t="s">
        <v>20</v>
      </c>
    </row>
    <row r="42" spans="1:13" x14ac:dyDescent="0.25">
      <c r="A42" t="s">
        <v>74</v>
      </c>
      <c r="B42" t="str">
        <f>TEXT(Tabla24[[#This Row],[Fecha]],"dddd")</f>
        <v>viernes</v>
      </c>
      <c r="C42" t="str">
        <f>TEXT(Tabla24[[#This Row],[Fecha]],"mmmm")</f>
        <v>enero</v>
      </c>
      <c r="D42" t="str">
        <f>TEXT(Tabla24[[#This Row],[Fecha]],"aaaa")</f>
        <v>2024</v>
      </c>
      <c r="E42" t="s">
        <v>22</v>
      </c>
      <c r="F42" t="s">
        <v>29</v>
      </c>
      <c r="G42" t="s">
        <v>24</v>
      </c>
      <c r="H42" t="s">
        <v>30</v>
      </c>
      <c r="I42" t="s">
        <v>40</v>
      </c>
      <c r="J42">
        <v>19</v>
      </c>
      <c r="K42">
        <v>53198</v>
      </c>
      <c r="L42">
        <f>Tabla24[[#This Row],[Precio_Unitario]]*Tabla24[[#This Row],[Unidades_Vendidas]]</f>
        <v>1010762</v>
      </c>
      <c r="M42" t="s">
        <v>36</v>
      </c>
    </row>
    <row r="43" spans="1:13" x14ac:dyDescent="0.25">
      <c r="A43" t="s">
        <v>75</v>
      </c>
      <c r="B43" t="str">
        <f>TEXT(Tabla24[[#This Row],[Fecha]],"dddd")</f>
        <v>lunes</v>
      </c>
      <c r="C43" t="str">
        <f>TEXT(Tabla24[[#This Row],[Fecha]],"mmmm")</f>
        <v>diciembre</v>
      </c>
      <c r="D43" t="str">
        <f>TEXT(Tabla24[[#This Row],[Fecha]],"aaaa")</f>
        <v>2024</v>
      </c>
      <c r="E43" t="s">
        <v>22</v>
      </c>
      <c r="F43" t="s">
        <v>38</v>
      </c>
      <c r="G43" t="s">
        <v>13</v>
      </c>
      <c r="H43" t="s">
        <v>25</v>
      </c>
      <c r="I43" t="s">
        <v>40</v>
      </c>
      <c r="J43">
        <v>5</v>
      </c>
      <c r="K43">
        <v>22796</v>
      </c>
      <c r="L43">
        <f>Tabla24[[#This Row],[Precio_Unitario]]*Tabla24[[#This Row],[Unidades_Vendidas]]</f>
        <v>113980</v>
      </c>
      <c r="M43" t="s">
        <v>36</v>
      </c>
    </row>
    <row r="44" spans="1:13" x14ac:dyDescent="0.25">
      <c r="A44" t="s">
        <v>76</v>
      </c>
      <c r="B44" t="str">
        <f>TEXT(Tabla24[[#This Row],[Fecha]],"dddd")</f>
        <v>jueves</v>
      </c>
      <c r="C44" t="str">
        <f>TEXT(Tabla24[[#This Row],[Fecha]],"mmmm")</f>
        <v>abril</v>
      </c>
      <c r="D44" t="str">
        <f>TEXT(Tabla24[[#This Row],[Fecha]],"aaaa")</f>
        <v>2024</v>
      </c>
      <c r="E44" t="s">
        <v>11</v>
      </c>
      <c r="F44" t="s">
        <v>12</v>
      </c>
      <c r="G44" t="s">
        <v>48</v>
      </c>
      <c r="H44" t="s">
        <v>35</v>
      </c>
      <c r="I44" t="s">
        <v>40</v>
      </c>
      <c r="J44">
        <v>17</v>
      </c>
      <c r="K44">
        <v>42578</v>
      </c>
      <c r="L44">
        <f>Tabla24[[#This Row],[Precio_Unitario]]*Tabla24[[#This Row],[Unidades_Vendidas]]</f>
        <v>723826</v>
      </c>
      <c r="M44" t="s">
        <v>16</v>
      </c>
    </row>
    <row r="45" spans="1:13" x14ac:dyDescent="0.25">
      <c r="A45" t="s">
        <v>77</v>
      </c>
      <c r="B45" t="str">
        <f>TEXT(Tabla24[[#This Row],[Fecha]],"dddd")</f>
        <v>jueves</v>
      </c>
      <c r="C45" t="str">
        <f>TEXT(Tabla24[[#This Row],[Fecha]],"mmmm")</f>
        <v>junio</v>
      </c>
      <c r="D45" t="str">
        <f>TEXT(Tabla24[[#This Row],[Fecha]],"aaaa")</f>
        <v>2024</v>
      </c>
      <c r="E45" t="s">
        <v>22</v>
      </c>
      <c r="F45" t="s">
        <v>23</v>
      </c>
      <c r="G45" t="s">
        <v>44</v>
      </c>
      <c r="H45" t="s">
        <v>35</v>
      </c>
      <c r="I45" t="s">
        <v>26</v>
      </c>
      <c r="J45">
        <v>8</v>
      </c>
      <c r="K45">
        <v>19511</v>
      </c>
      <c r="L45">
        <f>Tabla24[[#This Row],[Precio_Unitario]]*Tabla24[[#This Row],[Unidades_Vendidas]]</f>
        <v>156088</v>
      </c>
      <c r="M45" t="s">
        <v>20</v>
      </c>
    </row>
    <row r="46" spans="1:13" x14ac:dyDescent="0.25">
      <c r="A46" t="s">
        <v>78</v>
      </c>
      <c r="B46" t="str">
        <f>TEXT(Tabla24[[#This Row],[Fecha]],"dddd")</f>
        <v>martes</v>
      </c>
      <c r="C46" t="str">
        <f>TEXT(Tabla24[[#This Row],[Fecha]],"mmmm")</f>
        <v>octubre</v>
      </c>
      <c r="D46" t="str">
        <f>TEXT(Tabla24[[#This Row],[Fecha]],"aaaa")</f>
        <v>2024</v>
      </c>
      <c r="E46" t="s">
        <v>42</v>
      </c>
      <c r="F46" t="s">
        <v>12</v>
      </c>
      <c r="G46" t="s">
        <v>39</v>
      </c>
      <c r="H46" t="s">
        <v>25</v>
      </c>
      <c r="I46" t="s">
        <v>26</v>
      </c>
      <c r="J46">
        <v>5</v>
      </c>
      <c r="K46">
        <v>37505</v>
      </c>
      <c r="L46">
        <f>Tabla24[[#This Row],[Precio_Unitario]]*Tabla24[[#This Row],[Unidades_Vendidas]]</f>
        <v>187525</v>
      </c>
      <c r="M46" t="s">
        <v>27</v>
      </c>
    </row>
    <row r="47" spans="1:13" x14ac:dyDescent="0.25">
      <c r="A47" t="s">
        <v>79</v>
      </c>
      <c r="B47" t="str">
        <f>TEXT(Tabla24[[#This Row],[Fecha]],"dddd")</f>
        <v>lunes</v>
      </c>
      <c r="C47" t="str">
        <f>TEXT(Tabla24[[#This Row],[Fecha]],"mmmm")</f>
        <v>diciembre</v>
      </c>
      <c r="D47" t="str">
        <f>TEXT(Tabla24[[#This Row],[Fecha]],"aaaa")</f>
        <v>2024</v>
      </c>
      <c r="E47" t="s">
        <v>42</v>
      </c>
      <c r="F47" t="s">
        <v>23</v>
      </c>
      <c r="G47" t="s">
        <v>24</v>
      </c>
      <c r="H47" t="s">
        <v>14</v>
      </c>
      <c r="I47" t="s">
        <v>26</v>
      </c>
      <c r="J47">
        <v>10</v>
      </c>
      <c r="K47">
        <v>31826</v>
      </c>
      <c r="L47">
        <f>Tabla24[[#This Row],[Precio_Unitario]]*Tabla24[[#This Row],[Unidades_Vendidas]]</f>
        <v>318260</v>
      </c>
      <c r="M47" t="s">
        <v>20</v>
      </c>
    </row>
    <row r="48" spans="1:13" x14ac:dyDescent="0.25">
      <c r="A48" t="s">
        <v>59</v>
      </c>
      <c r="B48" t="str">
        <f>TEXT(Tabla24[[#This Row],[Fecha]],"dddd")</f>
        <v>sábado</v>
      </c>
      <c r="C48" t="str">
        <f>TEXT(Tabla24[[#This Row],[Fecha]],"mmmm")</f>
        <v>octubre</v>
      </c>
      <c r="D48" t="str">
        <f>TEXT(Tabla24[[#This Row],[Fecha]],"aaaa")</f>
        <v>2024</v>
      </c>
      <c r="E48" t="s">
        <v>11</v>
      </c>
      <c r="F48" t="s">
        <v>12</v>
      </c>
      <c r="G48" t="s">
        <v>24</v>
      </c>
      <c r="H48" t="s">
        <v>35</v>
      </c>
      <c r="I48" t="s">
        <v>15</v>
      </c>
      <c r="J48">
        <v>19</v>
      </c>
      <c r="K48">
        <v>21839</v>
      </c>
      <c r="L48">
        <f>Tabla24[[#This Row],[Precio_Unitario]]*Tabla24[[#This Row],[Unidades_Vendidas]]</f>
        <v>414941</v>
      </c>
      <c r="M48" t="s">
        <v>16</v>
      </c>
    </row>
    <row r="49" spans="1:13" x14ac:dyDescent="0.25">
      <c r="A49" t="s">
        <v>80</v>
      </c>
      <c r="B49" t="str">
        <f>TEXT(Tabla24[[#This Row],[Fecha]],"dddd")</f>
        <v>miércoles</v>
      </c>
      <c r="C49" t="str">
        <f>TEXT(Tabla24[[#This Row],[Fecha]],"mmmm")</f>
        <v>mayo</v>
      </c>
      <c r="D49" t="str">
        <f>TEXT(Tabla24[[#This Row],[Fecha]],"aaaa")</f>
        <v>2024</v>
      </c>
      <c r="E49" t="s">
        <v>42</v>
      </c>
      <c r="F49" t="s">
        <v>12</v>
      </c>
      <c r="G49" t="s">
        <v>48</v>
      </c>
      <c r="H49" t="s">
        <v>19</v>
      </c>
      <c r="I49" t="s">
        <v>26</v>
      </c>
      <c r="J49">
        <v>15</v>
      </c>
      <c r="K49">
        <v>49785</v>
      </c>
      <c r="L49">
        <f>Tabla24[[#This Row],[Precio_Unitario]]*Tabla24[[#This Row],[Unidades_Vendidas]]</f>
        <v>746775</v>
      </c>
      <c r="M49" t="s">
        <v>36</v>
      </c>
    </row>
    <row r="50" spans="1:13" x14ac:dyDescent="0.25">
      <c r="A50" t="s">
        <v>81</v>
      </c>
      <c r="B50" t="str">
        <f>TEXT(Tabla24[[#This Row],[Fecha]],"dddd")</f>
        <v>sábado</v>
      </c>
      <c r="C50" t="str">
        <f>TEXT(Tabla24[[#This Row],[Fecha]],"mmmm")</f>
        <v>diciembre</v>
      </c>
      <c r="D50" t="str">
        <f>TEXT(Tabla24[[#This Row],[Fecha]],"aaaa")</f>
        <v>2024</v>
      </c>
      <c r="E50" t="s">
        <v>42</v>
      </c>
      <c r="F50" t="s">
        <v>38</v>
      </c>
      <c r="G50" t="s">
        <v>39</v>
      </c>
      <c r="H50" t="s">
        <v>19</v>
      </c>
      <c r="I50" t="s">
        <v>40</v>
      </c>
      <c r="J50">
        <v>7</v>
      </c>
      <c r="K50">
        <v>43487</v>
      </c>
      <c r="L50">
        <f>Tabla24[[#This Row],[Precio_Unitario]]*Tabla24[[#This Row],[Unidades_Vendidas]]</f>
        <v>304409</v>
      </c>
      <c r="M50" t="s">
        <v>27</v>
      </c>
    </row>
    <row r="51" spans="1:13" x14ac:dyDescent="0.25">
      <c r="A51" t="s">
        <v>82</v>
      </c>
      <c r="B51" t="str">
        <f>TEXT(Tabla24[[#This Row],[Fecha]],"dddd")</f>
        <v>viernes</v>
      </c>
      <c r="C51" t="str">
        <f>TEXT(Tabla24[[#This Row],[Fecha]],"mmmm")</f>
        <v>junio</v>
      </c>
      <c r="D51" t="str">
        <f>TEXT(Tabla24[[#This Row],[Fecha]],"aaaa")</f>
        <v>2024</v>
      </c>
      <c r="E51" t="s">
        <v>18</v>
      </c>
      <c r="F51" t="s">
        <v>29</v>
      </c>
      <c r="G51" t="s">
        <v>44</v>
      </c>
      <c r="H51" t="s">
        <v>14</v>
      </c>
      <c r="I51" t="s">
        <v>15</v>
      </c>
      <c r="J51">
        <v>6</v>
      </c>
      <c r="K51">
        <v>26498</v>
      </c>
      <c r="L51">
        <f>Tabla24[[#This Row],[Precio_Unitario]]*Tabla24[[#This Row],[Unidades_Vendidas]]</f>
        <v>158988</v>
      </c>
      <c r="M51" t="s">
        <v>20</v>
      </c>
    </row>
    <row r="52" spans="1:13" x14ac:dyDescent="0.25">
      <c r="A52" t="s">
        <v>83</v>
      </c>
      <c r="B52" t="str">
        <f>TEXT(Tabla24[[#This Row],[Fecha]],"dddd")</f>
        <v>lunes</v>
      </c>
      <c r="C52" t="str">
        <f>TEXT(Tabla24[[#This Row],[Fecha]],"mmmm")</f>
        <v>noviembre</v>
      </c>
      <c r="D52" t="str">
        <f>TEXT(Tabla24[[#This Row],[Fecha]],"aaaa")</f>
        <v>2024</v>
      </c>
      <c r="E52" t="s">
        <v>11</v>
      </c>
      <c r="F52" t="s">
        <v>29</v>
      </c>
      <c r="G52" t="s">
        <v>39</v>
      </c>
      <c r="H52" t="s">
        <v>19</v>
      </c>
      <c r="I52" t="s">
        <v>40</v>
      </c>
      <c r="J52">
        <v>11</v>
      </c>
      <c r="K52">
        <v>30624</v>
      </c>
      <c r="L52">
        <f>Tabla24[[#This Row],[Precio_Unitario]]*Tabla24[[#This Row],[Unidades_Vendidas]]</f>
        <v>336864</v>
      </c>
      <c r="M52" t="s">
        <v>27</v>
      </c>
    </row>
    <row r="53" spans="1:13" x14ac:dyDescent="0.25">
      <c r="A53" t="s">
        <v>84</v>
      </c>
      <c r="B53" t="str">
        <f>TEXT(Tabla24[[#This Row],[Fecha]],"dddd")</f>
        <v>miércoles</v>
      </c>
      <c r="C53" t="str">
        <f>TEXT(Tabla24[[#This Row],[Fecha]],"mmmm")</f>
        <v>febrero</v>
      </c>
      <c r="D53" t="str">
        <f>TEXT(Tabla24[[#This Row],[Fecha]],"aaaa")</f>
        <v>2024</v>
      </c>
      <c r="E53" t="s">
        <v>11</v>
      </c>
      <c r="F53" t="s">
        <v>34</v>
      </c>
      <c r="G53" t="s">
        <v>24</v>
      </c>
      <c r="H53" t="s">
        <v>19</v>
      </c>
      <c r="I53" t="s">
        <v>15</v>
      </c>
      <c r="J53">
        <v>17</v>
      </c>
      <c r="K53">
        <v>29697</v>
      </c>
      <c r="L53">
        <f>Tabla24[[#This Row],[Precio_Unitario]]*Tabla24[[#This Row],[Unidades_Vendidas]]</f>
        <v>504849</v>
      </c>
      <c r="M53" t="s">
        <v>27</v>
      </c>
    </row>
    <row r="54" spans="1:13" x14ac:dyDescent="0.25">
      <c r="A54" t="s">
        <v>85</v>
      </c>
      <c r="B54" t="str">
        <f>TEXT(Tabla24[[#This Row],[Fecha]],"dddd")</f>
        <v>sábado</v>
      </c>
      <c r="C54" t="str">
        <f>TEXT(Tabla24[[#This Row],[Fecha]],"mmmm")</f>
        <v>julio</v>
      </c>
      <c r="D54" t="str">
        <f>TEXT(Tabla24[[#This Row],[Fecha]],"aaaa")</f>
        <v>2024</v>
      </c>
      <c r="E54" t="s">
        <v>18</v>
      </c>
      <c r="F54" t="s">
        <v>12</v>
      </c>
      <c r="G54" t="s">
        <v>39</v>
      </c>
      <c r="H54" t="s">
        <v>19</v>
      </c>
      <c r="I54" t="s">
        <v>15</v>
      </c>
      <c r="J54">
        <v>6</v>
      </c>
      <c r="K54">
        <v>39894</v>
      </c>
      <c r="L54">
        <f>Tabla24[[#This Row],[Precio_Unitario]]*Tabla24[[#This Row],[Unidades_Vendidas]]</f>
        <v>239364</v>
      </c>
      <c r="M54" t="s">
        <v>36</v>
      </c>
    </row>
    <row r="55" spans="1:13" x14ac:dyDescent="0.25">
      <c r="A55" t="s">
        <v>86</v>
      </c>
      <c r="B55" t="str">
        <f>TEXT(Tabla24[[#This Row],[Fecha]],"dddd")</f>
        <v>miércoles</v>
      </c>
      <c r="C55" t="str">
        <f>TEXT(Tabla24[[#This Row],[Fecha]],"mmmm")</f>
        <v>julio</v>
      </c>
      <c r="D55" t="str">
        <f>TEXT(Tabla24[[#This Row],[Fecha]],"aaaa")</f>
        <v>2024</v>
      </c>
      <c r="E55" t="s">
        <v>18</v>
      </c>
      <c r="F55" t="s">
        <v>34</v>
      </c>
      <c r="G55" t="s">
        <v>13</v>
      </c>
      <c r="H55" t="s">
        <v>14</v>
      </c>
      <c r="I55" t="s">
        <v>26</v>
      </c>
      <c r="J55">
        <v>9</v>
      </c>
      <c r="K55">
        <v>34757</v>
      </c>
      <c r="L55">
        <f>Tabla24[[#This Row],[Precio_Unitario]]*Tabla24[[#This Row],[Unidades_Vendidas]]</f>
        <v>312813</v>
      </c>
      <c r="M55" t="s">
        <v>36</v>
      </c>
    </row>
    <row r="56" spans="1:13" x14ac:dyDescent="0.25">
      <c r="A56" t="s">
        <v>87</v>
      </c>
      <c r="B56" t="str">
        <f>TEXT(Tabla24[[#This Row],[Fecha]],"dddd")</f>
        <v>martes</v>
      </c>
      <c r="C56" t="str">
        <f>TEXT(Tabla24[[#This Row],[Fecha]],"mmmm")</f>
        <v>noviembre</v>
      </c>
      <c r="D56" t="str">
        <f>TEXT(Tabla24[[#This Row],[Fecha]],"aaaa")</f>
        <v>2024</v>
      </c>
      <c r="E56" t="s">
        <v>22</v>
      </c>
      <c r="F56" t="s">
        <v>29</v>
      </c>
      <c r="G56" t="s">
        <v>44</v>
      </c>
      <c r="H56" t="s">
        <v>14</v>
      </c>
      <c r="I56" t="s">
        <v>40</v>
      </c>
      <c r="J56">
        <v>17</v>
      </c>
      <c r="K56">
        <v>32883</v>
      </c>
      <c r="L56">
        <f>Tabla24[[#This Row],[Precio_Unitario]]*Tabla24[[#This Row],[Unidades_Vendidas]]</f>
        <v>559011</v>
      </c>
      <c r="M56" t="s">
        <v>16</v>
      </c>
    </row>
    <row r="57" spans="1:13" x14ac:dyDescent="0.25">
      <c r="A57" t="s">
        <v>88</v>
      </c>
      <c r="B57" t="str">
        <f>TEXT(Tabla24[[#This Row],[Fecha]],"dddd")</f>
        <v>miércoles</v>
      </c>
      <c r="C57" t="str">
        <f>TEXT(Tabla24[[#This Row],[Fecha]],"mmmm")</f>
        <v>enero</v>
      </c>
      <c r="D57" t="str">
        <f>TEXT(Tabla24[[#This Row],[Fecha]],"aaaa")</f>
        <v>2024</v>
      </c>
      <c r="E57" t="s">
        <v>18</v>
      </c>
      <c r="F57" t="s">
        <v>29</v>
      </c>
      <c r="G57" t="s">
        <v>48</v>
      </c>
      <c r="H57" t="s">
        <v>19</v>
      </c>
      <c r="I57" t="s">
        <v>40</v>
      </c>
      <c r="J57">
        <v>6</v>
      </c>
      <c r="K57">
        <v>33703</v>
      </c>
      <c r="L57">
        <f>Tabla24[[#This Row],[Precio_Unitario]]*Tabla24[[#This Row],[Unidades_Vendidas]]</f>
        <v>202218</v>
      </c>
      <c r="M57" t="s">
        <v>36</v>
      </c>
    </row>
    <row r="58" spans="1:13" x14ac:dyDescent="0.25">
      <c r="A58" t="s">
        <v>89</v>
      </c>
      <c r="B58" t="str">
        <f>TEXT(Tabla24[[#This Row],[Fecha]],"dddd")</f>
        <v>lunes</v>
      </c>
      <c r="C58" t="str">
        <f>TEXT(Tabla24[[#This Row],[Fecha]],"mmmm")</f>
        <v>agosto</v>
      </c>
      <c r="D58" t="str">
        <f>TEXT(Tabla24[[#This Row],[Fecha]],"aaaa")</f>
        <v>2024</v>
      </c>
      <c r="E58" t="s">
        <v>18</v>
      </c>
      <c r="F58" t="s">
        <v>34</v>
      </c>
      <c r="G58" t="s">
        <v>13</v>
      </c>
      <c r="H58" t="s">
        <v>30</v>
      </c>
      <c r="I58" t="s">
        <v>40</v>
      </c>
      <c r="J58">
        <v>6</v>
      </c>
      <c r="K58">
        <v>17726</v>
      </c>
      <c r="L58">
        <f>Tabla24[[#This Row],[Precio_Unitario]]*Tabla24[[#This Row],[Unidades_Vendidas]]</f>
        <v>106356</v>
      </c>
      <c r="M58" t="s">
        <v>36</v>
      </c>
    </row>
    <row r="59" spans="1:13" x14ac:dyDescent="0.25">
      <c r="A59" t="s">
        <v>90</v>
      </c>
      <c r="B59" t="str">
        <f>TEXT(Tabla24[[#This Row],[Fecha]],"dddd")</f>
        <v>miércoles</v>
      </c>
      <c r="C59" t="str">
        <f>TEXT(Tabla24[[#This Row],[Fecha]],"mmmm")</f>
        <v>enero</v>
      </c>
      <c r="D59" t="str">
        <f>TEXT(Tabla24[[#This Row],[Fecha]],"aaaa")</f>
        <v>2024</v>
      </c>
      <c r="E59" t="s">
        <v>11</v>
      </c>
      <c r="F59" t="s">
        <v>23</v>
      </c>
      <c r="G59" t="s">
        <v>44</v>
      </c>
      <c r="H59" t="s">
        <v>35</v>
      </c>
      <c r="I59" t="s">
        <v>26</v>
      </c>
      <c r="J59">
        <v>17</v>
      </c>
      <c r="K59">
        <v>32569</v>
      </c>
      <c r="L59">
        <f>Tabla24[[#This Row],[Precio_Unitario]]*Tabla24[[#This Row],[Unidades_Vendidas]]</f>
        <v>553673</v>
      </c>
      <c r="M59" t="s">
        <v>27</v>
      </c>
    </row>
    <row r="60" spans="1:13" x14ac:dyDescent="0.25">
      <c r="A60" t="s">
        <v>89</v>
      </c>
      <c r="B60" t="str">
        <f>TEXT(Tabla24[[#This Row],[Fecha]],"dddd")</f>
        <v>lunes</v>
      </c>
      <c r="C60" t="str">
        <f>TEXT(Tabla24[[#This Row],[Fecha]],"mmmm")</f>
        <v>agosto</v>
      </c>
      <c r="D60" t="str">
        <f>TEXT(Tabla24[[#This Row],[Fecha]],"aaaa")</f>
        <v>2024</v>
      </c>
      <c r="E60" t="s">
        <v>18</v>
      </c>
      <c r="F60" t="s">
        <v>34</v>
      </c>
      <c r="G60" t="s">
        <v>39</v>
      </c>
      <c r="H60" t="s">
        <v>19</v>
      </c>
      <c r="I60" t="s">
        <v>26</v>
      </c>
      <c r="J60">
        <v>18</v>
      </c>
      <c r="K60">
        <v>39218</v>
      </c>
      <c r="L60">
        <f>Tabla24[[#This Row],[Precio_Unitario]]*Tabla24[[#This Row],[Unidades_Vendidas]]</f>
        <v>705924</v>
      </c>
      <c r="M60" t="s">
        <v>20</v>
      </c>
    </row>
    <row r="61" spans="1:13" x14ac:dyDescent="0.25">
      <c r="A61" t="s">
        <v>91</v>
      </c>
      <c r="B61" t="str">
        <f>TEXT(Tabla24[[#This Row],[Fecha]],"dddd")</f>
        <v>jueves</v>
      </c>
      <c r="C61" t="str">
        <f>TEXT(Tabla24[[#This Row],[Fecha]],"mmmm")</f>
        <v>septiembre</v>
      </c>
      <c r="D61" t="str">
        <f>TEXT(Tabla24[[#This Row],[Fecha]],"aaaa")</f>
        <v>2024</v>
      </c>
      <c r="E61" t="s">
        <v>18</v>
      </c>
      <c r="F61" t="s">
        <v>29</v>
      </c>
      <c r="G61" t="s">
        <v>39</v>
      </c>
      <c r="H61" t="s">
        <v>14</v>
      </c>
      <c r="I61" t="s">
        <v>26</v>
      </c>
      <c r="J61">
        <v>3</v>
      </c>
      <c r="K61">
        <v>24050</v>
      </c>
      <c r="L61">
        <f>Tabla24[[#This Row],[Precio_Unitario]]*Tabla24[[#This Row],[Unidades_Vendidas]]</f>
        <v>72150</v>
      </c>
      <c r="M61" t="s">
        <v>20</v>
      </c>
    </row>
    <row r="62" spans="1:13" x14ac:dyDescent="0.25">
      <c r="A62" t="s">
        <v>28</v>
      </c>
      <c r="B62" t="str">
        <f>TEXT(Tabla24[[#This Row],[Fecha]],"dddd")</f>
        <v>jueves</v>
      </c>
      <c r="C62" t="str">
        <f>TEXT(Tabla24[[#This Row],[Fecha]],"mmmm")</f>
        <v>agosto</v>
      </c>
      <c r="D62" t="str">
        <f>TEXT(Tabla24[[#This Row],[Fecha]],"aaaa")</f>
        <v>2024</v>
      </c>
      <c r="E62" t="s">
        <v>42</v>
      </c>
      <c r="F62" t="s">
        <v>29</v>
      </c>
      <c r="G62" t="s">
        <v>39</v>
      </c>
      <c r="H62" t="s">
        <v>25</v>
      </c>
      <c r="I62" t="s">
        <v>15</v>
      </c>
      <c r="J62">
        <v>1</v>
      </c>
      <c r="K62">
        <v>26544</v>
      </c>
      <c r="L62">
        <f>Tabla24[[#This Row],[Precio_Unitario]]*Tabla24[[#This Row],[Unidades_Vendidas]]</f>
        <v>26544</v>
      </c>
      <c r="M62" t="s">
        <v>36</v>
      </c>
    </row>
    <row r="63" spans="1:13" x14ac:dyDescent="0.25">
      <c r="A63" t="s">
        <v>92</v>
      </c>
      <c r="B63" t="str">
        <f>TEXT(Tabla24[[#This Row],[Fecha]],"dddd")</f>
        <v>viernes</v>
      </c>
      <c r="C63" t="str">
        <f>TEXT(Tabla24[[#This Row],[Fecha]],"mmmm")</f>
        <v>julio</v>
      </c>
      <c r="D63" t="str">
        <f>TEXT(Tabla24[[#This Row],[Fecha]],"aaaa")</f>
        <v>2024</v>
      </c>
      <c r="E63" t="s">
        <v>42</v>
      </c>
      <c r="F63" t="s">
        <v>29</v>
      </c>
      <c r="G63" t="s">
        <v>48</v>
      </c>
      <c r="H63" t="s">
        <v>25</v>
      </c>
      <c r="I63" t="s">
        <v>15</v>
      </c>
      <c r="J63">
        <v>17</v>
      </c>
      <c r="K63">
        <v>28648</v>
      </c>
      <c r="L63">
        <f>Tabla24[[#This Row],[Precio_Unitario]]*Tabla24[[#This Row],[Unidades_Vendidas]]</f>
        <v>487016</v>
      </c>
      <c r="M63" t="s">
        <v>36</v>
      </c>
    </row>
    <row r="64" spans="1:13" x14ac:dyDescent="0.25">
      <c r="A64" t="s">
        <v>89</v>
      </c>
      <c r="B64" t="str">
        <f>TEXT(Tabla24[[#This Row],[Fecha]],"dddd")</f>
        <v>lunes</v>
      </c>
      <c r="C64" t="str">
        <f>TEXT(Tabla24[[#This Row],[Fecha]],"mmmm")</f>
        <v>agosto</v>
      </c>
      <c r="D64" t="str">
        <f>TEXT(Tabla24[[#This Row],[Fecha]],"aaaa")</f>
        <v>2024</v>
      </c>
      <c r="E64" t="s">
        <v>11</v>
      </c>
      <c r="F64" t="s">
        <v>29</v>
      </c>
      <c r="G64" t="s">
        <v>24</v>
      </c>
      <c r="H64" t="s">
        <v>25</v>
      </c>
      <c r="I64" t="s">
        <v>15</v>
      </c>
      <c r="J64">
        <v>4</v>
      </c>
      <c r="K64">
        <v>30145</v>
      </c>
      <c r="L64">
        <f>Tabla24[[#This Row],[Precio_Unitario]]*Tabla24[[#This Row],[Unidades_Vendidas]]</f>
        <v>120580</v>
      </c>
      <c r="M64" t="s">
        <v>20</v>
      </c>
    </row>
    <row r="65" spans="1:13" x14ac:dyDescent="0.25">
      <c r="A65" t="s">
        <v>93</v>
      </c>
      <c r="B65" t="str">
        <f>TEXT(Tabla24[[#This Row],[Fecha]],"dddd")</f>
        <v>sábado</v>
      </c>
      <c r="C65" t="str">
        <f>TEXT(Tabla24[[#This Row],[Fecha]],"mmmm")</f>
        <v>marzo</v>
      </c>
      <c r="D65" t="str">
        <f>TEXT(Tabla24[[#This Row],[Fecha]],"aaaa")</f>
        <v>2024</v>
      </c>
      <c r="E65" t="s">
        <v>22</v>
      </c>
      <c r="F65" t="s">
        <v>34</v>
      </c>
      <c r="G65" t="s">
        <v>24</v>
      </c>
      <c r="H65" t="s">
        <v>30</v>
      </c>
      <c r="I65" t="s">
        <v>26</v>
      </c>
      <c r="J65">
        <v>18</v>
      </c>
      <c r="K65">
        <v>31250</v>
      </c>
      <c r="L65">
        <f>Tabla24[[#This Row],[Precio_Unitario]]*Tabla24[[#This Row],[Unidades_Vendidas]]</f>
        <v>562500</v>
      </c>
      <c r="M65" t="s">
        <v>36</v>
      </c>
    </row>
    <row r="66" spans="1:13" x14ac:dyDescent="0.25">
      <c r="A66" t="s">
        <v>94</v>
      </c>
      <c r="B66" t="str">
        <f>TEXT(Tabla24[[#This Row],[Fecha]],"dddd")</f>
        <v>miércoles</v>
      </c>
      <c r="C66" t="str">
        <f>TEXT(Tabla24[[#This Row],[Fecha]],"mmmm")</f>
        <v>mayo</v>
      </c>
      <c r="D66" t="str">
        <f>TEXT(Tabla24[[#This Row],[Fecha]],"aaaa")</f>
        <v>2024</v>
      </c>
      <c r="E66" t="s">
        <v>33</v>
      </c>
      <c r="F66" t="s">
        <v>34</v>
      </c>
      <c r="G66" t="s">
        <v>48</v>
      </c>
      <c r="H66" t="s">
        <v>30</v>
      </c>
      <c r="I66" t="s">
        <v>40</v>
      </c>
      <c r="J66">
        <v>19</v>
      </c>
      <c r="K66">
        <v>57227</v>
      </c>
      <c r="L66">
        <f>Tabla24[[#This Row],[Precio_Unitario]]*Tabla24[[#This Row],[Unidades_Vendidas]]</f>
        <v>1087313</v>
      </c>
      <c r="M66" t="s">
        <v>16</v>
      </c>
    </row>
    <row r="67" spans="1:13" x14ac:dyDescent="0.25">
      <c r="A67" t="s">
        <v>89</v>
      </c>
      <c r="B67" t="str">
        <f>TEXT(Tabla24[[#This Row],[Fecha]],"dddd")</f>
        <v>lunes</v>
      </c>
      <c r="C67" t="str">
        <f>TEXT(Tabla24[[#This Row],[Fecha]],"mmmm")</f>
        <v>agosto</v>
      </c>
      <c r="D67" t="str">
        <f>TEXT(Tabla24[[#This Row],[Fecha]],"aaaa")</f>
        <v>2024</v>
      </c>
      <c r="E67" t="s">
        <v>18</v>
      </c>
      <c r="F67" t="s">
        <v>34</v>
      </c>
      <c r="G67" t="s">
        <v>48</v>
      </c>
      <c r="H67" t="s">
        <v>19</v>
      </c>
      <c r="I67" t="s">
        <v>26</v>
      </c>
      <c r="J67">
        <v>1</v>
      </c>
      <c r="K67">
        <v>29951</v>
      </c>
      <c r="L67">
        <f>Tabla24[[#This Row],[Precio_Unitario]]*Tabla24[[#This Row],[Unidades_Vendidas]]</f>
        <v>29951</v>
      </c>
      <c r="M67" t="s">
        <v>16</v>
      </c>
    </row>
    <row r="68" spans="1:13" x14ac:dyDescent="0.25">
      <c r="A68" t="s">
        <v>95</v>
      </c>
      <c r="B68" t="str">
        <f>TEXT(Tabla24[[#This Row],[Fecha]],"dddd")</f>
        <v>jueves</v>
      </c>
      <c r="C68" t="str">
        <f>TEXT(Tabla24[[#This Row],[Fecha]],"mmmm")</f>
        <v>abril</v>
      </c>
      <c r="D68" t="str">
        <f>TEXT(Tabla24[[#This Row],[Fecha]],"aaaa")</f>
        <v>2024</v>
      </c>
      <c r="E68" t="s">
        <v>22</v>
      </c>
      <c r="F68" t="s">
        <v>12</v>
      </c>
      <c r="G68" t="s">
        <v>48</v>
      </c>
      <c r="H68" t="s">
        <v>19</v>
      </c>
      <c r="I68" t="s">
        <v>26</v>
      </c>
      <c r="J68">
        <v>10</v>
      </c>
      <c r="K68">
        <v>32728</v>
      </c>
      <c r="L68">
        <f>Tabla24[[#This Row],[Precio_Unitario]]*Tabla24[[#This Row],[Unidades_Vendidas]]</f>
        <v>327280</v>
      </c>
      <c r="M68" t="s">
        <v>16</v>
      </c>
    </row>
    <row r="69" spans="1:13" x14ac:dyDescent="0.25">
      <c r="A69" t="s">
        <v>96</v>
      </c>
      <c r="B69" t="str">
        <f>TEXT(Tabla24[[#This Row],[Fecha]],"dddd")</f>
        <v>domingo</v>
      </c>
      <c r="C69" t="str">
        <f>TEXT(Tabla24[[#This Row],[Fecha]],"mmmm")</f>
        <v>agosto</v>
      </c>
      <c r="D69" t="str">
        <f>TEXT(Tabla24[[#This Row],[Fecha]],"aaaa")</f>
        <v>2024</v>
      </c>
      <c r="E69" t="s">
        <v>42</v>
      </c>
      <c r="F69" t="s">
        <v>29</v>
      </c>
      <c r="G69" t="s">
        <v>13</v>
      </c>
      <c r="H69" t="s">
        <v>35</v>
      </c>
      <c r="I69" t="s">
        <v>15</v>
      </c>
      <c r="J69">
        <v>14</v>
      </c>
      <c r="K69">
        <v>49766</v>
      </c>
      <c r="L69">
        <f>Tabla24[[#This Row],[Precio_Unitario]]*Tabla24[[#This Row],[Unidades_Vendidas]]</f>
        <v>696724</v>
      </c>
      <c r="M69" t="s">
        <v>27</v>
      </c>
    </row>
    <row r="70" spans="1:13" x14ac:dyDescent="0.25">
      <c r="A70" t="s">
        <v>97</v>
      </c>
      <c r="B70" t="str">
        <f>TEXT(Tabla24[[#This Row],[Fecha]],"dddd")</f>
        <v>lunes</v>
      </c>
      <c r="C70" t="str">
        <f>TEXT(Tabla24[[#This Row],[Fecha]],"mmmm")</f>
        <v>julio</v>
      </c>
      <c r="D70" t="str">
        <f>TEXT(Tabla24[[#This Row],[Fecha]],"aaaa")</f>
        <v>2024</v>
      </c>
      <c r="E70" t="s">
        <v>18</v>
      </c>
      <c r="F70" t="s">
        <v>38</v>
      </c>
      <c r="G70" t="s">
        <v>48</v>
      </c>
      <c r="H70" t="s">
        <v>25</v>
      </c>
      <c r="I70" t="s">
        <v>26</v>
      </c>
      <c r="J70">
        <v>7</v>
      </c>
      <c r="K70">
        <v>21425</v>
      </c>
      <c r="L70">
        <f>Tabla24[[#This Row],[Precio_Unitario]]*Tabla24[[#This Row],[Unidades_Vendidas]]</f>
        <v>149975</v>
      </c>
      <c r="M70" t="s">
        <v>20</v>
      </c>
    </row>
    <row r="71" spans="1:13" x14ac:dyDescent="0.25">
      <c r="A71" t="s">
        <v>98</v>
      </c>
      <c r="B71" t="str">
        <f>TEXT(Tabla24[[#This Row],[Fecha]],"dddd")</f>
        <v>miércoles</v>
      </c>
      <c r="C71" t="str">
        <f>TEXT(Tabla24[[#This Row],[Fecha]],"mmmm")</f>
        <v>mayo</v>
      </c>
      <c r="D71" t="str">
        <f>TEXT(Tabla24[[#This Row],[Fecha]],"aaaa")</f>
        <v>2024</v>
      </c>
      <c r="E71" t="s">
        <v>22</v>
      </c>
      <c r="F71" t="s">
        <v>12</v>
      </c>
      <c r="G71" t="s">
        <v>39</v>
      </c>
      <c r="H71" t="s">
        <v>25</v>
      </c>
      <c r="I71" t="s">
        <v>40</v>
      </c>
      <c r="J71">
        <v>18</v>
      </c>
      <c r="K71">
        <v>39067</v>
      </c>
      <c r="L71">
        <f>Tabla24[[#This Row],[Precio_Unitario]]*Tabla24[[#This Row],[Unidades_Vendidas]]</f>
        <v>703206</v>
      </c>
      <c r="M71" t="s">
        <v>16</v>
      </c>
    </row>
    <row r="72" spans="1:13" x14ac:dyDescent="0.25">
      <c r="A72" t="s">
        <v>99</v>
      </c>
      <c r="B72" t="str">
        <f>TEXT(Tabla24[[#This Row],[Fecha]],"dddd")</f>
        <v>martes</v>
      </c>
      <c r="C72" t="str">
        <f>TEXT(Tabla24[[#This Row],[Fecha]],"mmmm")</f>
        <v>abril</v>
      </c>
      <c r="D72" t="str">
        <f>TEXT(Tabla24[[#This Row],[Fecha]],"aaaa")</f>
        <v>2024</v>
      </c>
      <c r="E72" t="s">
        <v>18</v>
      </c>
      <c r="F72" t="s">
        <v>12</v>
      </c>
      <c r="G72" t="s">
        <v>13</v>
      </c>
      <c r="H72" t="s">
        <v>14</v>
      </c>
      <c r="I72" t="s">
        <v>40</v>
      </c>
      <c r="J72">
        <v>11</v>
      </c>
      <c r="K72">
        <v>40720</v>
      </c>
      <c r="L72">
        <f>Tabla24[[#This Row],[Precio_Unitario]]*Tabla24[[#This Row],[Unidades_Vendidas]]</f>
        <v>447920</v>
      </c>
      <c r="M72" t="s">
        <v>27</v>
      </c>
    </row>
    <row r="73" spans="1:13" x14ac:dyDescent="0.25">
      <c r="A73" t="s">
        <v>100</v>
      </c>
      <c r="B73" t="str">
        <f>TEXT(Tabla24[[#This Row],[Fecha]],"dddd")</f>
        <v>jueves</v>
      </c>
      <c r="C73" t="str">
        <f>TEXT(Tabla24[[#This Row],[Fecha]],"mmmm")</f>
        <v>junio</v>
      </c>
      <c r="D73" t="str">
        <f>TEXT(Tabla24[[#This Row],[Fecha]],"aaaa")</f>
        <v>2024</v>
      </c>
      <c r="E73" t="s">
        <v>42</v>
      </c>
      <c r="F73" t="s">
        <v>34</v>
      </c>
      <c r="G73" t="s">
        <v>39</v>
      </c>
      <c r="H73" t="s">
        <v>25</v>
      </c>
      <c r="I73" t="s">
        <v>15</v>
      </c>
      <c r="J73">
        <v>19</v>
      </c>
      <c r="K73">
        <v>19603</v>
      </c>
      <c r="L73">
        <f>Tabla24[[#This Row],[Precio_Unitario]]*Tabla24[[#This Row],[Unidades_Vendidas]]</f>
        <v>372457</v>
      </c>
      <c r="M73" t="s">
        <v>36</v>
      </c>
    </row>
    <row r="74" spans="1:13" x14ac:dyDescent="0.25">
      <c r="A74" t="s">
        <v>101</v>
      </c>
      <c r="B74" t="str">
        <f>TEXT(Tabla24[[#This Row],[Fecha]],"dddd")</f>
        <v>miércoles</v>
      </c>
      <c r="C74" t="str">
        <f>TEXT(Tabla24[[#This Row],[Fecha]],"mmmm")</f>
        <v>diciembre</v>
      </c>
      <c r="D74" t="str">
        <f>TEXT(Tabla24[[#This Row],[Fecha]],"aaaa")</f>
        <v>2024</v>
      </c>
      <c r="E74" t="s">
        <v>11</v>
      </c>
      <c r="F74" t="s">
        <v>34</v>
      </c>
      <c r="G74" t="s">
        <v>24</v>
      </c>
      <c r="H74" t="s">
        <v>35</v>
      </c>
      <c r="I74" t="s">
        <v>15</v>
      </c>
      <c r="J74">
        <v>20</v>
      </c>
      <c r="K74">
        <v>17880</v>
      </c>
      <c r="L74">
        <f>Tabla24[[#This Row],[Precio_Unitario]]*Tabla24[[#This Row],[Unidades_Vendidas]]</f>
        <v>357600</v>
      </c>
      <c r="M74" t="s">
        <v>20</v>
      </c>
    </row>
    <row r="75" spans="1:13" x14ac:dyDescent="0.25">
      <c r="A75" t="s">
        <v>102</v>
      </c>
      <c r="B75" t="str">
        <f>TEXT(Tabla24[[#This Row],[Fecha]],"dddd")</f>
        <v>viernes</v>
      </c>
      <c r="C75" t="str">
        <f>TEXT(Tabla24[[#This Row],[Fecha]],"mmmm")</f>
        <v>noviembre</v>
      </c>
      <c r="D75" t="str">
        <f>TEXT(Tabla24[[#This Row],[Fecha]],"aaaa")</f>
        <v>2024</v>
      </c>
      <c r="E75" t="s">
        <v>18</v>
      </c>
      <c r="F75" t="s">
        <v>29</v>
      </c>
      <c r="G75" t="s">
        <v>44</v>
      </c>
      <c r="H75" t="s">
        <v>25</v>
      </c>
      <c r="I75" t="s">
        <v>40</v>
      </c>
      <c r="J75">
        <v>18</v>
      </c>
      <c r="K75">
        <v>40428</v>
      </c>
      <c r="L75">
        <f>Tabla24[[#This Row],[Precio_Unitario]]*Tabla24[[#This Row],[Unidades_Vendidas]]</f>
        <v>727704</v>
      </c>
      <c r="M75" t="s">
        <v>36</v>
      </c>
    </row>
    <row r="76" spans="1:13" x14ac:dyDescent="0.25">
      <c r="A76" t="s">
        <v>103</v>
      </c>
      <c r="B76" t="str">
        <f>TEXT(Tabla24[[#This Row],[Fecha]],"dddd")</f>
        <v>martes</v>
      </c>
      <c r="C76" t="str">
        <f>TEXT(Tabla24[[#This Row],[Fecha]],"mmmm")</f>
        <v>febrero</v>
      </c>
      <c r="D76" t="str">
        <f>TEXT(Tabla24[[#This Row],[Fecha]],"aaaa")</f>
        <v>2024</v>
      </c>
      <c r="E76" t="s">
        <v>18</v>
      </c>
      <c r="F76" t="s">
        <v>23</v>
      </c>
      <c r="G76" t="s">
        <v>13</v>
      </c>
      <c r="H76" t="s">
        <v>30</v>
      </c>
      <c r="I76" t="s">
        <v>15</v>
      </c>
      <c r="J76">
        <v>8</v>
      </c>
      <c r="K76">
        <v>42707</v>
      </c>
      <c r="L76">
        <f>Tabla24[[#This Row],[Precio_Unitario]]*Tabla24[[#This Row],[Unidades_Vendidas]]</f>
        <v>341656</v>
      </c>
      <c r="M76" t="s">
        <v>20</v>
      </c>
    </row>
    <row r="77" spans="1:13" x14ac:dyDescent="0.25">
      <c r="A77" t="s">
        <v>104</v>
      </c>
      <c r="B77" t="str">
        <f>TEXT(Tabla24[[#This Row],[Fecha]],"dddd")</f>
        <v>domingo</v>
      </c>
      <c r="C77" t="str">
        <f>TEXT(Tabla24[[#This Row],[Fecha]],"mmmm")</f>
        <v>octubre</v>
      </c>
      <c r="D77" t="str">
        <f>TEXT(Tabla24[[#This Row],[Fecha]],"aaaa")</f>
        <v>2024</v>
      </c>
      <c r="E77" t="s">
        <v>33</v>
      </c>
      <c r="F77" t="s">
        <v>34</v>
      </c>
      <c r="G77" t="s">
        <v>13</v>
      </c>
      <c r="H77" t="s">
        <v>25</v>
      </c>
      <c r="I77" t="s">
        <v>40</v>
      </c>
      <c r="J77">
        <v>4</v>
      </c>
      <c r="K77">
        <v>54728</v>
      </c>
      <c r="L77">
        <f>Tabla24[[#This Row],[Precio_Unitario]]*Tabla24[[#This Row],[Unidades_Vendidas]]</f>
        <v>218912</v>
      </c>
      <c r="M77" t="s">
        <v>16</v>
      </c>
    </row>
    <row r="78" spans="1:13" x14ac:dyDescent="0.25">
      <c r="A78" t="s">
        <v>105</v>
      </c>
      <c r="B78" t="str">
        <f>TEXT(Tabla24[[#This Row],[Fecha]],"dddd")</f>
        <v>martes</v>
      </c>
      <c r="C78" t="str">
        <f>TEXT(Tabla24[[#This Row],[Fecha]],"mmmm")</f>
        <v>enero</v>
      </c>
      <c r="D78" t="str">
        <f>TEXT(Tabla24[[#This Row],[Fecha]],"aaaa")</f>
        <v>2024</v>
      </c>
      <c r="E78" t="s">
        <v>33</v>
      </c>
      <c r="F78" t="s">
        <v>29</v>
      </c>
      <c r="G78" t="s">
        <v>13</v>
      </c>
      <c r="H78" t="s">
        <v>30</v>
      </c>
      <c r="I78" t="s">
        <v>15</v>
      </c>
      <c r="J78">
        <v>8</v>
      </c>
      <c r="K78">
        <v>48522</v>
      </c>
      <c r="L78">
        <f>Tabla24[[#This Row],[Precio_Unitario]]*Tabla24[[#This Row],[Unidades_Vendidas]]</f>
        <v>388176</v>
      </c>
      <c r="M78" t="s">
        <v>27</v>
      </c>
    </row>
    <row r="79" spans="1:13" x14ac:dyDescent="0.25">
      <c r="A79" t="s">
        <v>106</v>
      </c>
      <c r="B79" t="str">
        <f>TEXT(Tabla24[[#This Row],[Fecha]],"dddd")</f>
        <v>domingo</v>
      </c>
      <c r="C79" t="str">
        <f>TEXT(Tabla24[[#This Row],[Fecha]],"mmmm")</f>
        <v>diciembre</v>
      </c>
      <c r="D79" t="str">
        <f>TEXT(Tabla24[[#This Row],[Fecha]],"aaaa")</f>
        <v>2024</v>
      </c>
      <c r="E79" t="s">
        <v>11</v>
      </c>
      <c r="F79" t="s">
        <v>38</v>
      </c>
      <c r="G79" t="s">
        <v>48</v>
      </c>
      <c r="H79" t="s">
        <v>30</v>
      </c>
      <c r="I79" t="s">
        <v>40</v>
      </c>
      <c r="J79">
        <v>6</v>
      </c>
      <c r="K79">
        <v>35637</v>
      </c>
      <c r="L79">
        <f>Tabla24[[#This Row],[Precio_Unitario]]*Tabla24[[#This Row],[Unidades_Vendidas]]</f>
        <v>213822</v>
      </c>
      <c r="M79" t="s">
        <v>36</v>
      </c>
    </row>
    <row r="80" spans="1:13" x14ac:dyDescent="0.25">
      <c r="A80" t="s">
        <v>107</v>
      </c>
      <c r="B80" t="str">
        <f>TEXT(Tabla24[[#This Row],[Fecha]],"dddd")</f>
        <v>miércoles</v>
      </c>
      <c r="C80" t="str">
        <f>TEXT(Tabla24[[#This Row],[Fecha]],"mmmm")</f>
        <v>diciembre</v>
      </c>
      <c r="D80" t="str">
        <f>TEXT(Tabla24[[#This Row],[Fecha]],"aaaa")</f>
        <v>2024</v>
      </c>
      <c r="E80" t="s">
        <v>11</v>
      </c>
      <c r="F80" t="s">
        <v>12</v>
      </c>
      <c r="G80" t="s">
        <v>44</v>
      </c>
      <c r="H80" t="s">
        <v>30</v>
      </c>
      <c r="I80" t="s">
        <v>40</v>
      </c>
      <c r="J80">
        <v>2</v>
      </c>
      <c r="K80">
        <v>37526</v>
      </c>
      <c r="L80">
        <f>Tabla24[[#This Row],[Precio_Unitario]]*Tabla24[[#This Row],[Unidades_Vendidas]]</f>
        <v>75052</v>
      </c>
      <c r="M80" t="s">
        <v>27</v>
      </c>
    </row>
    <row r="81" spans="1:13" x14ac:dyDescent="0.25">
      <c r="A81" t="s">
        <v>108</v>
      </c>
      <c r="B81" t="str">
        <f>TEXT(Tabla24[[#This Row],[Fecha]],"dddd")</f>
        <v>viernes</v>
      </c>
      <c r="C81" t="str">
        <f>TEXT(Tabla24[[#This Row],[Fecha]],"mmmm")</f>
        <v>marzo</v>
      </c>
      <c r="D81" t="str">
        <f>TEXT(Tabla24[[#This Row],[Fecha]],"aaaa")</f>
        <v>2024</v>
      </c>
      <c r="E81" t="s">
        <v>22</v>
      </c>
      <c r="F81" t="s">
        <v>38</v>
      </c>
      <c r="G81" t="s">
        <v>44</v>
      </c>
      <c r="H81" t="s">
        <v>25</v>
      </c>
      <c r="I81" t="s">
        <v>15</v>
      </c>
      <c r="J81">
        <v>7</v>
      </c>
      <c r="K81">
        <v>16124</v>
      </c>
      <c r="L81">
        <f>Tabla24[[#This Row],[Precio_Unitario]]*Tabla24[[#This Row],[Unidades_Vendidas]]</f>
        <v>112868</v>
      </c>
      <c r="M81" t="s">
        <v>36</v>
      </c>
    </row>
    <row r="82" spans="1:13" x14ac:dyDescent="0.25">
      <c r="A82" t="s">
        <v>109</v>
      </c>
      <c r="B82" t="str">
        <f>TEXT(Tabla24[[#This Row],[Fecha]],"dddd")</f>
        <v>miércoles</v>
      </c>
      <c r="C82" t="str">
        <f>TEXT(Tabla24[[#This Row],[Fecha]],"mmmm")</f>
        <v>mayo</v>
      </c>
      <c r="D82" t="str">
        <f>TEXT(Tabla24[[#This Row],[Fecha]],"aaaa")</f>
        <v>2024</v>
      </c>
      <c r="E82" t="s">
        <v>22</v>
      </c>
      <c r="F82" t="s">
        <v>12</v>
      </c>
      <c r="G82" t="s">
        <v>39</v>
      </c>
      <c r="H82" t="s">
        <v>25</v>
      </c>
      <c r="I82" t="s">
        <v>26</v>
      </c>
      <c r="J82">
        <v>15</v>
      </c>
      <c r="K82">
        <v>36949</v>
      </c>
      <c r="L82">
        <f>Tabla24[[#This Row],[Precio_Unitario]]*Tabla24[[#This Row],[Unidades_Vendidas]]</f>
        <v>554235</v>
      </c>
      <c r="M82" t="s">
        <v>27</v>
      </c>
    </row>
    <row r="83" spans="1:13" x14ac:dyDescent="0.25">
      <c r="A83" t="s">
        <v>110</v>
      </c>
      <c r="B83" t="str">
        <f>TEXT(Tabla24[[#This Row],[Fecha]],"dddd")</f>
        <v>martes</v>
      </c>
      <c r="C83" t="str">
        <f>TEXT(Tabla24[[#This Row],[Fecha]],"mmmm")</f>
        <v>enero</v>
      </c>
      <c r="D83" t="str">
        <f>TEXT(Tabla24[[#This Row],[Fecha]],"aaaa")</f>
        <v>2024</v>
      </c>
      <c r="E83" t="s">
        <v>11</v>
      </c>
      <c r="F83" t="s">
        <v>34</v>
      </c>
      <c r="G83" t="s">
        <v>13</v>
      </c>
      <c r="H83" t="s">
        <v>25</v>
      </c>
      <c r="I83" t="s">
        <v>15</v>
      </c>
      <c r="J83">
        <v>2</v>
      </c>
      <c r="K83">
        <v>25558</v>
      </c>
      <c r="L83">
        <f>Tabla24[[#This Row],[Precio_Unitario]]*Tabla24[[#This Row],[Unidades_Vendidas]]</f>
        <v>51116</v>
      </c>
      <c r="M83" t="s">
        <v>36</v>
      </c>
    </row>
    <row r="84" spans="1:13" x14ac:dyDescent="0.25">
      <c r="A84" t="s">
        <v>111</v>
      </c>
      <c r="B84" t="str">
        <f>TEXT(Tabla24[[#This Row],[Fecha]],"dddd")</f>
        <v>jueves</v>
      </c>
      <c r="C84" t="str">
        <f>TEXT(Tabla24[[#This Row],[Fecha]],"mmmm")</f>
        <v>abril</v>
      </c>
      <c r="D84" t="str">
        <f>TEXT(Tabla24[[#This Row],[Fecha]],"aaaa")</f>
        <v>2024</v>
      </c>
      <c r="E84" t="s">
        <v>18</v>
      </c>
      <c r="F84" t="s">
        <v>29</v>
      </c>
      <c r="G84" t="s">
        <v>39</v>
      </c>
      <c r="H84" t="s">
        <v>25</v>
      </c>
      <c r="I84" t="s">
        <v>15</v>
      </c>
      <c r="J84">
        <v>10</v>
      </c>
      <c r="K84">
        <v>35045</v>
      </c>
      <c r="L84">
        <f>Tabla24[[#This Row],[Precio_Unitario]]*Tabla24[[#This Row],[Unidades_Vendidas]]</f>
        <v>350450</v>
      </c>
      <c r="M84" t="s">
        <v>20</v>
      </c>
    </row>
    <row r="85" spans="1:13" x14ac:dyDescent="0.25">
      <c r="A85" t="s">
        <v>112</v>
      </c>
      <c r="B85" t="str">
        <f>TEXT(Tabla24[[#This Row],[Fecha]],"dddd")</f>
        <v>viernes</v>
      </c>
      <c r="C85" t="str">
        <f>TEXT(Tabla24[[#This Row],[Fecha]],"mmmm")</f>
        <v>septiembre</v>
      </c>
      <c r="D85" t="str">
        <f>TEXT(Tabla24[[#This Row],[Fecha]],"aaaa")</f>
        <v>2024</v>
      </c>
      <c r="E85" t="s">
        <v>22</v>
      </c>
      <c r="F85" t="s">
        <v>12</v>
      </c>
      <c r="G85" t="s">
        <v>13</v>
      </c>
      <c r="H85" t="s">
        <v>30</v>
      </c>
      <c r="I85" t="s">
        <v>15</v>
      </c>
      <c r="J85">
        <v>5</v>
      </c>
      <c r="K85">
        <v>49985</v>
      </c>
      <c r="L85">
        <f>Tabla24[[#This Row],[Precio_Unitario]]*Tabla24[[#This Row],[Unidades_Vendidas]]</f>
        <v>249925</v>
      </c>
      <c r="M85" t="s">
        <v>20</v>
      </c>
    </row>
    <row r="86" spans="1:13" x14ac:dyDescent="0.25">
      <c r="A86" t="s">
        <v>113</v>
      </c>
      <c r="B86" t="str">
        <f>TEXT(Tabla24[[#This Row],[Fecha]],"dddd")</f>
        <v>viernes</v>
      </c>
      <c r="C86" t="str">
        <f>TEXT(Tabla24[[#This Row],[Fecha]],"mmmm")</f>
        <v>marzo</v>
      </c>
      <c r="D86" t="str">
        <f>TEXT(Tabla24[[#This Row],[Fecha]],"aaaa")</f>
        <v>2024</v>
      </c>
      <c r="E86" t="s">
        <v>18</v>
      </c>
      <c r="F86" t="s">
        <v>12</v>
      </c>
      <c r="G86" t="s">
        <v>24</v>
      </c>
      <c r="H86" t="s">
        <v>30</v>
      </c>
      <c r="I86" t="s">
        <v>15</v>
      </c>
      <c r="J86">
        <v>7</v>
      </c>
      <c r="K86">
        <v>32031</v>
      </c>
      <c r="L86">
        <f>Tabla24[[#This Row],[Precio_Unitario]]*Tabla24[[#This Row],[Unidades_Vendidas]]</f>
        <v>224217</v>
      </c>
      <c r="M86" t="s">
        <v>16</v>
      </c>
    </row>
    <row r="87" spans="1:13" x14ac:dyDescent="0.25">
      <c r="A87" t="s">
        <v>114</v>
      </c>
      <c r="B87" t="str">
        <f>TEXT(Tabla24[[#This Row],[Fecha]],"dddd")</f>
        <v>domingo</v>
      </c>
      <c r="C87" t="str">
        <f>TEXT(Tabla24[[#This Row],[Fecha]],"mmmm")</f>
        <v>junio</v>
      </c>
      <c r="D87" t="str">
        <f>TEXT(Tabla24[[#This Row],[Fecha]],"aaaa")</f>
        <v>2024</v>
      </c>
      <c r="E87" t="s">
        <v>33</v>
      </c>
      <c r="F87" t="s">
        <v>29</v>
      </c>
      <c r="G87" t="s">
        <v>48</v>
      </c>
      <c r="H87" t="s">
        <v>14</v>
      </c>
      <c r="I87" t="s">
        <v>40</v>
      </c>
      <c r="J87">
        <v>1</v>
      </c>
      <c r="K87">
        <v>55584</v>
      </c>
      <c r="L87">
        <f>Tabla24[[#This Row],[Precio_Unitario]]*Tabla24[[#This Row],[Unidades_Vendidas]]</f>
        <v>55584</v>
      </c>
      <c r="M87" t="s">
        <v>16</v>
      </c>
    </row>
    <row r="88" spans="1:13" x14ac:dyDescent="0.25">
      <c r="A88" t="s">
        <v>115</v>
      </c>
      <c r="B88" t="str">
        <f>TEXT(Tabla24[[#This Row],[Fecha]],"dddd")</f>
        <v>lunes</v>
      </c>
      <c r="C88" t="str">
        <f>TEXT(Tabla24[[#This Row],[Fecha]],"mmmm")</f>
        <v>agosto</v>
      </c>
      <c r="D88" t="str">
        <f>TEXT(Tabla24[[#This Row],[Fecha]],"aaaa")</f>
        <v>2024</v>
      </c>
      <c r="E88" t="s">
        <v>42</v>
      </c>
      <c r="F88" t="s">
        <v>23</v>
      </c>
      <c r="G88" t="s">
        <v>44</v>
      </c>
      <c r="H88" t="s">
        <v>19</v>
      </c>
      <c r="I88" t="s">
        <v>40</v>
      </c>
      <c r="J88">
        <v>8</v>
      </c>
      <c r="K88">
        <v>56825</v>
      </c>
      <c r="L88">
        <f>Tabla24[[#This Row],[Precio_Unitario]]*Tabla24[[#This Row],[Unidades_Vendidas]]</f>
        <v>454600</v>
      </c>
      <c r="M88" t="s">
        <v>36</v>
      </c>
    </row>
    <row r="89" spans="1:13" x14ac:dyDescent="0.25">
      <c r="A89" t="s">
        <v>116</v>
      </c>
      <c r="B89" t="str">
        <f>TEXT(Tabla24[[#This Row],[Fecha]],"dddd")</f>
        <v>martes</v>
      </c>
      <c r="C89" t="str">
        <f>TEXT(Tabla24[[#This Row],[Fecha]],"mmmm")</f>
        <v>mayo</v>
      </c>
      <c r="D89" t="str">
        <f>TEXT(Tabla24[[#This Row],[Fecha]],"aaaa")</f>
        <v>2024</v>
      </c>
      <c r="E89" t="s">
        <v>22</v>
      </c>
      <c r="F89" t="s">
        <v>38</v>
      </c>
      <c r="G89" t="s">
        <v>48</v>
      </c>
      <c r="H89" t="s">
        <v>30</v>
      </c>
      <c r="I89" t="s">
        <v>40</v>
      </c>
      <c r="J89">
        <v>13</v>
      </c>
      <c r="K89">
        <v>24871</v>
      </c>
      <c r="L89">
        <f>Tabla24[[#This Row],[Precio_Unitario]]*Tabla24[[#This Row],[Unidades_Vendidas]]</f>
        <v>323323</v>
      </c>
      <c r="M89" t="s">
        <v>36</v>
      </c>
    </row>
    <row r="90" spans="1:13" x14ac:dyDescent="0.25">
      <c r="A90" t="s">
        <v>117</v>
      </c>
      <c r="B90" t="str">
        <f>TEXT(Tabla24[[#This Row],[Fecha]],"dddd")</f>
        <v>domingo</v>
      </c>
      <c r="C90" t="str">
        <f>TEXT(Tabla24[[#This Row],[Fecha]],"mmmm")</f>
        <v>enero</v>
      </c>
      <c r="D90" t="str">
        <f>TEXT(Tabla24[[#This Row],[Fecha]],"aaaa")</f>
        <v>2024</v>
      </c>
      <c r="E90" t="s">
        <v>42</v>
      </c>
      <c r="F90" t="s">
        <v>34</v>
      </c>
      <c r="G90" t="s">
        <v>39</v>
      </c>
      <c r="H90" t="s">
        <v>19</v>
      </c>
      <c r="I90" t="s">
        <v>26</v>
      </c>
      <c r="J90">
        <v>1</v>
      </c>
      <c r="K90">
        <v>37138</v>
      </c>
      <c r="L90">
        <f>Tabla24[[#This Row],[Precio_Unitario]]*Tabla24[[#This Row],[Unidades_Vendidas]]</f>
        <v>37138</v>
      </c>
      <c r="M90" t="s">
        <v>36</v>
      </c>
    </row>
    <row r="91" spans="1:13" x14ac:dyDescent="0.25">
      <c r="A91" t="s">
        <v>118</v>
      </c>
      <c r="B91" t="str">
        <f>TEXT(Tabla24[[#This Row],[Fecha]],"dddd")</f>
        <v>jueves</v>
      </c>
      <c r="C91" t="str">
        <f>TEXT(Tabla24[[#This Row],[Fecha]],"mmmm")</f>
        <v>enero</v>
      </c>
      <c r="D91" t="str">
        <f>TEXT(Tabla24[[#This Row],[Fecha]],"aaaa")</f>
        <v>2024</v>
      </c>
      <c r="E91" t="s">
        <v>42</v>
      </c>
      <c r="F91" t="s">
        <v>29</v>
      </c>
      <c r="G91" t="s">
        <v>24</v>
      </c>
      <c r="H91" t="s">
        <v>35</v>
      </c>
      <c r="I91" t="s">
        <v>40</v>
      </c>
      <c r="J91">
        <v>18</v>
      </c>
      <c r="K91">
        <v>44145</v>
      </c>
      <c r="L91">
        <f>Tabla24[[#This Row],[Precio_Unitario]]*Tabla24[[#This Row],[Unidades_Vendidas]]</f>
        <v>794610</v>
      </c>
      <c r="M91" t="s">
        <v>27</v>
      </c>
    </row>
    <row r="92" spans="1:13" x14ac:dyDescent="0.25">
      <c r="A92" t="s">
        <v>54</v>
      </c>
      <c r="B92" t="str">
        <f>TEXT(Tabla24[[#This Row],[Fecha]],"dddd")</f>
        <v>sábado</v>
      </c>
      <c r="C92" t="str">
        <f>TEXT(Tabla24[[#This Row],[Fecha]],"mmmm")</f>
        <v>marzo</v>
      </c>
      <c r="D92" t="str">
        <f>TEXT(Tabla24[[#This Row],[Fecha]],"aaaa")</f>
        <v>2024</v>
      </c>
      <c r="E92" t="s">
        <v>11</v>
      </c>
      <c r="F92" t="s">
        <v>23</v>
      </c>
      <c r="G92" t="s">
        <v>24</v>
      </c>
      <c r="H92" t="s">
        <v>25</v>
      </c>
      <c r="I92" t="s">
        <v>15</v>
      </c>
      <c r="J92">
        <v>14</v>
      </c>
      <c r="K92">
        <v>27663</v>
      </c>
      <c r="L92">
        <f>Tabla24[[#This Row],[Precio_Unitario]]*Tabla24[[#This Row],[Unidades_Vendidas]]</f>
        <v>387282</v>
      </c>
      <c r="M92" t="s">
        <v>20</v>
      </c>
    </row>
    <row r="93" spans="1:13" x14ac:dyDescent="0.25">
      <c r="A93" t="s">
        <v>119</v>
      </c>
      <c r="B93" t="str">
        <f>TEXT(Tabla24[[#This Row],[Fecha]],"dddd")</f>
        <v>miércoles</v>
      </c>
      <c r="C93" t="str">
        <f>TEXT(Tabla24[[#This Row],[Fecha]],"mmmm")</f>
        <v>julio</v>
      </c>
      <c r="D93" t="str">
        <f>TEXT(Tabla24[[#This Row],[Fecha]],"aaaa")</f>
        <v>2024</v>
      </c>
      <c r="E93" t="s">
        <v>33</v>
      </c>
      <c r="F93" t="s">
        <v>23</v>
      </c>
      <c r="G93" t="s">
        <v>13</v>
      </c>
      <c r="H93" t="s">
        <v>35</v>
      </c>
      <c r="I93" t="s">
        <v>26</v>
      </c>
      <c r="J93">
        <v>13</v>
      </c>
      <c r="K93">
        <v>58976</v>
      </c>
      <c r="L93">
        <f>Tabla24[[#This Row],[Precio_Unitario]]*Tabla24[[#This Row],[Unidades_Vendidas]]</f>
        <v>766688</v>
      </c>
      <c r="M93" t="s">
        <v>16</v>
      </c>
    </row>
    <row r="94" spans="1:13" x14ac:dyDescent="0.25">
      <c r="A94" t="s">
        <v>120</v>
      </c>
      <c r="B94" t="str">
        <f>TEXT(Tabla24[[#This Row],[Fecha]],"dddd")</f>
        <v>lunes</v>
      </c>
      <c r="C94" t="str">
        <f>TEXT(Tabla24[[#This Row],[Fecha]],"mmmm")</f>
        <v>marzo</v>
      </c>
      <c r="D94" t="str">
        <f>TEXT(Tabla24[[#This Row],[Fecha]],"aaaa")</f>
        <v>2024</v>
      </c>
      <c r="E94" t="s">
        <v>22</v>
      </c>
      <c r="F94" t="s">
        <v>12</v>
      </c>
      <c r="G94" t="s">
        <v>44</v>
      </c>
      <c r="H94" t="s">
        <v>25</v>
      </c>
      <c r="I94" t="s">
        <v>26</v>
      </c>
      <c r="J94">
        <v>19</v>
      </c>
      <c r="K94">
        <v>42012</v>
      </c>
      <c r="L94">
        <f>Tabla24[[#This Row],[Precio_Unitario]]*Tabla24[[#This Row],[Unidades_Vendidas]]</f>
        <v>798228</v>
      </c>
      <c r="M94" t="s">
        <v>36</v>
      </c>
    </row>
    <row r="95" spans="1:13" x14ac:dyDescent="0.25">
      <c r="A95" t="s">
        <v>121</v>
      </c>
      <c r="B95" t="str">
        <f>TEXT(Tabla24[[#This Row],[Fecha]],"dddd")</f>
        <v>lunes</v>
      </c>
      <c r="C95" t="str">
        <f>TEXT(Tabla24[[#This Row],[Fecha]],"mmmm")</f>
        <v>agosto</v>
      </c>
      <c r="D95" t="str">
        <f>TEXT(Tabla24[[#This Row],[Fecha]],"aaaa")</f>
        <v>2024</v>
      </c>
      <c r="E95" t="s">
        <v>42</v>
      </c>
      <c r="F95" t="s">
        <v>38</v>
      </c>
      <c r="G95" t="s">
        <v>39</v>
      </c>
      <c r="H95" t="s">
        <v>30</v>
      </c>
      <c r="I95" t="s">
        <v>15</v>
      </c>
      <c r="J95">
        <v>17</v>
      </c>
      <c r="K95">
        <v>18660</v>
      </c>
      <c r="L95">
        <f>Tabla24[[#This Row],[Precio_Unitario]]*Tabla24[[#This Row],[Unidades_Vendidas]]</f>
        <v>317220</v>
      </c>
      <c r="M95" t="s">
        <v>20</v>
      </c>
    </row>
    <row r="96" spans="1:13" x14ac:dyDescent="0.25">
      <c r="A96" t="s">
        <v>122</v>
      </c>
      <c r="B96" t="str">
        <f>TEXT(Tabla24[[#This Row],[Fecha]],"dddd")</f>
        <v>viernes</v>
      </c>
      <c r="C96" t="str">
        <f>TEXT(Tabla24[[#This Row],[Fecha]],"mmmm")</f>
        <v>enero</v>
      </c>
      <c r="D96" t="str">
        <f>TEXT(Tabla24[[#This Row],[Fecha]],"aaaa")</f>
        <v>2024</v>
      </c>
      <c r="E96" t="s">
        <v>22</v>
      </c>
      <c r="F96" t="s">
        <v>29</v>
      </c>
      <c r="G96" t="s">
        <v>48</v>
      </c>
      <c r="H96" t="s">
        <v>35</v>
      </c>
      <c r="I96" t="s">
        <v>26</v>
      </c>
      <c r="J96">
        <v>8</v>
      </c>
      <c r="K96">
        <v>59405</v>
      </c>
      <c r="L96">
        <f>Tabla24[[#This Row],[Precio_Unitario]]*Tabla24[[#This Row],[Unidades_Vendidas]]</f>
        <v>475240</v>
      </c>
      <c r="M96" t="s">
        <v>36</v>
      </c>
    </row>
    <row r="97" spans="1:13" x14ac:dyDescent="0.25">
      <c r="A97" t="s">
        <v>123</v>
      </c>
      <c r="B97" t="str">
        <f>TEXT(Tabla24[[#This Row],[Fecha]],"dddd")</f>
        <v>lunes</v>
      </c>
      <c r="C97" t="str">
        <f>TEXT(Tabla24[[#This Row],[Fecha]],"mmmm")</f>
        <v>abril</v>
      </c>
      <c r="D97" t="str">
        <f>TEXT(Tabla24[[#This Row],[Fecha]],"aaaa")</f>
        <v>2024</v>
      </c>
      <c r="E97" t="s">
        <v>42</v>
      </c>
      <c r="F97" t="s">
        <v>12</v>
      </c>
      <c r="G97" t="s">
        <v>48</v>
      </c>
      <c r="H97" t="s">
        <v>19</v>
      </c>
      <c r="I97" t="s">
        <v>26</v>
      </c>
      <c r="J97">
        <v>1</v>
      </c>
      <c r="K97">
        <v>23213</v>
      </c>
      <c r="L97">
        <f>Tabla24[[#This Row],[Precio_Unitario]]*Tabla24[[#This Row],[Unidades_Vendidas]]</f>
        <v>23213</v>
      </c>
      <c r="M97" t="s">
        <v>27</v>
      </c>
    </row>
    <row r="98" spans="1:13" x14ac:dyDescent="0.25">
      <c r="A98" t="s">
        <v>81</v>
      </c>
      <c r="B98" t="str">
        <f>TEXT(Tabla24[[#This Row],[Fecha]],"dddd")</f>
        <v>sábado</v>
      </c>
      <c r="C98" t="str">
        <f>TEXT(Tabla24[[#This Row],[Fecha]],"mmmm")</f>
        <v>diciembre</v>
      </c>
      <c r="D98" t="str">
        <f>TEXT(Tabla24[[#This Row],[Fecha]],"aaaa")</f>
        <v>2024</v>
      </c>
      <c r="E98" t="s">
        <v>42</v>
      </c>
      <c r="F98" t="s">
        <v>34</v>
      </c>
      <c r="G98" t="s">
        <v>44</v>
      </c>
      <c r="H98" t="s">
        <v>25</v>
      </c>
      <c r="I98" t="s">
        <v>15</v>
      </c>
      <c r="J98">
        <v>10</v>
      </c>
      <c r="K98">
        <v>35343</v>
      </c>
      <c r="L98">
        <f>Tabla24[[#This Row],[Precio_Unitario]]*Tabla24[[#This Row],[Unidades_Vendidas]]</f>
        <v>353430</v>
      </c>
      <c r="M98" t="s">
        <v>16</v>
      </c>
    </row>
    <row r="99" spans="1:13" x14ac:dyDescent="0.25">
      <c r="A99" t="s">
        <v>123</v>
      </c>
      <c r="B99" t="str">
        <f>TEXT(Tabla24[[#This Row],[Fecha]],"dddd")</f>
        <v>lunes</v>
      </c>
      <c r="C99" t="str">
        <f>TEXT(Tabla24[[#This Row],[Fecha]],"mmmm")</f>
        <v>abril</v>
      </c>
      <c r="D99" t="str">
        <f>TEXT(Tabla24[[#This Row],[Fecha]],"aaaa")</f>
        <v>2024</v>
      </c>
      <c r="E99" t="s">
        <v>18</v>
      </c>
      <c r="F99" t="s">
        <v>38</v>
      </c>
      <c r="G99" t="s">
        <v>24</v>
      </c>
      <c r="H99" t="s">
        <v>14</v>
      </c>
      <c r="I99" t="s">
        <v>15</v>
      </c>
      <c r="J99">
        <v>13</v>
      </c>
      <c r="K99">
        <v>37599</v>
      </c>
      <c r="L99">
        <f>Tabla24[[#This Row],[Precio_Unitario]]*Tabla24[[#This Row],[Unidades_Vendidas]]</f>
        <v>488787</v>
      </c>
      <c r="M99" t="s">
        <v>20</v>
      </c>
    </row>
    <row r="100" spans="1:13" x14ac:dyDescent="0.25">
      <c r="A100" t="s">
        <v>124</v>
      </c>
      <c r="B100" t="str">
        <f>TEXT(Tabla24[[#This Row],[Fecha]],"dddd")</f>
        <v>sábado</v>
      </c>
      <c r="C100" t="str">
        <f>TEXT(Tabla24[[#This Row],[Fecha]],"mmmm")</f>
        <v>junio</v>
      </c>
      <c r="D100" t="str">
        <f>TEXT(Tabla24[[#This Row],[Fecha]],"aaaa")</f>
        <v>2024</v>
      </c>
      <c r="E100" t="s">
        <v>42</v>
      </c>
      <c r="F100" t="s">
        <v>29</v>
      </c>
      <c r="G100" t="s">
        <v>48</v>
      </c>
      <c r="H100" t="s">
        <v>25</v>
      </c>
      <c r="I100" t="s">
        <v>15</v>
      </c>
      <c r="J100">
        <v>20</v>
      </c>
      <c r="K100">
        <v>59994</v>
      </c>
      <c r="L100">
        <f>Tabla24[[#This Row],[Precio_Unitario]]*Tabla24[[#This Row],[Unidades_Vendidas]]</f>
        <v>1199880</v>
      </c>
      <c r="M100" t="s">
        <v>16</v>
      </c>
    </row>
    <row r="101" spans="1:13" x14ac:dyDescent="0.25">
      <c r="A101" t="s">
        <v>109</v>
      </c>
      <c r="B101" t="str">
        <f>TEXT(Tabla24[[#This Row],[Fecha]],"dddd")</f>
        <v>miércoles</v>
      </c>
      <c r="C101" t="str">
        <f>TEXT(Tabla24[[#This Row],[Fecha]],"mmmm")</f>
        <v>mayo</v>
      </c>
      <c r="D101" t="str">
        <f>TEXT(Tabla24[[#This Row],[Fecha]],"aaaa")</f>
        <v>2024</v>
      </c>
      <c r="E101" t="s">
        <v>42</v>
      </c>
      <c r="F101" t="s">
        <v>12</v>
      </c>
      <c r="G101" t="s">
        <v>39</v>
      </c>
      <c r="H101" t="s">
        <v>25</v>
      </c>
      <c r="I101" t="s">
        <v>26</v>
      </c>
      <c r="J101">
        <v>2</v>
      </c>
      <c r="K101">
        <v>59533</v>
      </c>
      <c r="L101">
        <f>Tabla24[[#This Row],[Precio_Unitario]]*Tabla24[[#This Row],[Unidades_Vendidas]]</f>
        <v>119066</v>
      </c>
      <c r="M101" t="s">
        <v>20</v>
      </c>
    </row>
    <row r="102" spans="1:13" x14ac:dyDescent="0.25">
      <c r="A102" t="s">
        <v>125</v>
      </c>
      <c r="B102" t="str">
        <f>TEXT(Tabla24[[#This Row],[Fecha]],"dddd")</f>
        <v>martes</v>
      </c>
      <c r="C102" t="str">
        <f>TEXT(Tabla24[[#This Row],[Fecha]],"mmmm")</f>
        <v>septiembre</v>
      </c>
      <c r="D102" t="str">
        <f>TEXT(Tabla24[[#This Row],[Fecha]],"aaaa")</f>
        <v>2024</v>
      </c>
      <c r="E102" t="s">
        <v>22</v>
      </c>
      <c r="F102" t="s">
        <v>12</v>
      </c>
      <c r="G102" t="s">
        <v>13</v>
      </c>
      <c r="H102" t="s">
        <v>25</v>
      </c>
      <c r="I102" t="s">
        <v>26</v>
      </c>
      <c r="J102">
        <v>9</v>
      </c>
      <c r="K102">
        <v>29728</v>
      </c>
      <c r="L102">
        <f>Tabla24[[#This Row],[Precio_Unitario]]*Tabla24[[#This Row],[Unidades_Vendidas]]</f>
        <v>267552</v>
      </c>
      <c r="M102" t="s">
        <v>27</v>
      </c>
    </row>
    <row r="103" spans="1:13" x14ac:dyDescent="0.25">
      <c r="A103" t="s">
        <v>126</v>
      </c>
      <c r="B103" t="str">
        <f>TEXT(Tabla24[[#This Row],[Fecha]],"dddd")</f>
        <v>lunes</v>
      </c>
      <c r="C103" t="str">
        <f>TEXT(Tabla24[[#This Row],[Fecha]],"mmmm")</f>
        <v>noviembre</v>
      </c>
      <c r="D103" t="str">
        <f>TEXT(Tabla24[[#This Row],[Fecha]],"aaaa")</f>
        <v>2024</v>
      </c>
      <c r="E103" t="s">
        <v>11</v>
      </c>
      <c r="F103" t="s">
        <v>29</v>
      </c>
      <c r="G103" t="s">
        <v>24</v>
      </c>
      <c r="H103" t="s">
        <v>35</v>
      </c>
      <c r="I103" t="s">
        <v>15</v>
      </c>
      <c r="J103">
        <v>14</v>
      </c>
      <c r="K103">
        <v>33586</v>
      </c>
      <c r="L103">
        <f>Tabla24[[#This Row],[Precio_Unitario]]*Tabla24[[#This Row],[Unidades_Vendidas]]</f>
        <v>470204</v>
      </c>
      <c r="M103" t="s">
        <v>27</v>
      </c>
    </row>
    <row r="104" spans="1:13" x14ac:dyDescent="0.25">
      <c r="A104" t="s">
        <v>127</v>
      </c>
      <c r="B104" t="str">
        <f>TEXT(Tabla24[[#This Row],[Fecha]],"dddd")</f>
        <v>sábado</v>
      </c>
      <c r="C104" t="str">
        <f>TEXT(Tabla24[[#This Row],[Fecha]],"mmmm")</f>
        <v>septiembre</v>
      </c>
      <c r="D104" t="str">
        <f>TEXT(Tabla24[[#This Row],[Fecha]],"aaaa")</f>
        <v>2024</v>
      </c>
      <c r="E104" t="s">
        <v>18</v>
      </c>
      <c r="F104" t="s">
        <v>23</v>
      </c>
      <c r="G104" t="s">
        <v>48</v>
      </c>
      <c r="H104" t="s">
        <v>14</v>
      </c>
      <c r="I104" t="s">
        <v>26</v>
      </c>
      <c r="J104">
        <v>6</v>
      </c>
      <c r="K104">
        <v>20356</v>
      </c>
      <c r="L104">
        <f>Tabla24[[#This Row],[Precio_Unitario]]*Tabla24[[#This Row],[Unidades_Vendidas]]</f>
        <v>122136</v>
      </c>
      <c r="M104" t="s">
        <v>20</v>
      </c>
    </row>
    <row r="105" spans="1:13" x14ac:dyDescent="0.25">
      <c r="A105" t="s">
        <v>128</v>
      </c>
      <c r="B105" t="str">
        <f>TEXT(Tabla24[[#This Row],[Fecha]],"dddd")</f>
        <v>miércoles</v>
      </c>
      <c r="C105" t="str">
        <f>TEXT(Tabla24[[#This Row],[Fecha]],"mmmm")</f>
        <v>febrero</v>
      </c>
      <c r="D105" t="str">
        <f>TEXT(Tabla24[[#This Row],[Fecha]],"aaaa")</f>
        <v>2024</v>
      </c>
      <c r="E105" t="s">
        <v>33</v>
      </c>
      <c r="F105" t="s">
        <v>23</v>
      </c>
      <c r="G105" t="s">
        <v>24</v>
      </c>
      <c r="H105" t="s">
        <v>35</v>
      </c>
      <c r="I105" t="s">
        <v>15</v>
      </c>
      <c r="J105">
        <v>12</v>
      </c>
      <c r="K105">
        <v>48402</v>
      </c>
      <c r="L105">
        <f>Tabla24[[#This Row],[Precio_Unitario]]*Tabla24[[#This Row],[Unidades_Vendidas]]</f>
        <v>580824</v>
      </c>
      <c r="M105" t="s">
        <v>36</v>
      </c>
    </row>
    <row r="106" spans="1:13" x14ac:dyDescent="0.25">
      <c r="A106" t="s">
        <v>68</v>
      </c>
      <c r="B106" t="str">
        <f>TEXT(Tabla24[[#This Row],[Fecha]],"dddd")</f>
        <v>viernes</v>
      </c>
      <c r="C106" t="str">
        <f>TEXT(Tabla24[[#This Row],[Fecha]],"mmmm")</f>
        <v>diciembre</v>
      </c>
      <c r="D106" t="str">
        <f>TEXT(Tabla24[[#This Row],[Fecha]],"aaaa")</f>
        <v>2024</v>
      </c>
      <c r="E106" t="s">
        <v>42</v>
      </c>
      <c r="F106" t="s">
        <v>12</v>
      </c>
      <c r="G106" t="s">
        <v>48</v>
      </c>
      <c r="H106" t="s">
        <v>30</v>
      </c>
      <c r="I106" t="s">
        <v>15</v>
      </c>
      <c r="J106">
        <v>1</v>
      </c>
      <c r="K106">
        <v>16938</v>
      </c>
      <c r="L106">
        <f>Tabla24[[#This Row],[Precio_Unitario]]*Tabla24[[#This Row],[Unidades_Vendidas]]</f>
        <v>16938</v>
      </c>
      <c r="M106" t="s">
        <v>20</v>
      </c>
    </row>
    <row r="107" spans="1:13" x14ac:dyDescent="0.25">
      <c r="A107" t="s">
        <v>129</v>
      </c>
      <c r="B107" t="str">
        <f>TEXT(Tabla24[[#This Row],[Fecha]],"dddd")</f>
        <v>viernes</v>
      </c>
      <c r="C107" t="str">
        <f>TEXT(Tabla24[[#This Row],[Fecha]],"mmmm")</f>
        <v>mayo</v>
      </c>
      <c r="D107" t="str">
        <f>TEXT(Tabla24[[#This Row],[Fecha]],"aaaa")</f>
        <v>2024</v>
      </c>
      <c r="E107" t="s">
        <v>22</v>
      </c>
      <c r="F107" t="s">
        <v>29</v>
      </c>
      <c r="G107" t="s">
        <v>13</v>
      </c>
      <c r="H107" t="s">
        <v>14</v>
      </c>
      <c r="I107" t="s">
        <v>15</v>
      </c>
      <c r="J107">
        <v>13</v>
      </c>
      <c r="K107">
        <v>57731</v>
      </c>
      <c r="L107">
        <f>Tabla24[[#This Row],[Precio_Unitario]]*Tabla24[[#This Row],[Unidades_Vendidas]]</f>
        <v>750503</v>
      </c>
      <c r="M107" t="s">
        <v>16</v>
      </c>
    </row>
    <row r="108" spans="1:13" x14ac:dyDescent="0.25">
      <c r="A108" t="s">
        <v>130</v>
      </c>
      <c r="B108" t="str">
        <f>TEXT(Tabla24[[#This Row],[Fecha]],"dddd")</f>
        <v>jueves</v>
      </c>
      <c r="C108" t="str">
        <f>TEXT(Tabla24[[#This Row],[Fecha]],"mmmm")</f>
        <v>agosto</v>
      </c>
      <c r="D108" t="str">
        <f>TEXT(Tabla24[[#This Row],[Fecha]],"aaaa")</f>
        <v>2024</v>
      </c>
      <c r="E108" t="s">
        <v>18</v>
      </c>
      <c r="F108" t="s">
        <v>38</v>
      </c>
      <c r="G108" t="s">
        <v>13</v>
      </c>
      <c r="H108" t="s">
        <v>14</v>
      </c>
      <c r="I108" t="s">
        <v>15</v>
      </c>
      <c r="J108">
        <v>1</v>
      </c>
      <c r="K108">
        <v>50925</v>
      </c>
      <c r="L108">
        <f>Tabla24[[#This Row],[Precio_Unitario]]*Tabla24[[#This Row],[Unidades_Vendidas]]</f>
        <v>50925</v>
      </c>
      <c r="M108" t="s">
        <v>27</v>
      </c>
    </row>
    <row r="109" spans="1:13" x14ac:dyDescent="0.25">
      <c r="A109" t="s">
        <v>131</v>
      </c>
      <c r="B109" t="str">
        <f>TEXT(Tabla24[[#This Row],[Fecha]],"dddd")</f>
        <v>lunes</v>
      </c>
      <c r="C109" t="str">
        <f>TEXT(Tabla24[[#This Row],[Fecha]],"mmmm")</f>
        <v>octubre</v>
      </c>
      <c r="D109" t="str">
        <f>TEXT(Tabla24[[#This Row],[Fecha]],"aaaa")</f>
        <v>2024</v>
      </c>
      <c r="E109" t="s">
        <v>42</v>
      </c>
      <c r="F109" t="s">
        <v>34</v>
      </c>
      <c r="G109" t="s">
        <v>48</v>
      </c>
      <c r="H109" t="s">
        <v>30</v>
      </c>
      <c r="I109" t="s">
        <v>26</v>
      </c>
      <c r="J109">
        <v>6</v>
      </c>
      <c r="K109">
        <v>53839</v>
      </c>
      <c r="L109">
        <f>Tabla24[[#This Row],[Precio_Unitario]]*Tabla24[[#This Row],[Unidades_Vendidas]]</f>
        <v>323034</v>
      </c>
      <c r="M109" t="s">
        <v>16</v>
      </c>
    </row>
    <row r="110" spans="1:13" x14ac:dyDescent="0.25">
      <c r="A110" t="s">
        <v>132</v>
      </c>
      <c r="B110" t="str">
        <f>TEXT(Tabla24[[#This Row],[Fecha]],"dddd")</f>
        <v>jueves</v>
      </c>
      <c r="C110" t="str">
        <f>TEXT(Tabla24[[#This Row],[Fecha]],"mmmm")</f>
        <v>enero</v>
      </c>
      <c r="D110" t="str">
        <f>TEXT(Tabla24[[#This Row],[Fecha]],"aaaa")</f>
        <v>2024</v>
      </c>
      <c r="E110" t="s">
        <v>11</v>
      </c>
      <c r="F110" t="s">
        <v>23</v>
      </c>
      <c r="G110" t="s">
        <v>44</v>
      </c>
      <c r="H110" t="s">
        <v>19</v>
      </c>
      <c r="I110" t="s">
        <v>15</v>
      </c>
      <c r="J110">
        <v>7</v>
      </c>
      <c r="K110">
        <v>21053</v>
      </c>
      <c r="L110">
        <f>Tabla24[[#This Row],[Precio_Unitario]]*Tabla24[[#This Row],[Unidades_Vendidas]]</f>
        <v>147371</v>
      </c>
      <c r="M110" t="s">
        <v>16</v>
      </c>
    </row>
    <row r="111" spans="1:13" x14ac:dyDescent="0.25">
      <c r="A111" t="s">
        <v>63</v>
      </c>
      <c r="B111" t="str">
        <f>TEXT(Tabla24[[#This Row],[Fecha]],"dddd")</f>
        <v>lunes</v>
      </c>
      <c r="C111" t="str">
        <f>TEXT(Tabla24[[#This Row],[Fecha]],"mmmm")</f>
        <v>octubre</v>
      </c>
      <c r="D111" t="str">
        <f>TEXT(Tabla24[[#This Row],[Fecha]],"aaaa")</f>
        <v>2024</v>
      </c>
      <c r="E111" t="s">
        <v>42</v>
      </c>
      <c r="F111" t="s">
        <v>29</v>
      </c>
      <c r="G111" t="s">
        <v>13</v>
      </c>
      <c r="H111" t="s">
        <v>19</v>
      </c>
      <c r="I111" t="s">
        <v>26</v>
      </c>
      <c r="J111">
        <v>18</v>
      </c>
      <c r="K111">
        <v>57153</v>
      </c>
      <c r="L111">
        <f>Tabla24[[#This Row],[Precio_Unitario]]*Tabla24[[#This Row],[Unidades_Vendidas]]</f>
        <v>1028754</v>
      </c>
      <c r="M111" t="s">
        <v>27</v>
      </c>
    </row>
    <row r="112" spans="1:13" x14ac:dyDescent="0.25">
      <c r="A112" t="s">
        <v>117</v>
      </c>
      <c r="B112" t="str">
        <f>TEXT(Tabla24[[#This Row],[Fecha]],"dddd")</f>
        <v>domingo</v>
      </c>
      <c r="C112" t="str">
        <f>TEXT(Tabla24[[#This Row],[Fecha]],"mmmm")</f>
        <v>enero</v>
      </c>
      <c r="D112" t="str">
        <f>TEXT(Tabla24[[#This Row],[Fecha]],"aaaa")</f>
        <v>2024</v>
      </c>
      <c r="E112" t="s">
        <v>33</v>
      </c>
      <c r="F112" t="s">
        <v>34</v>
      </c>
      <c r="G112" t="s">
        <v>24</v>
      </c>
      <c r="H112" t="s">
        <v>19</v>
      </c>
      <c r="I112" t="s">
        <v>26</v>
      </c>
      <c r="J112">
        <v>17</v>
      </c>
      <c r="K112">
        <v>56627</v>
      </c>
      <c r="L112">
        <f>Tabla24[[#This Row],[Precio_Unitario]]*Tabla24[[#This Row],[Unidades_Vendidas]]</f>
        <v>962659</v>
      </c>
      <c r="M112" t="s">
        <v>27</v>
      </c>
    </row>
    <row r="113" spans="1:13" x14ac:dyDescent="0.25">
      <c r="A113" t="s">
        <v>133</v>
      </c>
      <c r="B113" t="str">
        <f>TEXT(Tabla24[[#This Row],[Fecha]],"dddd")</f>
        <v>viernes</v>
      </c>
      <c r="C113" t="str">
        <f>TEXT(Tabla24[[#This Row],[Fecha]],"mmmm")</f>
        <v>junio</v>
      </c>
      <c r="D113" t="str">
        <f>TEXT(Tabla24[[#This Row],[Fecha]],"aaaa")</f>
        <v>2024</v>
      </c>
      <c r="E113" t="s">
        <v>42</v>
      </c>
      <c r="F113" t="s">
        <v>34</v>
      </c>
      <c r="G113" t="s">
        <v>44</v>
      </c>
      <c r="H113" t="s">
        <v>19</v>
      </c>
      <c r="I113" t="s">
        <v>40</v>
      </c>
      <c r="J113">
        <v>9</v>
      </c>
      <c r="K113">
        <v>58676</v>
      </c>
      <c r="L113">
        <f>Tabla24[[#This Row],[Precio_Unitario]]*Tabla24[[#This Row],[Unidades_Vendidas]]</f>
        <v>528084</v>
      </c>
      <c r="M113" t="s">
        <v>20</v>
      </c>
    </row>
    <row r="114" spans="1:13" x14ac:dyDescent="0.25">
      <c r="A114" t="s">
        <v>134</v>
      </c>
      <c r="B114" t="str">
        <f>TEXT(Tabla24[[#This Row],[Fecha]],"dddd")</f>
        <v>jueves</v>
      </c>
      <c r="C114" t="str">
        <f>TEXT(Tabla24[[#This Row],[Fecha]],"mmmm")</f>
        <v>octubre</v>
      </c>
      <c r="D114" t="str">
        <f>TEXT(Tabla24[[#This Row],[Fecha]],"aaaa")</f>
        <v>2024</v>
      </c>
      <c r="E114" t="s">
        <v>11</v>
      </c>
      <c r="F114" t="s">
        <v>23</v>
      </c>
      <c r="G114" t="s">
        <v>39</v>
      </c>
      <c r="H114" t="s">
        <v>30</v>
      </c>
      <c r="I114" t="s">
        <v>15</v>
      </c>
      <c r="J114">
        <v>15</v>
      </c>
      <c r="K114">
        <v>23478</v>
      </c>
      <c r="L114">
        <f>Tabla24[[#This Row],[Precio_Unitario]]*Tabla24[[#This Row],[Unidades_Vendidas]]</f>
        <v>352170</v>
      </c>
      <c r="M114" t="s">
        <v>36</v>
      </c>
    </row>
    <row r="115" spans="1:13" x14ac:dyDescent="0.25">
      <c r="A115" t="s">
        <v>135</v>
      </c>
      <c r="B115" t="str">
        <f>TEXT(Tabla24[[#This Row],[Fecha]],"dddd")</f>
        <v>miércoles</v>
      </c>
      <c r="C115" t="str">
        <f>TEXT(Tabla24[[#This Row],[Fecha]],"mmmm")</f>
        <v>junio</v>
      </c>
      <c r="D115" t="str">
        <f>TEXT(Tabla24[[#This Row],[Fecha]],"aaaa")</f>
        <v>2024</v>
      </c>
      <c r="E115" t="s">
        <v>42</v>
      </c>
      <c r="F115" t="s">
        <v>12</v>
      </c>
      <c r="G115" t="s">
        <v>44</v>
      </c>
      <c r="H115" t="s">
        <v>25</v>
      </c>
      <c r="I115" t="s">
        <v>26</v>
      </c>
      <c r="J115">
        <v>8</v>
      </c>
      <c r="K115">
        <v>33263</v>
      </c>
      <c r="L115">
        <f>Tabla24[[#This Row],[Precio_Unitario]]*Tabla24[[#This Row],[Unidades_Vendidas]]</f>
        <v>266104</v>
      </c>
      <c r="M115" t="s">
        <v>36</v>
      </c>
    </row>
    <row r="116" spans="1:13" x14ac:dyDescent="0.25">
      <c r="A116" t="s">
        <v>136</v>
      </c>
      <c r="B116" t="str">
        <f>TEXT(Tabla24[[#This Row],[Fecha]],"dddd")</f>
        <v>domingo</v>
      </c>
      <c r="C116" t="str">
        <f>TEXT(Tabla24[[#This Row],[Fecha]],"mmmm")</f>
        <v>noviembre</v>
      </c>
      <c r="D116" t="str">
        <f>TEXT(Tabla24[[#This Row],[Fecha]],"aaaa")</f>
        <v>2024</v>
      </c>
      <c r="E116" t="s">
        <v>11</v>
      </c>
      <c r="F116" t="s">
        <v>38</v>
      </c>
      <c r="G116" t="s">
        <v>24</v>
      </c>
      <c r="H116" t="s">
        <v>35</v>
      </c>
      <c r="I116" t="s">
        <v>26</v>
      </c>
      <c r="J116">
        <v>3</v>
      </c>
      <c r="K116">
        <v>26400</v>
      </c>
      <c r="L116">
        <f>Tabla24[[#This Row],[Precio_Unitario]]*Tabla24[[#This Row],[Unidades_Vendidas]]</f>
        <v>79200</v>
      </c>
      <c r="M116" t="s">
        <v>20</v>
      </c>
    </row>
    <row r="117" spans="1:13" x14ac:dyDescent="0.25">
      <c r="A117" t="s">
        <v>137</v>
      </c>
      <c r="B117" t="str">
        <f>TEXT(Tabla24[[#This Row],[Fecha]],"dddd")</f>
        <v>sábado</v>
      </c>
      <c r="C117" t="str">
        <f>TEXT(Tabla24[[#This Row],[Fecha]],"mmmm")</f>
        <v>mayo</v>
      </c>
      <c r="D117" t="str">
        <f>TEXT(Tabla24[[#This Row],[Fecha]],"aaaa")</f>
        <v>2024</v>
      </c>
      <c r="E117" t="s">
        <v>11</v>
      </c>
      <c r="F117" t="s">
        <v>29</v>
      </c>
      <c r="G117" t="s">
        <v>13</v>
      </c>
      <c r="H117" t="s">
        <v>25</v>
      </c>
      <c r="I117" t="s">
        <v>15</v>
      </c>
      <c r="J117">
        <v>9</v>
      </c>
      <c r="K117">
        <v>29092</v>
      </c>
      <c r="L117">
        <f>Tabla24[[#This Row],[Precio_Unitario]]*Tabla24[[#This Row],[Unidades_Vendidas]]</f>
        <v>261828</v>
      </c>
      <c r="M117" t="s">
        <v>27</v>
      </c>
    </row>
    <row r="118" spans="1:13" x14ac:dyDescent="0.25">
      <c r="A118" t="s">
        <v>138</v>
      </c>
      <c r="B118" t="str">
        <f>TEXT(Tabla24[[#This Row],[Fecha]],"dddd")</f>
        <v>domingo</v>
      </c>
      <c r="C118" t="str">
        <f>TEXT(Tabla24[[#This Row],[Fecha]],"mmmm")</f>
        <v>noviembre</v>
      </c>
      <c r="D118" t="str">
        <f>TEXT(Tabla24[[#This Row],[Fecha]],"aaaa")</f>
        <v>2024</v>
      </c>
      <c r="E118" t="s">
        <v>42</v>
      </c>
      <c r="F118" t="s">
        <v>23</v>
      </c>
      <c r="G118" t="s">
        <v>39</v>
      </c>
      <c r="H118" t="s">
        <v>35</v>
      </c>
      <c r="I118" t="s">
        <v>26</v>
      </c>
      <c r="J118">
        <v>8</v>
      </c>
      <c r="K118">
        <v>41246</v>
      </c>
      <c r="L118">
        <f>Tabla24[[#This Row],[Precio_Unitario]]*Tabla24[[#This Row],[Unidades_Vendidas]]</f>
        <v>329968</v>
      </c>
      <c r="M118" t="s">
        <v>20</v>
      </c>
    </row>
    <row r="119" spans="1:13" x14ac:dyDescent="0.25">
      <c r="A119" t="s">
        <v>139</v>
      </c>
      <c r="B119" t="str">
        <f>TEXT(Tabla24[[#This Row],[Fecha]],"dddd")</f>
        <v>jueves</v>
      </c>
      <c r="C119" t="str">
        <f>TEXT(Tabla24[[#This Row],[Fecha]],"mmmm")</f>
        <v>mayo</v>
      </c>
      <c r="D119" t="str">
        <f>TEXT(Tabla24[[#This Row],[Fecha]],"aaaa")</f>
        <v>2024</v>
      </c>
      <c r="E119" t="s">
        <v>33</v>
      </c>
      <c r="F119" t="s">
        <v>34</v>
      </c>
      <c r="G119" t="s">
        <v>44</v>
      </c>
      <c r="H119" t="s">
        <v>19</v>
      </c>
      <c r="I119" t="s">
        <v>26</v>
      </c>
      <c r="J119">
        <v>6</v>
      </c>
      <c r="K119">
        <v>55363</v>
      </c>
      <c r="L119">
        <f>Tabla24[[#This Row],[Precio_Unitario]]*Tabla24[[#This Row],[Unidades_Vendidas]]</f>
        <v>332178</v>
      </c>
      <c r="M119" t="s">
        <v>20</v>
      </c>
    </row>
    <row r="120" spans="1:13" x14ac:dyDescent="0.25">
      <c r="A120" t="s">
        <v>140</v>
      </c>
      <c r="B120" t="str">
        <f>TEXT(Tabla24[[#This Row],[Fecha]],"dddd")</f>
        <v>jueves</v>
      </c>
      <c r="C120" t="str">
        <f>TEXT(Tabla24[[#This Row],[Fecha]],"mmmm")</f>
        <v>octubre</v>
      </c>
      <c r="D120" t="str">
        <f>TEXT(Tabla24[[#This Row],[Fecha]],"aaaa")</f>
        <v>2024</v>
      </c>
      <c r="E120" t="s">
        <v>33</v>
      </c>
      <c r="F120" t="s">
        <v>23</v>
      </c>
      <c r="G120" t="s">
        <v>44</v>
      </c>
      <c r="H120" t="s">
        <v>14</v>
      </c>
      <c r="I120" t="s">
        <v>15</v>
      </c>
      <c r="J120">
        <v>19</v>
      </c>
      <c r="K120">
        <v>17206</v>
      </c>
      <c r="L120">
        <f>Tabla24[[#This Row],[Precio_Unitario]]*Tabla24[[#This Row],[Unidades_Vendidas]]</f>
        <v>326914</v>
      </c>
      <c r="M120" t="s">
        <v>36</v>
      </c>
    </row>
    <row r="121" spans="1:13" x14ac:dyDescent="0.25">
      <c r="A121" t="s">
        <v>141</v>
      </c>
      <c r="B121" t="str">
        <f>TEXT(Tabla24[[#This Row],[Fecha]],"dddd")</f>
        <v>lunes</v>
      </c>
      <c r="C121" t="str">
        <f>TEXT(Tabla24[[#This Row],[Fecha]],"mmmm")</f>
        <v>septiembre</v>
      </c>
      <c r="D121" t="str">
        <f>TEXT(Tabla24[[#This Row],[Fecha]],"aaaa")</f>
        <v>2024</v>
      </c>
      <c r="E121" t="s">
        <v>11</v>
      </c>
      <c r="F121" t="s">
        <v>38</v>
      </c>
      <c r="G121" t="s">
        <v>48</v>
      </c>
      <c r="H121" t="s">
        <v>14</v>
      </c>
      <c r="I121" t="s">
        <v>26</v>
      </c>
      <c r="J121">
        <v>13</v>
      </c>
      <c r="K121">
        <v>27116</v>
      </c>
      <c r="L121">
        <f>Tabla24[[#This Row],[Precio_Unitario]]*Tabla24[[#This Row],[Unidades_Vendidas]]</f>
        <v>352508</v>
      </c>
      <c r="M121" t="s">
        <v>36</v>
      </c>
    </row>
    <row r="122" spans="1:13" x14ac:dyDescent="0.25">
      <c r="A122" t="s">
        <v>142</v>
      </c>
      <c r="B122" t="str">
        <f>TEXT(Tabla24[[#This Row],[Fecha]],"dddd")</f>
        <v>jueves</v>
      </c>
      <c r="C122" t="str">
        <f>TEXT(Tabla24[[#This Row],[Fecha]],"mmmm")</f>
        <v>julio</v>
      </c>
      <c r="D122" t="str">
        <f>TEXT(Tabla24[[#This Row],[Fecha]],"aaaa")</f>
        <v>2024</v>
      </c>
      <c r="E122" t="s">
        <v>11</v>
      </c>
      <c r="F122" t="s">
        <v>34</v>
      </c>
      <c r="G122" t="s">
        <v>48</v>
      </c>
      <c r="H122" t="s">
        <v>19</v>
      </c>
      <c r="I122" t="s">
        <v>40</v>
      </c>
      <c r="J122">
        <v>16</v>
      </c>
      <c r="K122">
        <v>25922</v>
      </c>
      <c r="L122">
        <f>Tabla24[[#This Row],[Precio_Unitario]]*Tabla24[[#This Row],[Unidades_Vendidas]]</f>
        <v>414752</v>
      </c>
      <c r="M122" t="s">
        <v>20</v>
      </c>
    </row>
    <row r="123" spans="1:13" x14ac:dyDescent="0.25">
      <c r="A123" t="s">
        <v>45</v>
      </c>
      <c r="B123" t="str">
        <f>TEXT(Tabla24[[#This Row],[Fecha]],"dddd")</f>
        <v>domingo</v>
      </c>
      <c r="C123" t="str">
        <f>TEXT(Tabla24[[#This Row],[Fecha]],"mmmm")</f>
        <v>diciembre</v>
      </c>
      <c r="D123" t="str">
        <f>TEXT(Tabla24[[#This Row],[Fecha]],"aaaa")</f>
        <v>2024</v>
      </c>
      <c r="E123" t="s">
        <v>22</v>
      </c>
      <c r="F123" t="s">
        <v>38</v>
      </c>
      <c r="G123" t="s">
        <v>24</v>
      </c>
      <c r="H123" t="s">
        <v>19</v>
      </c>
      <c r="I123" t="s">
        <v>40</v>
      </c>
      <c r="J123">
        <v>13</v>
      </c>
      <c r="K123">
        <v>59388</v>
      </c>
      <c r="L123">
        <f>Tabla24[[#This Row],[Precio_Unitario]]*Tabla24[[#This Row],[Unidades_Vendidas]]</f>
        <v>772044</v>
      </c>
      <c r="M123" t="s">
        <v>36</v>
      </c>
    </row>
    <row r="124" spans="1:13" x14ac:dyDescent="0.25">
      <c r="A124" t="s">
        <v>143</v>
      </c>
      <c r="B124" t="str">
        <f>TEXT(Tabla24[[#This Row],[Fecha]],"dddd")</f>
        <v>domingo</v>
      </c>
      <c r="C124" t="str">
        <f>TEXT(Tabla24[[#This Row],[Fecha]],"mmmm")</f>
        <v>enero</v>
      </c>
      <c r="D124" t="str">
        <f>TEXT(Tabla24[[#This Row],[Fecha]],"aaaa")</f>
        <v>2024</v>
      </c>
      <c r="E124" t="s">
        <v>42</v>
      </c>
      <c r="F124" t="s">
        <v>12</v>
      </c>
      <c r="G124" t="s">
        <v>44</v>
      </c>
      <c r="H124" t="s">
        <v>35</v>
      </c>
      <c r="I124" t="s">
        <v>26</v>
      </c>
      <c r="J124">
        <v>8</v>
      </c>
      <c r="K124">
        <v>37444</v>
      </c>
      <c r="L124">
        <f>Tabla24[[#This Row],[Precio_Unitario]]*Tabla24[[#This Row],[Unidades_Vendidas]]</f>
        <v>299552</v>
      </c>
      <c r="M124" t="s">
        <v>36</v>
      </c>
    </row>
    <row r="125" spans="1:13" x14ac:dyDescent="0.25">
      <c r="A125" t="s">
        <v>144</v>
      </c>
      <c r="B125" t="str">
        <f>TEXT(Tabla24[[#This Row],[Fecha]],"dddd")</f>
        <v>sábado</v>
      </c>
      <c r="C125" t="str">
        <f>TEXT(Tabla24[[#This Row],[Fecha]],"mmmm")</f>
        <v>abril</v>
      </c>
      <c r="D125" t="str">
        <f>TEXT(Tabla24[[#This Row],[Fecha]],"aaaa")</f>
        <v>2024</v>
      </c>
      <c r="E125" t="s">
        <v>33</v>
      </c>
      <c r="F125" t="s">
        <v>12</v>
      </c>
      <c r="G125" t="s">
        <v>39</v>
      </c>
      <c r="H125" t="s">
        <v>35</v>
      </c>
      <c r="I125" t="s">
        <v>40</v>
      </c>
      <c r="J125">
        <v>5</v>
      </c>
      <c r="K125">
        <v>54888</v>
      </c>
      <c r="L125">
        <f>Tabla24[[#This Row],[Precio_Unitario]]*Tabla24[[#This Row],[Unidades_Vendidas]]</f>
        <v>274440</v>
      </c>
      <c r="M125" t="s">
        <v>16</v>
      </c>
    </row>
    <row r="126" spans="1:13" x14ac:dyDescent="0.25">
      <c r="A126" t="s">
        <v>32</v>
      </c>
      <c r="B126" t="str">
        <f>TEXT(Tabla24[[#This Row],[Fecha]],"dddd")</f>
        <v>viernes</v>
      </c>
      <c r="C126" t="str">
        <f>TEXT(Tabla24[[#This Row],[Fecha]],"mmmm")</f>
        <v>mayo</v>
      </c>
      <c r="D126" t="str">
        <f>TEXT(Tabla24[[#This Row],[Fecha]],"aaaa")</f>
        <v>2024</v>
      </c>
      <c r="E126" t="s">
        <v>18</v>
      </c>
      <c r="F126" t="s">
        <v>12</v>
      </c>
      <c r="G126" t="s">
        <v>24</v>
      </c>
      <c r="H126" t="s">
        <v>14</v>
      </c>
      <c r="I126" t="s">
        <v>15</v>
      </c>
      <c r="J126">
        <v>13</v>
      </c>
      <c r="K126">
        <v>38263</v>
      </c>
      <c r="L126">
        <f>Tabla24[[#This Row],[Precio_Unitario]]*Tabla24[[#This Row],[Unidades_Vendidas]]</f>
        <v>497419</v>
      </c>
      <c r="M126" t="s">
        <v>27</v>
      </c>
    </row>
    <row r="127" spans="1:13" x14ac:dyDescent="0.25">
      <c r="A127" t="s">
        <v>31</v>
      </c>
      <c r="B127" t="str">
        <f>TEXT(Tabla24[[#This Row],[Fecha]],"dddd")</f>
        <v>miércoles</v>
      </c>
      <c r="C127" t="str">
        <f>TEXT(Tabla24[[#This Row],[Fecha]],"mmmm")</f>
        <v>abril</v>
      </c>
      <c r="D127" t="str">
        <f>TEXT(Tabla24[[#This Row],[Fecha]],"aaaa")</f>
        <v>2024</v>
      </c>
      <c r="E127" t="s">
        <v>33</v>
      </c>
      <c r="F127" t="s">
        <v>29</v>
      </c>
      <c r="G127" t="s">
        <v>48</v>
      </c>
      <c r="H127" t="s">
        <v>19</v>
      </c>
      <c r="I127" t="s">
        <v>15</v>
      </c>
      <c r="J127">
        <v>15</v>
      </c>
      <c r="K127">
        <v>17853</v>
      </c>
      <c r="L127">
        <f>Tabla24[[#This Row],[Precio_Unitario]]*Tabla24[[#This Row],[Unidades_Vendidas]]</f>
        <v>267795</v>
      </c>
      <c r="M127" t="s">
        <v>36</v>
      </c>
    </row>
    <row r="128" spans="1:13" x14ac:dyDescent="0.25">
      <c r="A128" t="s">
        <v>145</v>
      </c>
      <c r="B128" t="str">
        <f>TEXT(Tabla24[[#This Row],[Fecha]],"dddd")</f>
        <v>jueves</v>
      </c>
      <c r="C128" t="str">
        <f>TEXT(Tabla24[[#This Row],[Fecha]],"mmmm")</f>
        <v>diciembre</v>
      </c>
      <c r="D128" t="str">
        <f>TEXT(Tabla24[[#This Row],[Fecha]],"aaaa")</f>
        <v>2024</v>
      </c>
      <c r="E128" t="s">
        <v>33</v>
      </c>
      <c r="F128" t="s">
        <v>12</v>
      </c>
      <c r="G128" t="s">
        <v>13</v>
      </c>
      <c r="H128" t="s">
        <v>30</v>
      </c>
      <c r="I128" t="s">
        <v>15</v>
      </c>
      <c r="J128">
        <v>13</v>
      </c>
      <c r="K128">
        <v>39574</v>
      </c>
      <c r="L128">
        <f>Tabla24[[#This Row],[Precio_Unitario]]*Tabla24[[#This Row],[Unidades_Vendidas]]</f>
        <v>514462</v>
      </c>
      <c r="M128" t="s">
        <v>27</v>
      </c>
    </row>
    <row r="129" spans="1:13" x14ac:dyDescent="0.25">
      <c r="A129" t="s">
        <v>57</v>
      </c>
      <c r="B129" t="str">
        <f>TEXT(Tabla24[[#This Row],[Fecha]],"dddd")</f>
        <v>lunes</v>
      </c>
      <c r="C129" t="str">
        <f>TEXT(Tabla24[[#This Row],[Fecha]],"mmmm")</f>
        <v>junio</v>
      </c>
      <c r="D129" t="str">
        <f>TEXT(Tabla24[[#This Row],[Fecha]],"aaaa")</f>
        <v>2024</v>
      </c>
      <c r="E129" t="s">
        <v>42</v>
      </c>
      <c r="F129" t="s">
        <v>38</v>
      </c>
      <c r="G129" t="s">
        <v>13</v>
      </c>
      <c r="H129" t="s">
        <v>30</v>
      </c>
      <c r="I129" t="s">
        <v>40</v>
      </c>
      <c r="J129">
        <v>2</v>
      </c>
      <c r="K129">
        <v>57630</v>
      </c>
      <c r="L129">
        <f>Tabla24[[#This Row],[Precio_Unitario]]*Tabla24[[#This Row],[Unidades_Vendidas]]</f>
        <v>115260</v>
      </c>
      <c r="M129" t="s">
        <v>16</v>
      </c>
    </row>
    <row r="130" spans="1:13" x14ac:dyDescent="0.25">
      <c r="A130" t="s">
        <v>146</v>
      </c>
      <c r="B130" t="str">
        <f>TEXT(Tabla24[[#This Row],[Fecha]],"dddd")</f>
        <v>sábado</v>
      </c>
      <c r="C130" t="str">
        <f>TEXT(Tabla24[[#This Row],[Fecha]],"mmmm")</f>
        <v>octubre</v>
      </c>
      <c r="D130" t="str">
        <f>TEXT(Tabla24[[#This Row],[Fecha]],"aaaa")</f>
        <v>2024</v>
      </c>
      <c r="E130" t="s">
        <v>18</v>
      </c>
      <c r="F130" t="s">
        <v>34</v>
      </c>
      <c r="G130" t="s">
        <v>13</v>
      </c>
      <c r="H130" t="s">
        <v>19</v>
      </c>
      <c r="I130" t="s">
        <v>40</v>
      </c>
      <c r="J130">
        <v>6</v>
      </c>
      <c r="K130">
        <v>26253</v>
      </c>
      <c r="L130">
        <f>Tabla24[[#This Row],[Precio_Unitario]]*Tabla24[[#This Row],[Unidades_Vendidas]]</f>
        <v>157518</v>
      </c>
      <c r="M130" t="s">
        <v>27</v>
      </c>
    </row>
    <row r="131" spans="1:13" x14ac:dyDescent="0.25">
      <c r="A131" t="s">
        <v>89</v>
      </c>
      <c r="B131" t="str">
        <f>TEXT(Tabla24[[#This Row],[Fecha]],"dddd")</f>
        <v>lunes</v>
      </c>
      <c r="C131" t="str">
        <f>TEXT(Tabla24[[#This Row],[Fecha]],"mmmm")</f>
        <v>agosto</v>
      </c>
      <c r="D131" t="str">
        <f>TEXT(Tabla24[[#This Row],[Fecha]],"aaaa")</f>
        <v>2024</v>
      </c>
      <c r="E131" t="s">
        <v>33</v>
      </c>
      <c r="F131" t="s">
        <v>38</v>
      </c>
      <c r="G131" t="s">
        <v>39</v>
      </c>
      <c r="H131" t="s">
        <v>19</v>
      </c>
      <c r="I131" t="s">
        <v>26</v>
      </c>
      <c r="J131">
        <v>18</v>
      </c>
      <c r="K131">
        <v>33208</v>
      </c>
      <c r="L131">
        <f>Tabla24[[#This Row],[Precio_Unitario]]*Tabla24[[#This Row],[Unidades_Vendidas]]</f>
        <v>597744</v>
      </c>
      <c r="M131" t="s">
        <v>16</v>
      </c>
    </row>
    <row r="132" spans="1:13" x14ac:dyDescent="0.25">
      <c r="A132" t="s">
        <v>147</v>
      </c>
      <c r="B132" t="str">
        <f>TEXT(Tabla24[[#This Row],[Fecha]],"dddd")</f>
        <v>jueves</v>
      </c>
      <c r="C132" t="str">
        <f>TEXT(Tabla24[[#This Row],[Fecha]],"mmmm")</f>
        <v>noviembre</v>
      </c>
      <c r="D132" t="str">
        <f>TEXT(Tabla24[[#This Row],[Fecha]],"aaaa")</f>
        <v>2024</v>
      </c>
      <c r="E132" t="s">
        <v>42</v>
      </c>
      <c r="F132" t="s">
        <v>38</v>
      </c>
      <c r="G132" t="s">
        <v>39</v>
      </c>
      <c r="H132" t="s">
        <v>30</v>
      </c>
      <c r="I132" t="s">
        <v>26</v>
      </c>
      <c r="J132">
        <v>12</v>
      </c>
      <c r="K132">
        <v>47984</v>
      </c>
      <c r="L132">
        <f>Tabla24[[#This Row],[Precio_Unitario]]*Tabla24[[#This Row],[Unidades_Vendidas]]</f>
        <v>575808</v>
      </c>
      <c r="M132" t="s">
        <v>27</v>
      </c>
    </row>
    <row r="133" spans="1:13" x14ac:dyDescent="0.25">
      <c r="A133" t="s">
        <v>148</v>
      </c>
      <c r="B133" t="str">
        <f>TEXT(Tabla24[[#This Row],[Fecha]],"dddd")</f>
        <v>lunes</v>
      </c>
      <c r="C133" t="str">
        <f>TEXT(Tabla24[[#This Row],[Fecha]],"mmmm")</f>
        <v>julio</v>
      </c>
      <c r="D133" t="str">
        <f>TEXT(Tabla24[[#This Row],[Fecha]],"aaaa")</f>
        <v>2024</v>
      </c>
      <c r="E133" t="s">
        <v>22</v>
      </c>
      <c r="F133" t="s">
        <v>12</v>
      </c>
      <c r="G133" t="s">
        <v>24</v>
      </c>
      <c r="H133" t="s">
        <v>14</v>
      </c>
      <c r="I133" t="s">
        <v>40</v>
      </c>
      <c r="J133">
        <v>1</v>
      </c>
      <c r="K133">
        <v>17721</v>
      </c>
      <c r="L133">
        <f>Tabla24[[#This Row],[Precio_Unitario]]*Tabla24[[#This Row],[Unidades_Vendidas]]</f>
        <v>17721</v>
      </c>
      <c r="M133" t="s">
        <v>27</v>
      </c>
    </row>
    <row r="134" spans="1:13" x14ac:dyDescent="0.25">
      <c r="A134" t="s">
        <v>149</v>
      </c>
      <c r="B134" t="str">
        <f>TEXT(Tabla24[[#This Row],[Fecha]],"dddd")</f>
        <v>lunes</v>
      </c>
      <c r="C134" t="str">
        <f>TEXT(Tabla24[[#This Row],[Fecha]],"mmmm")</f>
        <v>julio</v>
      </c>
      <c r="D134" t="str">
        <f>TEXT(Tabla24[[#This Row],[Fecha]],"aaaa")</f>
        <v>2024</v>
      </c>
      <c r="E134" t="s">
        <v>11</v>
      </c>
      <c r="F134" t="s">
        <v>12</v>
      </c>
      <c r="G134" t="s">
        <v>13</v>
      </c>
      <c r="H134" t="s">
        <v>14</v>
      </c>
      <c r="I134" t="s">
        <v>26</v>
      </c>
      <c r="J134">
        <v>5</v>
      </c>
      <c r="K134">
        <v>39704</v>
      </c>
      <c r="L134">
        <f>Tabla24[[#This Row],[Precio_Unitario]]*Tabla24[[#This Row],[Unidades_Vendidas]]</f>
        <v>198520</v>
      </c>
      <c r="M134" t="s">
        <v>20</v>
      </c>
    </row>
    <row r="135" spans="1:13" x14ac:dyDescent="0.25">
      <c r="A135" t="s">
        <v>150</v>
      </c>
      <c r="B135" t="str">
        <f>TEXT(Tabla24[[#This Row],[Fecha]],"dddd")</f>
        <v>sábado</v>
      </c>
      <c r="C135" t="str">
        <f>TEXT(Tabla24[[#This Row],[Fecha]],"mmmm")</f>
        <v>agosto</v>
      </c>
      <c r="D135" t="str">
        <f>TEXT(Tabla24[[#This Row],[Fecha]],"aaaa")</f>
        <v>2024</v>
      </c>
      <c r="E135" t="s">
        <v>11</v>
      </c>
      <c r="F135" t="s">
        <v>23</v>
      </c>
      <c r="G135" t="s">
        <v>24</v>
      </c>
      <c r="H135" t="s">
        <v>25</v>
      </c>
      <c r="I135" t="s">
        <v>40</v>
      </c>
      <c r="J135">
        <v>13</v>
      </c>
      <c r="K135">
        <v>39187</v>
      </c>
      <c r="L135">
        <f>Tabla24[[#This Row],[Precio_Unitario]]*Tabla24[[#This Row],[Unidades_Vendidas]]</f>
        <v>509431</v>
      </c>
      <c r="M135" t="s">
        <v>20</v>
      </c>
    </row>
    <row r="136" spans="1:13" x14ac:dyDescent="0.25">
      <c r="A136" t="s">
        <v>151</v>
      </c>
      <c r="B136" t="str">
        <f>TEXT(Tabla24[[#This Row],[Fecha]],"dddd")</f>
        <v>domingo</v>
      </c>
      <c r="C136" t="str">
        <f>TEXT(Tabla24[[#This Row],[Fecha]],"mmmm")</f>
        <v>mayo</v>
      </c>
      <c r="D136" t="str">
        <f>TEXT(Tabla24[[#This Row],[Fecha]],"aaaa")</f>
        <v>2024</v>
      </c>
      <c r="E136" t="s">
        <v>42</v>
      </c>
      <c r="F136" t="s">
        <v>34</v>
      </c>
      <c r="G136" t="s">
        <v>48</v>
      </c>
      <c r="H136" t="s">
        <v>14</v>
      </c>
      <c r="I136" t="s">
        <v>26</v>
      </c>
      <c r="J136">
        <v>4</v>
      </c>
      <c r="K136">
        <v>27408</v>
      </c>
      <c r="L136">
        <f>Tabla24[[#This Row],[Precio_Unitario]]*Tabla24[[#This Row],[Unidades_Vendidas]]</f>
        <v>109632</v>
      </c>
      <c r="M136" t="s">
        <v>27</v>
      </c>
    </row>
    <row r="137" spans="1:13" x14ac:dyDescent="0.25">
      <c r="A137" t="s">
        <v>152</v>
      </c>
      <c r="B137" t="str">
        <f>TEXT(Tabla24[[#This Row],[Fecha]],"dddd")</f>
        <v>lunes</v>
      </c>
      <c r="C137" t="str">
        <f>TEXT(Tabla24[[#This Row],[Fecha]],"mmmm")</f>
        <v>febrero</v>
      </c>
      <c r="D137" t="str">
        <f>TEXT(Tabla24[[#This Row],[Fecha]],"aaaa")</f>
        <v>2024</v>
      </c>
      <c r="E137" t="s">
        <v>33</v>
      </c>
      <c r="F137" t="s">
        <v>23</v>
      </c>
      <c r="G137" t="s">
        <v>13</v>
      </c>
      <c r="H137" t="s">
        <v>35</v>
      </c>
      <c r="I137" t="s">
        <v>15</v>
      </c>
      <c r="J137">
        <v>3</v>
      </c>
      <c r="K137">
        <v>31535</v>
      </c>
      <c r="L137">
        <f>Tabla24[[#This Row],[Precio_Unitario]]*Tabla24[[#This Row],[Unidades_Vendidas]]</f>
        <v>94605</v>
      </c>
      <c r="M137" t="s">
        <v>16</v>
      </c>
    </row>
    <row r="138" spans="1:13" x14ac:dyDescent="0.25">
      <c r="A138" t="s">
        <v>153</v>
      </c>
      <c r="B138" t="str">
        <f>TEXT(Tabla24[[#This Row],[Fecha]],"dddd")</f>
        <v>lunes</v>
      </c>
      <c r="C138" t="str">
        <f>TEXT(Tabla24[[#This Row],[Fecha]],"mmmm")</f>
        <v>enero</v>
      </c>
      <c r="D138" t="str">
        <f>TEXT(Tabla24[[#This Row],[Fecha]],"aaaa")</f>
        <v>2024</v>
      </c>
      <c r="E138" t="s">
        <v>18</v>
      </c>
      <c r="F138" t="s">
        <v>23</v>
      </c>
      <c r="G138" t="s">
        <v>24</v>
      </c>
      <c r="H138" t="s">
        <v>30</v>
      </c>
      <c r="I138" t="s">
        <v>40</v>
      </c>
      <c r="J138">
        <v>8</v>
      </c>
      <c r="K138">
        <v>48205</v>
      </c>
      <c r="L138">
        <f>Tabla24[[#This Row],[Precio_Unitario]]*Tabla24[[#This Row],[Unidades_Vendidas]]</f>
        <v>385640</v>
      </c>
      <c r="M138" t="s">
        <v>20</v>
      </c>
    </row>
    <row r="139" spans="1:13" x14ac:dyDescent="0.25">
      <c r="A139" t="s">
        <v>147</v>
      </c>
      <c r="B139" t="str">
        <f>TEXT(Tabla24[[#This Row],[Fecha]],"dddd")</f>
        <v>jueves</v>
      </c>
      <c r="C139" t="str">
        <f>TEXT(Tabla24[[#This Row],[Fecha]],"mmmm")</f>
        <v>noviembre</v>
      </c>
      <c r="D139" t="str">
        <f>TEXT(Tabla24[[#This Row],[Fecha]],"aaaa")</f>
        <v>2024</v>
      </c>
      <c r="E139" t="s">
        <v>11</v>
      </c>
      <c r="F139" t="s">
        <v>38</v>
      </c>
      <c r="G139" t="s">
        <v>39</v>
      </c>
      <c r="H139" t="s">
        <v>14</v>
      </c>
      <c r="I139" t="s">
        <v>26</v>
      </c>
      <c r="J139">
        <v>10</v>
      </c>
      <c r="K139">
        <v>28175</v>
      </c>
      <c r="L139">
        <f>Tabla24[[#This Row],[Precio_Unitario]]*Tabla24[[#This Row],[Unidades_Vendidas]]</f>
        <v>281750</v>
      </c>
      <c r="M139" t="s">
        <v>20</v>
      </c>
    </row>
    <row r="140" spans="1:13" x14ac:dyDescent="0.25">
      <c r="A140" t="s">
        <v>138</v>
      </c>
      <c r="B140" t="str">
        <f>TEXT(Tabla24[[#This Row],[Fecha]],"dddd")</f>
        <v>domingo</v>
      </c>
      <c r="C140" t="str">
        <f>TEXT(Tabla24[[#This Row],[Fecha]],"mmmm")</f>
        <v>noviembre</v>
      </c>
      <c r="D140" t="str">
        <f>TEXT(Tabla24[[#This Row],[Fecha]],"aaaa")</f>
        <v>2024</v>
      </c>
      <c r="E140" t="s">
        <v>33</v>
      </c>
      <c r="F140" t="s">
        <v>23</v>
      </c>
      <c r="G140" t="s">
        <v>39</v>
      </c>
      <c r="H140" t="s">
        <v>25</v>
      </c>
      <c r="I140" t="s">
        <v>15</v>
      </c>
      <c r="J140">
        <v>9</v>
      </c>
      <c r="K140">
        <v>15143</v>
      </c>
      <c r="L140">
        <f>Tabla24[[#This Row],[Precio_Unitario]]*Tabla24[[#This Row],[Unidades_Vendidas]]</f>
        <v>136287</v>
      </c>
      <c r="M140" t="s">
        <v>27</v>
      </c>
    </row>
    <row r="141" spans="1:13" x14ac:dyDescent="0.25">
      <c r="A141" t="s">
        <v>154</v>
      </c>
      <c r="B141" t="str">
        <f>TEXT(Tabla24[[#This Row],[Fecha]],"dddd")</f>
        <v>sábado</v>
      </c>
      <c r="C141" t="str">
        <f>TEXT(Tabla24[[#This Row],[Fecha]],"mmmm")</f>
        <v>noviembre</v>
      </c>
      <c r="D141" t="str">
        <f>TEXT(Tabla24[[#This Row],[Fecha]],"aaaa")</f>
        <v>2024</v>
      </c>
      <c r="E141" t="s">
        <v>22</v>
      </c>
      <c r="F141" t="s">
        <v>38</v>
      </c>
      <c r="G141" t="s">
        <v>39</v>
      </c>
      <c r="H141" t="s">
        <v>14</v>
      </c>
      <c r="I141" t="s">
        <v>15</v>
      </c>
      <c r="J141">
        <v>2</v>
      </c>
      <c r="K141">
        <v>37032</v>
      </c>
      <c r="L141">
        <f>Tabla24[[#This Row],[Precio_Unitario]]*Tabla24[[#This Row],[Unidades_Vendidas]]</f>
        <v>74064</v>
      </c>
      <c r="M141" t="s">
        <v>20</v>
      </c>
    </row>
    <row r="142" spans="1:13" x14ac:dyDescent="0.25">
      <c r="A142" t="s">
        <v>55</v>
      </c>
      <c r="B142" t="str">
        <f>TEXT(Tabla24[[#This Row],[Fecha]],"dddd")</f>
        <v>domingo</v>
      </c>
      <c r="C142" t="str">
        <f>TEXT(Tabla24[[#This Row],[Fecha]],"mmmm")</f>
        <v>diciembre</v>
      </c>
      <c r="D142" t="str">
        <f>TEXT(Tabla24[[#This Row],[Fecha]],"aaaa")</f>
        <v>2024</v>
      </c>
      <c r="E142" t="s">
        <v>11</v>
      </c>
      <c r="F142" t="s">
        <v>23</v>
      </c>
      <c r="G142" t="s">
        <v>24</v>
      </c>
      <c r="H142" t="s">
        <v>19</v>
      </c>
      <c r="I142" t="s">
        <v>15</v>
      </c>
      <c r="J142">
        <v>10</v>
      </c>
      <c r="K142">
        <v>59246</v>
      </c>
      <c r="L142">
        <f>Tabla24[[#This Row],[Precio_Unitario]]*Tabla24[[#This Row],[Unidades_Vendidas]]</f>
        <v>592460</v>
      </c>
      <c r="M142" t="s">
        <v>27</v>
      </c>
    </row>
    <row r="143" spans="1:13" x14ac:dyDescent="0.25">
      <c r="A143" t="s">
        <v>155</v>
      </c>
      <c r="B143" t="str">
        <f>TEXT(Tabla24[[#This Row],[Fecha]],"dddd")</f>
        <v>martes</v>
      </c>
      <c r="C143" t="str">
        <f>TEXT(Tabla24[[#This Row],[Fecha]],"mmmm")</f>
        <v>diciembre</v>
      </c>
      <c r="D143" t="str">
        <f>TEXT(Tabla24[[#This Row],[Fecha]],"aaaa")</f>
        <v>2024</v>
      </c>
      <c r="E143" t="s">
        <v>11</v>
      </c>
      <c r="F143" t="s">
        <v>12</v>
      </c>
      <c r="G143" t="s">
        <v>48</v>
      </c>
      <c r="H143" t="s">
        <v>19</v>
      </c>
      <c r="I143" t="s">
        <v>40</v>
      </c>
      <c r="J143">
        <v>2</v>
      </c>
      <c r="K143">
        <v>44615</v>
      </c>
      <c r="L143">
        <f>Tabla24[[#This Row],[Precio_Unitario]]*Tabla24[[#This Row],[Unidades_Vendidas]]</f>
        <v>89230</v>
      </c>
      <c r="M143" t="s">
        <v>36</v>
      </c>
    </row>
    <row r="144" spans="1:13" x14ac:dyDescent="0.25">
      <c r="A144" t="s">
        <v>137</v>
      </c>
      <c r="B144" t="str">
        <f>TEXT(Tabla24[[#This Row],[Fecha]],"dddd")</f>
        <v>sábado</v>
      </c>
      <c r="C144" t="str">
        <f>TEXT(Tabla24[[#This Row],[Fecha]],"mmmm")</f>
        <v>mayo</v>
      </c>
      <c r="D144" t="str">
        <f>TEXT(Tabla24[[#This Row],[Fecha]],"aaaa")</f>
        <v>2024</v>
      </c>
      <c r="E144" t="s">
        <v>18</v>
      </c>
      <c r="F144" t="s">
        <v>12</v>
      </c>
      <c r="G144" t="s">
        <v>13</v>
      </c>
      <c r="H144" t="s">
        <v>35</v>
      </c>
      <c r="I144" t="s">
        <v>15</v>
      </c>
      <c r="J144">
        <v>20</v>
      </c>
      <c r="K144">
        <v>34008</v>
      </c>
      <c r="L144">
        <f>Tabla24[[#This Row],[Precio_Unitario]]*Tabla24[[#This Row],[Unidades_Vendidas]]</f>
        <v>680160</v>
      </c>
      <c r="M144" t="s">
        <v>27</v>
      </c>
    </row>
    <row r="145" spans="1:13" x14ac:dyDescent="0.25">
      <c r="A145" t="s">
        <v>156</v>
      </c>
      <c r="B145" t="str">
        <f>TEXT(Tabla24[[#This Row],[Fecha]],"dddd")</f>
        <v>jueves</v>
      </c>
      <c r="C145" t="str">
        <f>TEXT(Tabla24[[#This Row],[Fecha]],"mmmm")</f>
        <v>marzo</v>
      </c>
      <c r="D145" t="str">
        <f>TEXT(Tabla24[[#This Row],[Fecha]],"aaaa")</f>
        <v>2024</v>
      </c>
      <c r="E145" t="s">
        <v>22</v>
      </c>
      <c r="F145" t="s">
        <v>38</v>
      </c>
      <c r="G145" t="s">
        <v>24</v>
      </c>
      <c r="H145" t="s">
        <v>35</v>
      </c>
      <c r="I145" t="s">
        <v>15</v>
      </c>
      <c r="J145">
        <v>11</v>
      </c>
      <c r="K145">
        <v>49260</v>
      </c>
      <c r="L145">
        <f>Tabla24[[#This Row],[Precio_Unitario]]*Tabla24[[#This Row],[Unidades_Vendidas]]</f>
        <v>541860</v>
      </c>
      <c r="M145" t="s">
        <v>27</v>
      </c>
    </row>
    <row r="146" spans="1:13" x14ac:dyDescent="0.25">
      <c r="A146" t="s">
        <v>157</v>
      </c>
      <c r="B146" t="str">
        <f>TEXT(Tabla24[[#This Row],[Fecha]],"dddd")</f>
        <v>viernes</v>
      </c>
      <c r="C146" t="str">
        <f>TEXT(Tabla24[[#This Row],[Fecha]],"mmmm")</f>
        <v>septiembre</v>
      </c>
      <c r="D146" t="str">
        <f>TEXT(Tabla24[[#This Row],[Fecha]],"aaaa")</f>
        <v>2024</v>
      </c>
      <c r="E146" t="s">
        <v>18</v>
      </c>
      <c r="F146" t="s">
        <v>38</v>
      </c>
      <c r="G146" t="s">
        <v>39</v>
      </c>
      <c r="H146" t="s">
        <v>14</v>
      </c>
      <c r="I146" t="s">
        <v>15</v>
      </c>
      <c r="J146">
        <v>19</v>
      </c>
      <c r="K146">
        <v>55055</v>
      </c>
      <c r="L146">
        <f>Tabla24[[#This Row],[Precio_Unitario]]*Tabla24[[#This Row],[Unidades_Vendidas]]</f>
        <v>1046045</v>
      </c>
      <c r="M146" t="s">
        <v>16</v>
      </c>
    </row>
    <row r="147" spans="1:13" x14ac:dyDescent="0.25">
      <c r="A147" t="s">
        <v>158</v>
      </c>
      <c r="B147" t="str">
        <f>TEXT(Tabla24[[#This Row],[Fecha]],"dddd")</f>
        <v>viernes</v>
      </c>
      <c r="C147" t="str">
        <f>TEXT(Tabla24[[#This Row],[Fecha]],"mmmm")</f>
        <v>enero</v>
      </c>
      <c r="D147" t="str">
        <f>TEXT(Tabla24[[#This Row],[Fecha]],"aaaa")</f>
        <v>2024</v>
      </c>
      <c r="E147" t="s">
        <v>11</v>
      </c>
      <c r="F147" t="s">
        <v>12</v>
      </c>
      <c r="G147" t="s">
        <v>44</v>
      </c>
      <c r="H147" t="s">
        <v>14</v>
      </c>
      <c r="I147" t="s">
        <v>40</v>
      </c>
      <c r="J147">
        <v>2</v>
      </c>
      <c r="K147">
        <v>16677</v>
      </c>
      <c r="L147">
        <f>Tabla24[[#This Row],[Precio_Unitario]]*Tabla24[[#This Row],[Unidades_Vendidas]]</f>
        <v>33354</v>
      </c>
      <c r="M147" t="s">
        <v>16</v>
      </c>
    </row>
    <row r="148" spans="1:13" x14ac:dyDescent="0.25">
      <c r="A148" t="s">
        <v>159</v>
      </c>
      <c r="B148" t="str">
        <f>TEXT(Tabla24[[#This Row],[Fecha]],"dddd")</f>
        <v>jueves</v>
      </c>
      <c r="C148" t="str">
        <f>TEXT(Tabla24[[#This Row],[Fecha]],"mmmm")</f>
        <v>febrero</v>
      </c>
      <c r="D148" t="str">
        <f>TEXT(Tabla24[[#This Row],[Fecha]],"aaaa")</f>
        <v>2024</v>
      </c>
      <c r="E148" t="s">
        <v>42</v>
      </c>
      <c r="F148" t="s">
        <v>38</v>
      </c>
      <c r="G148" t="s">
        <v>44</v>
      </c>
      <c r="H148" t="s">
        <v>30</v>
      </c>
      <c r="I148" t="s">
        <v>40</v>
      </c>
      <c r="J148">
        <v>8</v>
      </c>
      <c r="K148">
        <v>15816</v>
      </c>
      <c r="L148">
        <f>Tabla24[[#This Row],[Precio_Unitario]]*Tabla24[[#This Row],[Unidades_Vendidas]]</f>
        <v>126528</v>
      </c>
      <c r="M148" t="s">
        <v>36</v>
      </c>
    </row>
    <row r="149" spans="1:13" x14ac:dyDescent="0.25">
      <c r="A149" t="s">
        <v>141</v>
      </c>
      <c r="B149" t="str">
        <f>TEXT(Tabla24[[#This Row],[Fecha]],"dddd")</f>
        <v>lunes</v>
      </c>
      <c r="C149" t="str">
        <f>TEXT(Tabla24[[#This Row],[Fecha]],"mmmm")</f>
        <v>septiembre</v>
      </c>
      <c r="D149" t="str">
        <f>TEXT(Tabla24[[#This Row],[Fecha]],"aaaa")</f>
        <v>2024</v>
      </c>
      <c r="E149" t="s">
        <v>42</v>
      </c>
      <c r="F149" t="s">
        <v>38</v>
      </c>
      <c r="G149" t="s">
        <v>44</v>
      </c>
      <c r="H149" t="s">
        <v>14</v>
      </c>
      <c r="I149" t="s">
        <v>15</v>
      </c>
      <c r="J149">
        <v>6</v>
      </c>
      <c r="K149">
        <v>55423</v>
      </c>
      <c r="L149">
        <f>Tabla24[[#This Row],[Precio_Unitario]]*Tabla24[[#This Row],[Unidades_Vendidas]]</f>
        <v>332538</v>
      </c>
      <c r="M149" t="s">
        <v>27</v>
      </c>
    </row>
    <row r="150" spans="1:13" x14ac:dyDescent="0.25">
      <c r="A150" t="s">
        <v>160</v>
      </c>
      <c r="B150" t="str">
        <f>TEXT(Tabla24[[#This Row],[Fecha]],"dddd")</f>
        <v>jueves</v>
      </c>
      <c r="C150" t="str">
        <f>TEXT(Tabla24[[#This Row],[Fecha]],"mmmm")</f>
        <v>febrero</v>
      </c>
      <c r="D150" t="str">
        <f>TEXT(Tabla24[[#This Row],[Fecha]],"aaaa")</f>
        <v>2024</v>
      </c>
      <c r="E150" t="s">
        <v>42</v>
      </c>
      <c r="F150" t="s">
        <v>23</v>
      </c>
      <c r="G150" t="s">
        <v>44</v>
      </c>
      <c r="H150" t="s">
        <v>30</v>
      </c>
      <c r="I150" t="s">
        <v>26</v>
      </c>
      <c r="J150">
        <v>1</v>
      </c>
      <c r="K150">
        <v>39064</v>
      </c>
      <c r="L150">
        <f>Tabla24[[#This Row],[Precio_Unitario]]*Tabla24[[#This Row],[Unidades_Vendidas]]</f>
        <v>39064</v>
      </c>
      <c r="M150" t="s">
        <v>27</v>
      </c>
    </row>
    <row r="151" spans="1:13" x14ac:dyDescent="0.25">
      <c r="A151" t="s">
        <v>63</v>
      </c>
      <c r="B151" t="str">
        <f>TEXT(Tabla24[[#This Row],[Fecha]],"dddd")</f>
        <v>lunes</v>
      </c>
      <c r="C151" t="str">
        <f>TEXT(Tabla24[[#This Row],[Fecha]],"mmmm")</f>
        <v>octubre</v>
      </c>
      <c r="D151" t="str">
        <f>TEXT(Tabla24[[#This Row],[Fecha]],"aaaa")</f>
        <v>2024</v>
      </c>
      <c r="E151" t="s">
        <v>22</v>
      </c>
      <c r="F151" t="s">
        <v>12</v>
      </c>
      <c r="G151" t="s">
        <v>24</v>
      </c>
      <c r="H151" t="s">
        <v>25</v>
      </c>
      <c r="I151" t="s">
        <v>40</v>
      </c>
      <c r="J151">
        <v>3</v>
      </c>
      <c r="K151">
        <v>21366</v>
      </c>
      <c r="L151">
        <f>Tabla24[[#This Row],[Precio_Unitario]]*Tabla24[[#This Row],[Unidades_Vendidas]]</f>
        <v>64098</v>
      </c>
      <c r="M151" t="s">
        <v>27</v>
      </c>
    </row>
    <row r="152" spans="1:13" x14ac:dyDescent="0.25">
      <c r="A152" t="s">
        <v>161</v>
      </c>
      <c r="B152" t="str">
        <f>TEXT(Tabla24[[#This Row],[Fecha]],"dddd")</f>
        <v>martes</v>
      </c>
      <c r="C152" t="str">
        <f>TEXT(Tabla24[[#This Row],[Fecha]],"mmmm")</f>
        <v>diciembre</v>
      </c>
      <c r="D152" t="str">
        <f>TEXT(Tabla24[[#This Row],[Fecha]],"aaaa")</f>
        <v>2024</v>
      </c>
      <c r="E152" t="s">
        <v>22</v>
      </c>
      <c r="F152" t="s">
        <v>12</v>
      </c>
      <c r="G152" t="s">
        <v>13</v>
      </c>
      <c r="H152" t="s">
        <v>25</v>
      </c>
      <c r="I152" t="s">
        <v>15</v>
      </c>
      <c r="J152">
        <v>2</v>
      </c>
      <c r="K152">
        <v>41682</v>
      </c>
      <c r="L152">
        <f>Tabla24[[#This Row],[Precio_Unitario]]*Tabla24[[#This Row],[Unidades_Vendidas]]</f>
        <v>83364</v>
      </c>
      <c r="M152" t="s">
        <v>20</v>
      </c>
    </row>
    <row r="153" spans="1:13" x14ac:dyDescent="0.25">
      <c r="A153" t="s">
        <v>162</v>
      </c>
      <c r="B153" t="str">
        <f>TEXT(Tabla24[[#This Row],[Fecha]],"dddd")</f>
        <v>viernes</v>
      </c>
      <c r="C153" t="str">
        <f>TEXT(Tabla24[[#This Row],[Fecha]],"mmmm")</f>
        <v>mayo</v>
      </c>
      <c r="D153" t="str">
        <f>TEXT(Tabla24[[#This Row],[Fecha]],"aaaa")</f>
        <v>2024</v>
      </c>
      <c r="E153" t="s">
        <v>42</v>
      </c>
      <c r="F153" t="s">
        <v>12</v>
      </c>
      <c r="G153" t="s">
        <v>13</v>
      </c>
      <c r="H153" t="s">
        <v>14</v>
      </c>
      <c r="I153" t="s">
        <v>40</v>
      </c>
      <c r="J153">
        <v>13</v>
      </c>
      <c r="K153">
        <v>48846</v>
      </c>
      <c r="L153">
        <f>Tabla24[[#This Row],[Precio_Unitario]]*Tabla24[[#This Row],[Unidades_Vendidas]]</f>
        <v>634998</v>
      </c>
      <c r="M153" t="s">
        <v>36</v>
      </c>
    </row>
    <row r="154" spans="1:13" x14ac:dyDescent="0.25">
      <c r="A154" t="s">
        <v>163</v>
      </c>
      <c r="B154" t="str">
        <f>TEXT(Tabla24[[#This Row],[Fecha]],"dddd")</f>
        <v>miércoles</v>
      </c>
      <c r="C154" t="str">
        <f>TEXT(Tabla24[[#This Row],[Fecha]],"mmmm")</f>
        <v>octubre</v>
      </c>
      <c r="D154" t="str">
        <f>TEXT(Tabla24[[#This Row],[Fecha]],"aaaa")</f>
        <v>2024</v>
      </c>
      <c r="E154" t="s">
        <v>33</v>
      </c>
      <c r="F154" t="s">
        <v>12</v>
      </c>
      <c r="G154" t="s">
        <v>24</v>
      </c>
      <c r="H154" t="s">
        <v>25</v>
      </c>
      <c r="I154" t="s">
        <v>26</v>
      </c>
      <c r="J154">
        <v>11</v>
      </c>
      <c r="K154">
        <v>25360</v>
      </c>
      <c r="L154">
        <f>Tabla24[[#This Row],[Precio_Unitario]]*Tabla24[[#This Row],[Unidades_Vendidas]]</f>
        <v>278960</v>
      </c>
      <c r="M154" t="s">
        <v>20</v>
      </c>
    </row>
    <row r="155" spans="1:13" x14ac:dyDescent="0.25">
      <c r="A155" t="s">
        <v>164</v>
      </c>
      <c r="B155" t="str">
        <f>TEXT(Tabla24[[#This Row],[Fecha]],"dddd")</f>
        <v>domingo</v>
      </c>
      <c r="C155" t="str">
        <f>TEXT(Tabla24[[#This Row],[Fecha]],"mmmm")</f>
        <v>junio</v>
      </c>
      <c r="D155" t="str">
        <f>TEXT(Tabla24[[#This Row],[Fecha]],"aaaa")</f>
        <v>2024</v>
      </c>
      <c r="E155" t="s">
        <v>18</v>
      </c>
      <c r="F155" t="s">
        <v>29</v>
      </c>
      <c r="G155" t="s">
        <v>13</v>
      </c>
      <c r="H155" t="s">
        <v>19</v>
      </c>
      <c r="I155" t="s">
        <v>40</v>
      </c>
      <c r="J155">
        <v>17</v>
      </c>
      <c r="K155">
        <v>35635</v>
      </c>
      <c r="L155">
        <f>Tabla24[[#This Row],[Precio_Unitario]]*Tabla24[[#This Row],[Unidades_Vendidas]]</f>
        <v>605795</v>
      </c>
      <c r="M155" t="s">
        <v>20</v>
      </c>
    </row>
    <row r="156" spans="1:13" x14ac:dyDescent="0.25">
      <c r="A156" t="s">
        <v>165</v>
      </c>
      <c r="B156" t="str">
        <f>TEXT(Tabla24[[#This Row],[Fecha]],"dddd")</f>
        <v>sábado</v>
      </c>
      <c r="C156" t="str">
        <f>TEXT(Tabla24[[#This Row],[Fecha]],"mmmm")</f>
        <v>noviembre</v>
      </c>
      <c r="D156" t="str">
        <f>TEXT(Tabla24[[#This Row],[Fecha]],"aaaa")</f>
        <v>2024</v>
      </c>
      <c r="E156" t="s">
        <v>33</v>
      </c>
      <c r="F156" t="s">
        <v>12</v>
      </c>
      <c r="G156" t="s">
        <v>48</v>
      </c>
      <c r="H156" t="s">
        <v>35</v>
      </c>
      <c r="I156" t="s">
        <v>26</v>
      </c>
      <c r="J156">
        <v>15</v>
      </c>
      <c r="K156">
        <v>24676</v>
      </c>
      <c r="L156">
        <f>Tabla24[[#This Row],[Precio_Unitario]]*Tabla24[[#This Row],[Unidades_Vendidas]]</f>
        <v>370140</v>
      </c>
      <c r="M156" t="s">
        <v>16</v>
      </c>
    </row>
    <row r="157" spans="1:13" x14ac:dyDescent="0.25">
      <c r="A157" t="s">
        <v>166</v>
      </c>
      <c r="B157" t="str">
        <f>TEXT(Tabla24[[#This Row],[Fecha]],"dddd")</f>
        <v>lunes</v>
      </c>
      <c r="C157" t="str">
        <f>TEXT(Tabla24[[#This Row],[Fecha]],"mmmm")</f>
        <v>enero</v>
      </c>
      <c r="D157" t="str">
        <f>TEXT(Tabla24[[#This Row],[Fecha]],"aaaa")</f>
        <v>2024</v>
      </c>
      <c r="E157" t="s">
        <v>42</v>
      </c>
      <c r="F157" t="s">
        <v>29</v>
      </c>
      <c r="G157" t="s">
        <v>24</v>
      </c>
      <c r="H157" t="s">
        <v>14</v>
      </c>
      <c r="I157" t="s">
        <v>26</v>
      </c>
      <c r="J157">
        <v>3</v>
      </c>
      <c r="K157">
        <v>22556</v>
      </c>
      <c r="L157">
        <f>Tabla24[[#This Row],[Precio_Unitario]]*Tabla24[[#This Row],[Unidades_Vendidas]]</f>
        <v>67668</v>
      </c>
      <c r="M157" t="s">
        <v>36</v>
      </c>
    </row>
    <row r="158" spans="1:13" x14ac:dyDescent="0.25">
      <c r="A158" t="s">
        <v>167</v>
      </c>
      <c r="B158" t="str">
        <f>TEXT(Tabla24[[#This Row],[Fecha]],"dddd")</f>
        <v>domingo</v>
      </c>
      <c r="C158" t="str">
        <f>TEXT(Tabla24[[#This Row],[Fecha]],"mmmm")</f>
        <v>agosto</v>
      </c>
      <c r="D158" t="str">
        <f>TEXT(Tabla24[[#This Row],[Fecha]],"aaaa")</f>
        <v>2024</v>
      </c>
      <c r="E158" t="s">
        <v>18</v>
      </c>
      <c r="F158" t="s">
        <v>34</v>
      </c>
      <c r="G158" t="s">
        <v>13</v>
      </c>
      <c r="H158" t="s">
        <v>14</v>
      </c>
      <c r="I158" t="s">
        <v>40</v>
      </c>
      <c r="J158">
        <v>1</v>
      </c>
      <c r="K158">
        <v>45978</v>
      </c>
      <c r="L158">
        <f>Tabla24[[#This Row],[Precio_Unitario]]*Tabla24[[#This Row],[Unidades_Vendidas]]</f>
        <v>45978</v>
      </c>
      <c r="M158" t="s">
        <v>36</v>
      </c>
    </row>
    <row r="159" spans="1:13" x14ac:dyDescent="0.25">
      <c r="A159" t="s">
        <v>168</v>
      </c>
      <c r="B159" t="str">
        <f>TEXT(Tabla24[[#This Row],[Fecha]],"dddd")</f>
        <v>martes</v>
      </c>
      <c r="C159" t="str">
        <f>TEXT(Tabla24[[#This Row],[Fecha]],"mmmm")</f>
        <v>enero</v>
      </c>
      <c r="D159" t="str">
        <f>TEXT(Tabla24[[#This Row],[Fecha]],"aaaa")</f>
        <v>2024</v>
      </c>
      <c r="E159" t="s">
        <v>42</v>
      </c>
      <c r="F159" t="s">
        <v>23</v>
      </c>
      <c r="G159" t="s">
        <v>24</v>
      </c>
      <c r="H159" t="s">
        <v>35</v>
      </c>
      <c r="I159" t="s">
        <v>40</v>
      </c>
      <c r="J159">
        <v>12</v>
      </c>
      <c r="K159">
        <v>31477</v>
      </c>
      <c r="L159">
        <f>Tabla24[[#This Row],[Precio_Unitario]]*Tabla24[[#This Row],[Unidades_Vendidas]]</f>
        <v>377724</v>
      </c>
      <c r="M159" t="s">
        <v>27</v>
      </c>
    </row>
    <row r="160" spans="1:13" x14ac:dyDescent="0.25">
      <c r="A160" t="s">
        <v>67</v>
      </c>
      <c r="B160" t="str">
        <f>TEXT(Tabla24[[#This Row],[Fecha]],"dddd")</f>
        <v>jueves</v>
      </c>
      <c r="C160" t="str">
        <f>TEXT(Tabla24[[#This Row],[Fecha]],"mmmm")</f>
        <v>agosto</v>
      </c>
      <c r="D160" t="str">
        <f>TEXT(Tabla24[[#This Row],[Fecha]],"aaaa")</f>
        <v>2024</v>
      </c>
      <c r="E160" t="s">
        <v>22</v>
      </c>
      <c r="F160" t="s">
        <v>12</v>
      </c>
      <c r="G160" t="s">
        <v>24</v>
      </c>
      <c r="H160" t="s">
        <v>19</v>
      </c>
      <c r="I160" t="s">
        <v>40</v>
      </c>
      <c r="J160">
        <v>13</v>
      </c>
      <c r="K160">
        <v>22430</v>
      </c>
      <c r="L160">
        <f>Tabla24[[#This Row],[Precio_Unitario]]*Tabla24[[#This Row],[Unidades_Vendidas]]</f>
        <v>291590</v>
      </c>
      <c r="M160" t="s">
        <v>36</v>
      </c>
    </row>
    <row r="161" spans="1:13" x14ac:dyDescent="0.25">
      <c r="A161" t="s">
        <v>169</v>
      </c>
      <c r="B161" t="str">
        <f>TEXT(Tabla24[[#This Row],[Fecha]],"dddd")</f>
        <v>viernes</v>
      </c>
      <c r="C161" t="str">
        <f>TEXT(Tabla24[[#This Row],[Fecha]],"mmmm")</f>
        <v>febrero</v>
      </c>
      <c r="D161" t="str">
        <f>TEXT(Tabla24[[#This Row],[Fecha]],"aaaa")</f>
        <v>2024</v>
      </c>
      <c r="E161" t="s">
        <v>42</v>
      </c>
      <c r="F161" t="s">
        <v>23</v>
      </c>
      <c r="G161" t="s">
        <v>39</v>
      </c>
      <c r="H161" t="s">
        <v>25</v>
      </c>
      <c r="I161" t="s">
        <v>15</v>
      </c>
      <c r="J161">
        <v>5</v>
      </c>
      <c r="K161">
        <v>38108</v>
      </c>
      <c r="L161">
        <f>Tabla24[[#This Row],[Precio_Unitario]]*Tabla24[[#This Row],[Unidades_Vendidas]]</f>
        <v>190540</v>
      </c>
      <c r="M161" t="s">
        <v>36</v>
      </c>
    </row>
    <row r="162" spans="1:13" x14ac:dyDescent="0.25">
      <c r="A162" t="s">
        <v>170</v>
      </c>
      <c r="B162" t="str">
        <f>TEXT(Tabla24[[#This Row],[Fecha]],"dddd")</f>
        <v>viernes</v>
      </c>
      <c r="C162" t="str">
        <f>TEXT(Tabla24[[#This Row],[Fecha]],"mmmm")</f>
        <v>agosto</v>
      </c>
      <c r="D162" t="str">
        <f>TEXT(Tabla24[[#This Row],[Fecha]],"aaaa")</f>
        <v>2024</v>
      </c>
      <c r="E162" t="s">
        <v>33</v>
      </c>
      <c r="F162" t="s">
        <v>29</v>
      </c>
      <c r="G162" t="s">
        <v>24</v>
      </c>
      <c r="H162" t="s">
        <v>14</v>
      </c>
      <c r="I162" t="s">
        <v>15</v>
      </c>
      <c r="J162">
        <v>19</v>
      </c>
      <c r="K162">
        <v>27082</v>
      </c>
      <c r="L162">
        <f>Tabla24[[#This Row],[Precio_Unitario]]*Tabla24[[#This Row],[Unidades_Vendidas]]</f>
        <v>514558</v>
      </c>
      <c r="M162" t="s">
        <v>16</v>
      </c>
    </row>
    <row r="163" spans="1:13" x14ac:dyDescent="0.25">
      <c r="A163" t="s">
        <v>171</v>
      </c>
      <c r="B163" t="str">
        <f>TEXT(Tabla24[[#This Row],[Fecha]],"dddd")</f>
        <v>miércoles</v>
      </c>
      <c r="C163" t="str">
        <f>TEXT(Tabla24[[#This Row],[Fecha]],"mmmm")</f>
        <v>noviembre</v>
      </c>
      <c r="D163" t="str">
        <f>TEXT(Tabla24[[#This Row],[Fecha]],"aaaa")</f>
        <v>2024</v>
      </c>
      <c r="E163" t="s">
        <v>42</v>
      </c>
      <c r="F163" t="s">
        <v>34</v>
      </c>
      <c r="G163" t="s">
        <v>44</v>
      </c>
      <c r="H163" t="s">
        <v>30</v>
      </c>
      <c r="I163" t="s">
        <v>40</v>
      </c>
      <c r="J163">
        <v>10</v>
      </c>
      <c r="K163">
        <v>53813</v>
      </c>
      <c r="L163">
        <f>Tabla24[[#This Row],[Precio_Unitario]]*Tabla24[[#This Row],[Unidades_Vendidas]]</f>
        <v>538130</v>
      </c>
      <c r="M163" t="s">
        <v>27</v>
      </c>
    </row>
    <row r="164" spans="1:13" x14ac:dyDescent="0.25">
      <c r="A164" t="s">
        <v>172</v>
      </c>
      <c r="B164" t="str">
        <f>TEXT(Tabla24[[#This Row],[Fecha]],"dddd")</f>
        <v>domingo</v>
      </c>
      <c r="C164" t="str">
        <f>TEXT(Tabla24[[#This Row],[Fecha]],"mmmm")</f>
        <v>marzo</v>
      </c>
      <c r="D164" t="str">
        <f>TEXT(Tabla24[[#This Row],[Fecha]],"aaaa")</f>
        <v>2024</v>
      </c>
      <c r="E164" t="s">
        <v>11</v>
      </c>
      <c r="F164" t="s">
        <v>38</v>
      </c>
      <c r="G164" t="s">
        <v>24</v>
      </c>
      <c r="H164" t="s">
        <v>25</v>
      </c>
      <c r="I164" t="s">
        <v>40</v>
      </c>
      <c r="J164">
        <v>9</v>
      </c>
      <c r="K164">
        <v>49875</v>
      </c>
      <c r="L164">
        <f>Tabla24[[#This Row],[Precio_Unitario]]*Tabla24[[#This Row],[Unidades_Vendidas]]</f>
        <v>448875</v>
      </c>
      <c r="M164" t="s">
        <v>36</v>
      </c>
    </row>
    <row r="165" spans="1:13" x14ac:dyDescent="0.25">
      <c r="A165" t="s">
        <v>173</v>
      </c>
      <c r="B165" t="str">
        <f>TEXT(Tabla24[[#This Row],[Fecha]],"dddd")</f>
        <v>miércoles</v>
      </c>
      <c r="C165" t="str">
        <f>TEXT(Tabla24[[#This Row],[Fecha]],"mmmm")</f>
        <v>abril</v>
      </c>
      <c r="D165" t="str">
        <f>TEXT(Tabla24[[#This Row],[Fecha]],"aaaa")</f>
        <v>2024</v>
      </c>
      <c r="E165" t="s">
        <v>42</v>
      </c>
      <c r="F165" t="s">
        <v>29</v>
      </c>
      <c r="G165" t="s">
        <v>24</v>
      </c>
      <c r="H165" t="s">
        <v>35</v>
      </c>
      <c r="I165" t="s">
        <v>15</v>
      </c>
      <c r="J165">
        <v>1</v>
      </c>
      <c r="K165">
        <v>32297</v>
      </c>
      <c r="L165">
        <f>Tabla24[[#This Row],[Precio_Unitario]]*Tabla24[[#This Row],[Unidades_Vendidas]]</f>
        <v>32297</v>
      </c>
      <c r="M165" t="s">
        <v>27</v>
      </c>
    </row>
    <row r="166" spans="1:13" x14ac:dyDescent="0.25">
      <c r="A166" t="s">
        <v>90</v>
      </c>
      <c r="B166" t="str">
        <f>TEXT(Tabla24[[#This Row],[Fecha]],"dddd")</f>
        <v>miércoles</v>
      </c>
      <c r="C166" t="str">
        <f>TEXT(Tabla24[[#This Row],[Fecha]],"mmmm")</f>
        <v>enero</v>
      </c>
      <c r="D166" t="str">
        <f>TEXT(Tabla24[[#This Row],[Fecha]],"aaaa")</f>
        <v>2024</v>
      </c>
      <c r="E166" t="s">
        <v>11</v>
      </c>
      <c r="F166" t="s">
        <v>23</v>
      </c>
      <c r="G166" t="s">
        <v>44</v>
      </c>
      <c r="H166" t="s">
        <v>30</v>
      </c>
      <c r="I166" t="s">
        <v>15</v>
      </c>
      <c r="J166">
        <v>12</v>
      </c>
      <c r="K166">
        <v>39710</v>
      </c>
      <c r="L166">
        <f>Tabla24[[#This Row],[Precio_Unitario]]*Tabla24[[#This Row],[Unidades_Vendidas]]</f>
        <v>476520</v>
      </c>
      <c r="M166" t="s">
        <v>20</v>
      </c>
    </row>
    <row r="167" spans="1:13" x14ac:dyDescent="0.25">
      <c r="A167" t="s">
        <v>174</v>
      </c>
      <c r="B167" t="str">
        <f>TEXT(Tabla24[[#This Row],[Fecha]],"dddd")</f>
        <v>lunes</v>
      </c>
      <c r="C167" t="str">
        <f>TEXT(Tabla24[[#This Row],[Fecha]],"mmmm")</f>
        <v>febrero</v>
      </c>
      <c r="D167" t="str">
        <f>TEXT(Tabla24[[#This Row],[Fecha]],"aaaa")</f>
        <v>2024</v>
      </c>
      <c r="E167" t="s">
        <v>11</v>
      </c>
      <c r="F167" t="s">
        <v>12</v>
      </c>
      <c r="G167" t="s">
        <v>24</v>
      </c>
      <c r="H167" t="s">
        <v>14</v>
      </c>
      <c r="I167" t="s">
        <v>15</v>
      </c>
      <c r="J167">
        <v>11</v>
      </c>
      <c r="K167">
        <v>27334</v>
      </c>
      <c r="L167">
        <f>Tabla24[[#This Row],[Precio_Unitario]]*Tabla24[[#This Row],[Unidades_Vendidas]]</f>
        <v>300674</v>
      </c>
      <c r="M167" t="s">
        <v>20</v>
      </c>
    </row>
    <row r="168" spans="1:13" x14ac:dyDescent="0.25">
      <c r="A168" t="s">
        <v>175</v>
      </c>
      <c r="B168" t="str">
        <f>TEXT(Tabla24[[#This Row],[Fecha]],"dddd")</f>
        <v>domingo</v>
      </c>
      <c r="C168" t="str">
        <f>TEXT(Tabla24[[#This Row],[Fecha]],"mmmm")</f>
        <v>febrero</v>
      </c>
      <c r="D168" t="str">
        <f>TEXT(Tabla24[[#This Row],[Fecha]],"aaaa")</f>
        <v>2024</v>
      </c>
      <c r="E168" t="s">
        <v>22</v>
      </c>
      <c r="F168" t="s">
        <v>23</v>
      </c>
      <c r="G168" t="s">
        <v>48</v>
      </c>
      <c r="H168" t="s">
        <v>19</v>
      </c>
      <c r="I168" t="s">
        <v>15</v>
      </c>
      <c r="J168">
        <v>3</v>
      </c>
      <c r="K168">
        <v>22760</v>
      </c>
      <c r="L168">
        <f>Tabla24[[#This Row],[Precio_Unitario]]*Tabla24[[#This Row],[Unidades_Vendidas]]</f>
        <v>68280</v>
      </c>
      <c r="M168" t="s">
        <v>36</v>
      </c>
    </row>
    <row r="169" spans="1:13" x14ac:dyDescent="0.25">
      <c r="A169" t="s">
        <v>176</v>
      </c>
      <c r="B169" t="str">
        <f>TEXT(Tabla24[[#This Row],[Fecha]],"dddd")</f>
        <v>domingo</v>
      </c>
      <c r="C169" t="str">
        <f>TEXT(Tabla24[[#This Row],[Fecha]],"mmmm")</f>
        <v>septiembre</v>
      </c>
      <c r="D169" t="str">
        <f>TEXT(Tabla24[[#This Row],[Fecha]],"aaaa")</f>
        <v>2024</v>
      </c>
      <c r="E169" t="s">
        <v>42</v>
      </c>
      <c r="F169" t="s">
        <v>23</v>
      </c>
      <c r="G169" t="s">
        <v>48</v>
      </c>
      <c r="H169" t="s">
        <v>30</v>
      </c>
      <c r="I169" t="s">
        <v>15</v>
      </c>
      <c r="J169">
        <v>15</v>
      </c>
      <c r="K169">
        <v>30645</v>
      </c>
      <c r="L169">
        <f>Tabla24[[#This Row],[Precio_Unitario]]*Tabla24[[#This Row],[Unidades_Vendidas]]</f>
        <v>459675</v>
      </c>
      <c r="M169" t="s">
        <v>20</v>
      </c>
    </row>
    <row r="170" spans="1:13" x14ac:dyDescent="0.25">
      <c r="A170" t="s">
        <v>144</v>
      </c>
      <c r="B170" t="str">
        <f>TEXT(Tabla24[[#This Row],[Fecha]],"dddd")</f>
        <v>sábado</v>
      </c>
      <c r="C170" t="str">
        <f>TEXT(Tabla24[[#This Row],[Fecha]],"mmmm")</f>
        <v>abril</v>
      </c>
      <c r="D170" t="str">
        <f>TEXT(Tabla24[[#This Row],[Fecha]],"aaaa")</f>
        <v>2024</v>
      </c>
      <c r="E170" t="s">
        <v>18</v>
      </c>
      <c r="F170" t="s">
        <v>23</v>
      </c>
      <c r="G170" t="s">
        <v>24</v>
      </c>
      <c r="H170" t="s">
        <v>25</v>
      </c>
      <c r="I170" t="s">
        <v>40</v>
      </c>
      <c r="J170">
        <v>4</v>
      </c>
      <c r="K170">
        <v>55336</v>
      </c>
      <c r="L170">
        <f>Tabla24[[#This Row],[Precio_Unitario]]*Tabla24[[#This Row],[Unidades_Vendidas]]</f>
        <v>221344</v>
      </c>
      <c r="M170" t="s">
        <v>16</v>
      </c>
    </row>
    <row r="171" spans="1:13" x14ac:dyDescent="0.25">
      <c r="A171" t="s">
        <v>177</v>
      </c>
      <c r="B171" t="str">
        <f>TEXT(Tabla24[[#This Row],[Fecha]],"dddd")</f>
        <v>martes</v>
      </c>
      <c r="C171" t="str">
        <f>TEXT(Tabla24[[#This Row],[Fecha]],"mmmm")</f>
        <v>abril</v>
      </c>
      <c r="D171" t="str">
        <f>TEXT(Tabla24[[#This Row],[Fecha]],"aaaa")</f>
        <v>2024</v>
      </c>
      <c r="E171" t="s">
        <v>22</v>
      </c>
      <c r="F171" t="s">
        <v>34</v>
      </c>
      <c r="G171" t="s">
        <v>44</v>
      </c>
      <c r="H171" t="s">
        <v>19</v>
      </c>
      <c r="I171" t="s">
        <v>26</v>
      </c>
      <c r="J171">
        <v>10</v>
      </c>
      <c r="K171">
        <v>46579</v>
      </c>
      <c r="L171">
        <f>Tabla24[[#This Row],[Precio_Unitario]]*Tabla24[[#This Row],[Unidades_Vendidas]]</f>
        <v>465790</v>
      </c>
      <c r="M171" t="s">
        <v>16</v>
      </c>
    </row>
    <row r="172" spans="1:13" x14ac:dyDescent="0.25">
      <c r="A172" t="s">
        <v>90</v>
      </c>
      <c r="B172" t="str">
        <f>TEXT(Tabla24[[#This Row],[Fecha]],"dddd")</f>
        <v>miércoles</v>
      </c>
      <c r="C172" t="str">
        <f>TEXT(Tabla24[[#This Row],[Fecha]],"mmmm")</f>
        <v>enero</v>
      </c>
      <c r="D172" t="str">
        <f>TEXT(Tabla24[[#This Row],[Fecha]],"aaaa")</f>
        <v>2024</v>
      </c>
      <c r="E172" t="s">
        <v>11</v>
      </c>
      <c r="F172" t="s">
        <v>23</v>
      </c>
      <c r="G172" t="s">
        <v>48</v>
      </c>
      <c r="H172" t="s">
        <v>25</v>
      </c>
      <c r="I172" t="s">
        <v>15</v>
      </c>
      <c r="J172">
        <v>13</v>
      </c>
      <c r="K172">
        <v>54958</v>
      </c>
      <c r="L172">
        <f>Tabla24[[#This Row],[Precio_Unitario]]*Tabla24[[#This Row],[Unidades_Vendidas]]</f>
        <v>714454</v>
      </c>
      <c r="M172" t="s">
        <v>36</v>
      </c>
    </row>
    <row r="173" spans="1:13" x14ac:dyDescent="0.25">
      <c r="A173" t="s">
        <v>178</v>
      </c>
      <c r="B173" t="str">
        <f>TEXT(Tabla24[[#This Row],[Fecha]],"dddd")</f>
        <v>jueves</v>
      </c>
      <c r="C173" t="str">
        <f>TEXT(Tabla24[[#This Row],[Fecha]],"mmmm")</f>
        <v>julio</v>
      </c>
      <c r="D173" t="str">
        <f>TEXT(Tabla24[[#This Row],[Fecha]],"aaaa")</f>
        <v>2024</v>
      </c>
      <c r="E173" t="s">
        <v>22</v>
      </c>
      <c r="F173" t="s">
        <v>23</v>
      </c>
      <c r="G173" t="s">
        <v>13</v>
      </c>
      <c r="H173" t="s">
        <v>35</v>
      </c>
      <c r="I173" t="s">
        <v>40</v>
      </c>
      <c r="J173">
        <v>19</v>
      </c>
      <c r="K173">
        <v>53506</v>
      </c>
      <c r="L173">
        <f>Tabla24[[#This Row],[Precio_Unitario]]*Tabla24[[#This Row],[Unidades_Vendidas]]</f>
        <v>1016614</v>
      </c>
      <c r="M173" t="s">
        <v>20</v>
      </c>
    </row>
    <row r="174" spans="1:13" x14ac:dyDescent="0.25">
      <c r="A174" t="s">
        <v>179</v>
      </c>
      <c r="B174" t="str">
        <f>TEXT(Tabla24[[#This Row],[Fecha]],"dddd")</f>
        <v>jueves</v>
      </c>
      <c r="C174" t="str">
        <f>TEXT(Tabla24[[#This Row],[Fecha]],"mmmm")</f>
        <v>febrero</v>
      </c>
      <c r="D174" t="str">
        <f>TEXT(Tabla24[[#This Row],[Fecha]],"aaaa")</f>
        <v>2024</v>
      </c>
      <c r="E174" t="s">
        <v>18</v>
      </c>
      <c r="F174" t="s">
        <v>38</v>
      </c>
      <c r="G174" t="s">
        <v>13</v>
      </c>
      <c r="H174" t="s">
        <v>30</v>
      </c>
      <c r="I174" t="s">
        <v>26</v>
      </c>
      <c r="J174">
        <v>16</v>
      </c>
      <c r="K174">
        <v>47165</v>
      </c>
      <c r="L174">
        <f>Tabla24[[#This Row],[Precio_Unitario]]*Tabla24[[#This Row],[Unidades_Vendidas]]</f>
        <v>754640</v>
      </c>
      <c r="M174" t="s">
        <v>27</v>
      </c>
    </row>
    <row r="175" spans="1:13" x14ac:dyDescent="0.25">
      <c r="A175" t="s">
        <v>180</v>
      </c>
      <c r="B175" t="str">
        <f>TEXT(Tabla24[[#This Row],[Fecha]],"dddd")</f>
        <v>viernes</v>
      </c>
      <c r="C175" t="str">
        <f>TEXT(Tabla24[[#This Row],[Fecha]],"mmmm")</f>
        <v>marzo</v>
      </c>
      <c r="D175" t="str">
        <f>TEXT(Tabla24[[#This Row],[Fecha]],"aaaa")</f>
        <v>2024</v>
      </c>
      <c r="E175" t="s">
        <v>11</v>
      </c>
      <c r="F175" t="s">
        <v>38</v>
      </c>
      <c r="G175" t="s">
        <v>24</v>
      </c>
      <c r="H175" t="s">
        <v>25</v>
      </c>
      <c r="I175" t="s">
        <v>26</v>
      </c>
      <c r="J175">
        <v>7</v>
      </c>
      <c r="K175">
        <v>17402</v>
      </c>
      <c r="L175">
        <f>Tabla24[[#This Row],[Precio_Unitario]]*Tabla24[[#This Row],[Unidades_Vendidas]]</f>
        <v>121814</v>
      </c>
      <c r="M175" t="s">
        <v>27</v>
      </c>
    </row>
    <row r="176" spans="1:13" x14ac:dyDescent="0.25">
      <c r="A176" t="s">
        <v>181</v>
      </c>
      <c r="B176" t="str">
        <f>TEXT(Tabla24[[#This Row],[Fecha]],"dddd")</f>
        <v>viernes</v>
      </c>
      <c r="C176" t="str">
        <f>TEXT(Tabla24[[#This Row],[Fecha]],"mmmm")</f>
        <v>agosto</v>
      </c>
      <c r="D176" t="str">
        <f>TEXT(Tabla24[[#This Row],[Fecha]],"aaaa")</f>
        <v>2024</v>
      </c>
      <c r="E176" t="s">
        <v>42</v>
      </c>
      <c r="F176" t="s">
        <v>23</v>
      </c>
      <c r="G176" t="s">
        <v>44</v>
      </c>
      <c r="H176" t="s">
        <v>19</v>
      </c>
      <c r="I176" t="s">
        <v>40</v>
      </c>
      <c r="J176">
        <v>2</v>
      </c>
      <c r="K176">
        <v>17121</v>
      </c>
      <c r="L176">
        <f>Tabla24[[#This Row],[Precio_Unitario]]*Tabla24[[#This Row],[Unidades_Vendidas]]</f>
        <v>34242</v>
      </c>
      <c r="M176" t="s">
        <v>27</v>
      </c>
    </row>
    <row r="177" spans="1:13" x14ac:dyDescent="0.25">
      <c r="A177" t="s">
        <v>182</v>
      </c>
      <c r="B177" t="str">
        <f>TEXT(Tabla24[[#This Row],[Fecha]],"dddd")</f>
        <v>martes</v>
      </c>
      <c r="C177" t="str">
        <f>TEXT(Tabla24[[#This Row],[Fecha]],"mmmm")</f>
        <v>diciembre</v>
      </c>
      <c r="D177" t="str">
        <f>TEXT(Tabla24[[#This Row],[Fecha]],"aaaa")</f>
        <v>2024</v>
      </c>
      <c r="E177" t="s">
        <v>18</v>
      </c>
      <c r="F177" t="s">
        <v>38</v>
      </c>
      <c r="G177" t="s">
        <v>39</v>
      </c>
      <c r="H177" t="s">
        <v>35</v>
      </c>
      <c r="I177" t="s">
        <v>26</v>
      </c>
      <c r="J177">
        <v>9</v>
      </c>
      <c r="K177">
        <v>50343</v>
      </c>
      <c r="L177">
        <f>Tabla24[[#This Row],[Precio_Unitario]]*Tabla24[[#This Row],[Unidades_Vendidas]]</f>
        <v>453087</v>
      </c>
      <c r="M177" t="s">
        <v>36</v>
      </c>
    </row>
    <row r="178" spans="1:13" x14ac:dyDescent="0.25">
      <c r="A178" t="s">
        <v>183</v>
      </c>
      <c r="B178" t="str">
        <f>TEXT(Tabla24[[#This Row],[Fecha]],"dddd")</f>
        <v>sábado</v>
      </c>
      <c r="C178" t="str">
        <f>TEXT(Tabla24[[#This Row],[Fecha]],"mmmm")</f>
        <v>noviembre</v>
      </c>
      <c r="D178" t="str">
        <f>TEXT(Tabla24[[#This Row],[Fecha]],"aaaa")</f>
        <v>2024</v>
      </c>
      <c r="E178" t="s">
        <v>42</v>
      </c>
      <c r="F178" t="s">
        <v>34</v>
      </c>
      <c r="G178" t="s">
        <v>44</v>
      </c>
      <c r="H178" t="s">
        <v>19</v>
      </c>
      <c r="I178" t="s">
        <v>15</v>
      </c>
      <c r="J178">
        <v>1</v>
      </c>
      <c r="K178">
        <v>51300</v>
      </c>
      <c r="L178">
        <f>Tabla24[[#This Row],[Precio_Unitario]]*Tabla24[[#This Row],[Unidades_Vendidas]]</f>
        <v>51300</v>
      </c>
      <c r="M178" t="s">
        <v>16</v>
      </c>
    </row>
    <row r="179" spans="1:13" x14ac:dyDescent="0.25">
      <c r="A179" t="s">
        <v>184</v>
      </c>
      <c r="B179" t="str">
        <f>TEXT(Tabla24[[#This Row],[Fecha]],"dddd")</f>
        <v>domingo</v>
      </c>
      <c r="C179" t="str">
        <f>TEXT(Tabla24[[#This Row],[Fecha]],"mmmm")</f>
        <v>septiembre</v>
      </c>
      <c r="D179" t="str">
        <f>TEXT(Tabla24[[#This Row],[Fecha]],"aaaa")</f>
        <v>2024</v>
      </c>
      <c r="E179" t="s">
        <v>33</v>
      </c>
      <c r="F179" t="s">
        <v>34</v>
      </c>
      <c r="G179" t="s">
        <v>39</v>
      </c>
      <c r="H179" t="s">
        <v>25</v>
      </c>
      <c r="I179" t="s">
        <v>26</v>
      </c>
      <c r="J179">
        <v>16</v>
      </c>
      <c r="K179">
        <v>33026</v>
      </c>
      <c r="L179">
        <f>Tabla24[[#This Row],[Precio_Unitario]]*Tabla24[[#This Row],[Unidades_Vendidas]]</f>
        <v>528416</v>
      </c>
      <c r="M179" t="s">
        <v>27</v>
      </c>
    </row>
    <row r="180" spans="1:13" x14ac:dyDescent="0.25">
      <c r="A180" t="s">
        <v>61</v>
      </c>
      <c r="B180" t="str">
        <f>TEXT(Tabla24[[#This Row],[Fecha]],"dddd")</f>
        <v>domingo</v>
      </c>
      <c r="C180" t="str">
        <f>TEXT(Tabla24[[#This Row],[Fecha]],"mmmm")</f>
        <v>abril</v>
      </c>
      <c r="D180" t="str">
        <f>TEXT(Tabla24[[#This Row],[Fecha]],"aaaa")</f>
        <v>2024</v>
      </c>
      <c r="E180" t="s">
        <v>42</v>
      </c>
      <c r="F180" t="s">
        <v>12</v>
      </c>
      <c r="G180" t="s">
        <v>44</v>
      </c>
      <c r="H180" t="s">
        <v>14</v>
      </c>
      <c r="I180" t="s">
        <v>40</v>
      </c>
      <c r="J180">
        <v>2</v>
      </c>
      <c r="K180">
        <v>46008</v>
      </c>
      <c r="L180">
        <f>Tabla24[[#This Row],[Precio_Unitario]]*Tabla24[[#This Row],[Unidades_Vendidas]]</f>
        <v>92016</v>
      </c>
      <c r="M180" t="s">
        <v>36</v>
      </c>
    </row>
    <row r="181" spans="1:13" x14ac:dyDescent="0.25">
      <c r="A181" t="s">
        <v>185</v>
      </c>
      <c r="B181" t="str">
        <f>TEXT(Tabla24[[#This Row],[Fecha]],"dddd")</f>
        <v>domingo</v>
      </c>
      <c r="C181" t="str">
        <f>TEXT(Tabla24[[#This Row],[Fecha]],"mmmm")</f>
        <v>noviembre</v>
      </c>
      <c r="D181" t="str">
        <f>TEXT(Tabla24[[#This Row],[Fecha]],"aaaa")</f>
        <v>2024</v>
      </c>
      <c r="E181" t="s">
        <v>22</v>
      </c>
      <c r="F181" t="s">
        <v>29</v>
      </c>
      <c r="G181" t="s">
        <v>44</v>
      </c>
      <c r="H181" t="s">
        <v>25</v>
      </c>
      <c r="I181" t="s">
        <v>15</v>
      </c>
      <c r="J181">
        <v>6</v>
      </c>
      <c r="K181">
        <v>36913</v>
      </c>
      <c r="L181">
        <f>Tabla24[[#This Row],[Precio_Unitario]]*Tabla24[[#This Row],[Unidades_Vendidas]]</f>
        <v>221478</v>
      </c>
      <c r="M181" t="s">
        <v>36</v>
      </c>
    </row>
    <row r="182" spans="1:13" x14ac:dyDescent="0.25">
      <c r="A182" t="s">
        <v>186</v>
      </c>
      <c r="B182" t="str">
        <f>TEXT(Tabla24[[#This Row],[Fecha]],"dddd")</f>
        <v>jueves</v>
      </c>
      <c r="C182" t="str">
        <f>TEXT(Tabla24[[#This Row],[Fecha]],"mmmm")</f>
        <v>marzo</v>
      </c>
      <c r="D182" t="str">
        <f>TEXT(Tabla24[[#This Row],[Fecha]],"aaaa")</f>
        <v>2024</v>
      </c>
      <c r="E182" t="s">
        <v>18</v>
      </c>
      <c r="F182" t="s">
        <v>12</v>
      </c>
      <c r="G182" t="s">
        <v>48</v>
      </c>
      <c r="H182" t="s">
        <v>30</v>
      </c>
      <c r="I182" t="s">
        <v>40</v>
      </c>
      <c r="J182">
        <v>17</v>
      </c>
      <c r="K182">
        <v>44130</v>
      </c>
      <c r="L182">
        <f>Tabla24[[#This Row],[Precio_Unitario]]*Tabla24[[#This Row],[Unidades_Vendidas]]</f>
        <v>750210</v>
      </c>
      <c r="M182" t="s">
        <v>36</v>
      </c>
    </row>
    <row r="183" spans="1:13" x14ac:dyDescent="0.25">
      <c r="A183" t="s">
        <v>187</v>
      </c>
      <c r="B183" t="str">
        <f>TEXT(Tabla24[[#This Row],[Fecha]],"dddd")</f>
        <v>jueves</v>
      </c>
      <c r="C183" t="str">
        <f>TEXT(Tabla24[[#This Row],[Fecha]],"mmmm")</f>
        <v>mayo</v>
      </c>
      <c r="D183" t="str">
        <f>TEXT(Tabla24[[#This Row],[Fecha]],"aaaa")</f>
        <v>2024</v>
      </c>
      <c r="E183" t="s">
        <v>33</v>
      </c>
      <c r="F183" t="s">
        <v>12</v>
      </c>
      <c r="G183" t="s">
        <v>13</v>
      </c>
      <c r="H183" t="s">
        <v>35</v>
      </c>
      <c r="I183" t="s">
        <v>40</v>
      </c>
      <c r="J183">
        <v>2</v>
      </c>
      <c r="K183">
        <v>22956</v>
      </c>
      <c r="L183">
        <f>Tabla24[[#This Row],[Precio_Unitario]]*Tabla24[[#This Row],[Unidades_Vendidas]]</f>
        <v>45912</v>
      </c>
      <c r="M183" t="s">
        <v>16</v>
      </c>
    </row>
    <row r="184" spans="1:13" x14ac:dyDescent="0.25">
      <c r="A184" t="s">
        <v>188</v>
      </c>
      <c r="B184" t="str">
        <f>TEXT(Tabla24[[#This Row],[Fecha]],"dddd")</f>
        <v>miércoles</v>
      </c>
      <c r="C184" t="str">
        <f>TEXT(Tabla24[[#This Row],[Fecha]],"mmmm")</f>
        <v>enero</v>
      </c>
      <c r="D184" t="str">
        <f>TEXT(Tabla24[[#This Row],[Fecha]],"aaaa")</f>
        <v>2024</v>
      </c>
      <c r="E184" t="s">
        <v>42</v>
      </c>
      <c r="F184" t="s">
        <v>29</v>
      </c>
      <c r="G184" t="s">
        <v>24</v>
      </c>
      <c r="H184" t="s">
        <v>35</v>
      </c>
      <c r="I184" t="s">
        <v>15</v>
      </c>
      <c r="J184">
        <v>8</v>
      </c>
      <c r="K184">
        <v>40805</v>
      </c>
      <c r="L184">
        <f>Tabla24[[#This Row],[Precio_Unitario]]*Tabla24[[#This Row],[Unidades_Vendidas]]</f>
        <v>326440</v>
      </c>
      <c r="M184" t="s">
        <v>20</v>
      </c>
    </row>
    <row r="185" spans="1:13" x14ac:dyDescent="0.25">
      <c r="A185" t="s">
        <v>189</v>
      </c>
      <c r="B185" t="str">
        <f>TEXT(Tabla24[[#This Row],[Fecha]],"dddd")</f>
        <v>sábado</v>
      </c>
      <c r="C185" t="str">
        <f>TEXT(Tabla24[[#This Row],[Fecha]],"mmmm")</f>
        <v>abril</v>
      </c>
      <c r="D185" t="str">
        <f>TEXT(Tabla24[[#This Row],[Fecha]],"aaaa")</f>
        <v>2024</v>
      </c>
      <c r="E185" t="s">
        <v>11</v>
      </c>
      <c r="F185" t="s">
        <v>12</v>
      </c>
      <c r="G185" t="s">
        <v>24</v>
      </c>
      <c r="H185" t="s">
        <v>35</v>
      </c>
      <c r="I185" t="s">
        <v>26</v>
      </c>
      <c r="J185">
        <v>12</v>
      </c>
      <c r="K185">
        <v>45674</v>
      </c>
      <c r="L185">
        <f>Tabla24[[#This Row],[Precio_Unitario]]*Tabla24[[#This Row],[Unidades_Vendidas]]</f>
        <v>548088</v>
      </c>
      <c r="M185" t="s">
        <v>36</v>
      </c>
    </row>
    <row r="186" spans="1:13" x14ac:dyDescent="0.25">
      <c r="A186" t="s">
        <v>190</v>
      </c>
      <c r="B186" t="str">
        <f>TEXT(Tabla24[[#This Row],[Fecha]],"dddd")</f>
        <v>sábado</v>
      </c>
      <c r="C186" t="str">
        <f>TEXT(Tabla24[[#This Row],[Fecha]],"mmmm")</f>
        <v>agosto</v>
      </c>
      <c r="D186" t="str">
        <f>TEXT(Tabla24[[#This Row],[Fecha]],"aaaa")</f>
        <v>2024</v>
      </c>
      <c r="E186" t="s">
        <v>11</v>
      </c>
      <c r="F186" t="s">
        <v>34</v>
      </c>
      <c r="G186" t="s">
        <v>48</v>
      </c>
      <c r="H186" t="s">
        <v>35</v>
      </c>
      <c r="I186" t="s">
        <v>26</v>
      </c>
      <c r="J186">
        <v>14</v>
      </c>
      <c r="K186">
        <v>19795</v>
      </c>
      <c r="L186">
        <f>Tabla24[[#This Row],[Precio_Unitario]]*Tabla24[[#This Row],[Unidades_Vendidas]]</f>
        <v>277130</v>
      </c>
      <c r="M186" t="s">
        <v>27</v>
      </c>
    </row>
    <row r="187" spans="1:13" x14ac:dyDescent="0.25">
      <c r="A187" t="s">
        <v>191</v>
      </c>
      <c r="B187" t="str">
        <f>TEXT(Tabla24[[#This Row],[Fecha]],"dddd")</f>
        <v>sábado</v>
      </c>
      <c r="C187" t="str">
        <f>TEXT(Tabla24[[#This Row],[Fecha]],"mmmm")</f>
        <v>marzo</v>
      </c>
      <c r="D187" t="str">
        <f>TEXT(Tabla24[[#This Row],[Fecha]],"aaaa")</f>
        <v>2024</v>
      </c>
      <c r="E187" t="s">
        <v>33</v>
      </c>
      <c r="F187" t="s">
        <v>34</v>
      </c>
      <c r="G187" t="s">
        <v>24</v>
      </c>
      <c r="H187" t="s">
        <v>25</v>
      </c>
      <c r="I187" t="s">
        <v>15</v>
      </c>
      <c r="J187">
        <v>20</v>
      </c>
      <c r="K187">
        <v>45348</v>
      </c>
      <c r="L187">
        <f>Tabla24[[#This Row],[Precio_Unitario]]*Tabla24[[#This Row],[Unidades_Vendidas]]</f>
        <v>906960</v>
      </c>
      <c r="M187" t="s">
        <v>20</v>
      </c>
    </row>
    <row r="188" spans="1:13" x14ac:dyDescent="0.25">
      <c r="A188" t="s">
        <v>192</v>
      </c>
      <c r="B188" t="str">
        <f>TEXT(Tabla24[[#This Row],[Fecha]],"dddd")</f>
        <v>martes</v>
      </c>
      <c r="C188" t="str">
        <f>TEXT(Tabla24[[#This Row],[Fecha]],"mmmm")</f>
        <v>septiembre</v>
      </c>
      <c r="D188" t="str">
        <f>TEXT(Tabla24[[#This Row],[Fecha]],"aaaa")</f>
        <v>2024</v>
      </c>
      <c r="E188" t="s">
        <v>22</v>
      </c>
      <c r="F188" t="s">
        <v>29</v>
      </c>
      <c r="G188" t="s">
        <v>44</v>
      </c>
      <c r="H188" t="s">
        <v>35</v>
      </c>
      <c r="I188" t="s">
        <v>26</v>
      </c>
      <c r="J188">
        <v>1</v>
      </c>
      <c r="K188">
        <v>50520</v>
      </c>
      <c r="L188">
        <f>Tabla24[[#This Row],[Precio_Unitario]]*Tabla24[[#This Row],[Unidades_Vendidas]]</f>
        <v>50520</v>
      </c>
      <c r="M188" t="s">
        <v>36</v>
      </c>
    </row>
    <row r="189" spans="1:13" x14ac:dyDescent="0.25">
      <c r="A189" t="s">
        <v>193</v>
      </c>
      <c r="B189" t="str">
        <f>TEXT(Tabla24[[#This Row],[Fecha]],"dddd")</f>
        <v>miércoles</v>
      </c>
      <c r="C189" t="str">
        <f>TEXT(Tabla24[[#This Row],[Fecha]],"mmmm")</f>
        <v>junio</v>
      </c>
      <c r="D189" t="str">
        <f>TEXT(Tabla24[[#This Row],[Fecha]],"aaaa")</f>
        <v>2024</v>
      </c>
      <c r="E189" t="s">
        <v>42</v>
      </c>
      <c r="F189" t="s">
        <v>29</v>
      </c>
      <c r="G189" t="s">
        <v>39</v>
      </c>
      <c r="H189" t="s">
        <v>14</v>
      </c>
      <c r="I189" t="s">
        <v>40</v>
      </c>
      <c r="J189">
        <v>4</v>
      </c>
      <c r="K189">
        <v>57994</v>
      </c>
      <c r="L189">
        <f>Tabla24[[#This Row],[Precio_Unitario]]*Tabla24[[#This Row],[Unidades_Vendidas]]</f>
        <v>231976</v>
      </c>
      <c r="M189" t="s">
        <v>36</v>
      </c>
    </row>
    <row r="190" spans="1:13" x14ac:dyDescent="0.25">
      <c r="A190" t="s">
        <v>172</v>
      </c>
      <c r="B190" t="str">
        <f>TEXT(Tabla24[[#This Row],[Fecha]],"dddd")</f>
        <v>domingo</v>
      </c>
      <c r="C190" t="str">
        <f>TEXT(Tabla24[[#This Row],[Fecha]],"mmmm")</f>
        <v>marzo</v>
      </c>
      <c r="D190" t="str">
        <f>TEXT(Tabla24[[#This Row],[Fecha]],"aaaa")</f>
        <v>2024</v>
      </c>
      <c r="E190" t="s">
        <v>42</v>
      </c>
      <c r="F190" t="s">
        <v>38</v>
      </c>
      <c r="G190" t="s">
        <v>24</v>
      </c>
      <c r="H190" t="s">
        <v>14</v>
      </c>
      <c r="I190" t="s">
        <v>15</v>
      </c>
      <c r="J190">
        <v>1</v>
      </c>
      <c r="K190">
        <v>44593</v>
      </c>
      <c r="L190">
        <f>Tabla24[[#This Row],[Precio_Unitario]]*Tabla24[[#This Row],[Unidades_Vendidas]]</f>
        <v>44593</v>
      </c>
      <c r="M190" t="s">
        <v>16</v>
      </c>
    </row>
    <row r="191" spans="1:13" x14ac:dyDescent="0.25">
      <c r="A191" t="s">
        <v>167</v>
      </c>
      <c r="B191" t="str">
        <f>TEXT(Tabla24[[#This Row],[Fecha]],"dddd")</f>
        <v>domingo</v>
      </c>
      <c r="C191" t="str">
        <f>TEXT(Tabla24[[#This Row],[Fecha]],"mmmm")</f>
        <v>agosto</v>
      </c>
      <c r="D191" t="str">
        <f>TEXT(Tabla24[[#This Row],[Fecha]],"aaaa")</f>
        <v>2024</v>
      </c>
      <c r="E191" t="s">
        <v>18</v>
      </c>
      <c r="F191" t="s">
        <v>23</v>
      </c>
      <c r="G191" t="s">
        <v>48</v>
      </c>
      <c r="H191" t="s">
        <v>14</v>
      </c>
      <c r="I191" t="s">
        <v>15</v>
      </c>
      <c r="J191">
        <v>9</v>
      </c>
      <c r="K191">
        <v>52141</v>
      </c>
      <c r="L191">
        <f>Tabla24[[#This Row],[Precio_Unitario]]*Tabla24[[#This Row],[Unidades_Vendidas]]</f>
        <v>469269</v>
      </c>
      <c r="M191" t="s">
        <v>36</v>
      </c>
    </row>
    <row r="192" spans="1:13" x14ac:dyDescent="0.25">
      <c r="A192" t="s">
        <v>194</v>
      </c>
      <c r="B192" t="str">
        <f>TEXT(Tabla24[[#This Row],[Fecha]],"dddd")</f>
        <v>jueves</v>
      </c>
      <c r="C192" t="str">
        <f>TEXT(Tabla24[[#This Row],[Fecha]],"mmmm")</f>
        <v>noviembre</v>
      </c>
      <c r="D192" t="str">
        <f>TEXT(Tabla24[[#This Row],[Fecha]],"aaaa")</f>
        <v>2024</v>
      </c>
      <c r="E192" t="s">
        <v>33</v>
      </c>
      <c r="F192" t="s">
        <v>29</v>
      </c>
      <c r="G192" t="s">
        <v>13</v>
      </c>
      <c r="H192" t="s">
        <v>25</v>
      </c>
      <c r="I192" t="s">
        <v>26</v>
      </c>
      <c r="J192">
        <v>7</v>
      </c>
      <c r="K192">
        <v>45905</v>
      </c>
      <c r="L192">
        <f>Tabla24[[#This Row],[Precio_Unitario]]*Tabla24[[#This Row],[Unidades_Vendidas]]</f>
        <v>321335</v>
      </c>
      <c r="M192" t="s">
        <v>16</v>
      </c>
    </row>
    <row r="193" spans="1:13" x14ac:dyDescent="0.25">
      <c r="A193" t="s">
        <v>28</v>
      </c>
      <c r="B193" t="str">
        <f>TEXT(Tabla24[[#This Row],[Fecha]],"dddd")</f>
        <v>jueves</v>
      </c>
      <c r="C193" t="str">
        <f>TEXT(Tabla24[[#This Row],[Fecha]],"mmmm")</f>
        <v>agosto</v>
      </c>
      <c r="D193" t="str">
        <f>TEXT(Tabla24[[#This Row],[Fecha]],"aaaa")</f>
        <v>2024</v>
      </c>
      <c r="E193" t="s">
        <v>33</v>
      </c>
      <c r="F193" t="s">
        <v>23</v>
      </c>
      <c r="G193" t="s">
        <v>48</v>
      </c>
      <c r="H193" t="s">
        <v>35</v>
      </c>
      <c r="I193" t="s">
        <v>26</v>
      </c>
      <c r="J193">
        <v>17</v>
      </c>
      <c r="K193">
        <v>17233</v>
      </c>
      <c r="L193">
        <f>Tabla24[[#This Row],[Precio_Unitario]]*Tabla24[[#This Row],[Unidades_Vendidas]]</f>
        <v>292961</v>
      </c>
      <c r="M193" t="s">
        <v>27</v>
      </c>
    </row>
    <row r="194" spans="1:13" x14ac:dyDescent="0.25">
      <c r="A194" t="s">
        <v>195</v>
      </c>
      <c r="B194" t="str">
        <f>TEXT(Tabla24[[#This Row],[Fecha]],"dddd")</f>
        <v>martes</v>
      </c>
      <c r="C194" t="str">
        <f>TEXT(Tabla24[[#This Row],[Fecha]],"mmmm")</f>
        <v>enero</v>
      </c>
      <c r="D194" t="str">
        <f>TEXT(Tabla24[[#This Row],[Fecha]],"aaaa")</f>
        <v>2024</v>
      </c>
      <c r="E194" t="s">
        <v>42</v>
      </c>
      <c r="F194" t="s">
        <v>29</v>
      </c>
      <c r="G194" t="s">
        <v>48</v>
      </c>
      <c r="H194" t="s">
        <v>14</v>
      </c>
      <c r="I194" t="s">
        <v>15</v>
      </c>
      <c r="J194">
        <v>19</v>
      </c>
      <c r="K194">
        <v>33676</v>
      </c>
      <c r="L194">
        <f>Tabla24[[#This Row],[Precio_Unitario]]*Tabla24[[#This Row],[Unidades_Vendidas]]</f>
        <v>639844</v>
      </c>
      <c r="M194" t="s">
        <v>36</v>
      </c>
    </row>
    <row r="195" spans="1:13" x14ac:dyDescent="0.25">
      <c r="A195" t="s">
        <v>196</v>
      </c>
      <c r="B195" t="str">
        <f>TEXT(Tabla24[[#This Row],[Fecha]],"dddd")</f>
        <v>lunes</v>
      </c>
      <c r="C195" t="str">
        <f>TEXT(Tabla24[[#This Row],[Fecha]],"mmmm")</f>
        <v>junio</v>
      </c>
      <c r="D195" t="str">
        <f>TEXT(Tabla24[[#This Row],[Fecha]],"aaaa")</f>
        <v>2024</v>
      </c>
      <c r="E195" t="s">
        <v>42</v>
      </c>
      <c r="F195" t="s">
        <v>29</v>
      </c>
      <c r="G195" t="s">
        <v>44</v>
      </c>
      <c r="H195" t="s">
        <v>25</v>
      </c>
      <c r="I195" t="s">
        <v>15</v>
      </c>
      <c r="J195">
        <v>14</v>
      </c>
      <c r="K195">
        <v>46586</v>
      </c>
      <c r="L195">
        <f>Tabla24[[#This Row],[Precio_Unitario]]*Tabla24[[#This Row],[Unidades_Vendidas]]</f>
        <v>652204</v>
      </c>
      <c r="M195" t="s">
        <v>36</v>
      </c>
    </row>
    <row r="196" spans="1:13" x14ac:dyDescent="0.25">
      <c r="A196" t="s">
        <v>197</v>
      </c>
      <c r="B196" t="str">
        <f>TEXT(Tabla24[[#This Row],[Fecha]],"dddd")</f>
        <v>miércoles</v>
      </c>
      <c r="C196" t="str">
        <f>TEXT(Tabla24[[#This Row],[Fecha]],"mmmm")</f>
        <v>junio</v>
      </c>
      <c r="D196" t="str">
        <f>TEXT(Tabla24[[#This Row],[Fecha]],"aaaa")</f>
        <v>2024</v>
      </c>
      <c r="E196" t="s">
        <v>33</v>
      </c>
      <c r="F196" t="s">
        <v>34</v>
      </c>
      <c r="G196" t="s">
        <v>44</v>
      </c>
      <c r="H196" t="s">
        <v>19</v>
      </c>
      <c r="I196" t="s">
        <v>40</v>
      </c>
      <c r="J196">
        <v>17</v>
      </c>
      <c r="K196">
        <v>40192</v>
      </c>
      <c r="L196">
        <f>Tabla24[[#This Row],[Precio_Unitario]]*Tabla24[[#This Row],[Unidades_Vendidas]]</f>
        <v>683264</v>
      </c>
      <c r="M196" t="s">
        <v>20</v>
      </c>
    </row>
    <row r="197" spans="1:13" x14ac:dyDescent="0.25">
      <c r="A197" t="s">
        <v>175</v>
      </c>
      <c r="B197" t="str">
        <f>TEXT(Tabla24[[#This Row],[Fecha]],"dddd")</f>
        <v>domingo</v>
      </c>
      <c r="C197" t="str">
        <f>TEXT(Tabla24[[#This Row],[Fecha]],"mmmm")</f>
        <v>febrero</v>
      </c>
      <c r="D197" t="str">
        <f>TEXT(Tabla24[[#This Row],[Fecha]],"aaaa")</f>
        <v>2024</v>
      </c>
      <c r="E197" t="s">
        <v>11</v>
      </c>
      <c r="F197" t="s">
        <v>12</v>
      </c>
      <c r="G197" t="s">
        <v>48</v>
      </c>
      <c r="H197" t="s">
        <v>19</v>
      </c>
      <c r="I197" t="s">
        <v>26</v>
      </c>
      <c r="J197">
        <v>17</v>
      </c>
      <c r="K197">
        <v>21868</v>
      </c>
      <c r="L197">
        <f>Tabla24[[#This Row],[Precio_Unitario]]*Tabla24[[#This Row],[Unidades_Vendidas]]</f>
        <v>371756</v>
      </c>
      <c r="M197" t="s">
        <v>36</v>
      </c>
    </row>
    <row r="198" spans="1:13" x14ac:dyDescent="0.25">
      <c r="A198" t="s">
        <v>106</v>
      </c>
      <c r="B198" t="str">
        <f>TEXT(Tabla24[[#This Row],[Fecha]],"dddd")</f>
        <v>domingo</v>
      </c>
      <c r="C198" t="str">
        <f>TEXT(Tabla24[[#This Row],[Fecha]],"mmmm")</f>
        <v>diciembre</v>
      </c>
      <c r="D198" t="str">
        <f>TEXT(Tabla24[[#This Row],[Fecha]],"aaaa")</f>
        <v>2024</v>
      </c>
      <c r="E198" t="s">
        <v>22</v>
      </c>
      <c r="F198" t="s">
        <v>29</v>
      </c>
      <c r="G198" t="s">
        <v>39</v>
      </c>
      <c r="H198" t="s">
        <v>19</v>
      </c>
      <c r="I198" t="s">
        <v>26</v>
      </c>
      <c r="J198">
        <v>10</v>
      </c>
      <c r="K198">
        <v>15448</v>
      </c>
      <c r="L198">
        <f>Tabla24[[#This Row],[Precio_Unitario]]*Tabla24[[#This Row],[Unidades_Vendidas]]</f>
        <v>154480</v>
      </c>
      <c r="M198" t="s">
        <v>20</v>
      </c>
    </row>
    <row r="199" spans="1:13" x14ac:dyDescent="0.25">
      <c r="A199" t="s">
        <v>98</v>
      </c>
      <c r="B199" t="str">
        <f>TEXT(Tabla24[[#This Row],[Fecha]],"dddd")</f>
        <v>miércoles</v>
      </c>
      <c r="C199" t="str">
        <f>TEXT(Tabla24[[#This Row],[Fecha]],"mmmm")</f>
        <v>mayo</v>
      </c>
      <c r="D199" t="str">
        <f>TEXT(Tabla24[[#This Row],[Fecha]],"aaaa")</f>
        <v>2024</v>
      </c>
      <c r="E199" t="s">
        <v>18</v>
      </c>
      <c r="F199" t="s">
        <v>34</v>
      </c>
      <c r="G199" t="s">
        <v>13</v>
      </c>
      <c r="H199" t="s">
        <v>30</v>
      </c>
      <c r="I199" t="s">
        <v>15</v>
      </c>
      <c r="J199">
        <v>17</v>
      </c>
      <c r="K199">
        <v>17640</v>
      </c>
      <c r="L199">
        <f>Tabla24[[#This Row],[Precio_Unitario]]*Tabla24[[#This Row],[Unidades_Vendidas]]</f>
        <v>299880</v>
      </c>
      <c r="M199" t="s">
        <v>16</v>
      </c>
    </row>
    <row r="200" spans="1:13" x14ac:dyDescent="0.25">
      <c r="A200" t="s">
        <v>198</v>
      </c>
      <c r="B200" t="str">
        <f>TEXT(Tabla24[[#This Row],[Fecha]],"dddd")</f>
        <v>viernes</v>
      </c>
      <c r="C200" t="str">
        <f>TEXT(Tabla24[[#This Row],[Fecha]],"mmmm")</f>
        <v>marzo</v>
      </c>
      <c r="D200" t="str">
        <f>TEXT(Tabla24[[#This Row],[Fecha]],"aaaa")</f>
        <v>2024</v>
      </c>
      <c r="E200" t="s">
        <v>22</v>
      </c>
      <c r="F200" t="s">
        <v>23</v>
      </c>
      <c r="G200" t="s">
        <v>39</v>
      </c>
      <c r="H200" t="s">
        <v>30</v>
      </c>
      <c r="I200" t="s">
        <v>26</v>
      </c>
      <c r="J200">
        <v>6</v>
      </c>
      <c r="K200">
        <v>19483</v>
      </c>
      <c r="L200">
        <f>Tabla24[[#This Row],[Precio_Unitario]]*Tabla24[[#This Row],[Unidades_Vendidas]]</f>
        <v>116898</v>
      </c>
      <c r="M200" t="s">
        <v>27</v>
      </c>
    </row>
    <row r="201" spans="1:13" x14ac:dyDescent="0.25">
      <c r="A201" t="s">
        <v>199</v>
      </c>
      <c r="B201" t="str">
        <f>TEXT(Tabla24[[#This Row],[Fecha]],"dddd")</f>
        <v>jueves</v>
      </c>
      <c r="C201" t="str">
        <f>TEXT(Tabla24[[#This Row],[Fecha]],"mmmm")</f>
        <v>junio</v>
      </c>
      <c r="D201" t="str">
        <f>TEXT(Tabla24[[#This Row],[Fecha]],"aaaa")</f>
        <v>2024</v>
      </c>
      <c r="E201" t="s">
        <v>18</v>
      </c>
      <c r="F201" t="s">
        <v>29</v>
      </c>
      <c r="G201" t="s">
        <v>48</v>
      </c>
      <c r="H201" t="s">
        <v>30</v>
      </c>
      <c r="I201" t="s">
        <v>40</v>
      </c>
      <c r="J201">
        <v>12</v>
      </c>
      <c r="K201">
        <v>21327</v>
      </c>
      <c r="L201">
        <f>Tabla24[[#This Row],[Precio_Unitario]]*Tabla24[[#This Row],[Unidades_Vendidas]]</f>
        <v>255924</v>
      </c>
      <c r="M201" t="s">
        <v>16</v>
      </c>
    </row>
    <row r="202" spans="1:13" x14ac:dyDescent="0.25">
      <c r="A202" t="s">
        <v>200</v>
      </c>
      <c r="B202" t="str">
        <f>TEXT(Tabla24[[#This Row],[Fecha]],"dddd")</f>
        <v>sábado</v>
      </c>
      <c r="C202" t="str">
        <f>TEXT(Tabla24[[#This Row],[Fecha]],"mmmm")</f>
        <v>octubre</v>
      </c>
      <c r="D202" t="str">
        <f>TEXT(Tabla24[[#This Row],[Fecha]],"aaaa")</f>
        <v>2024</v>
      </c>
      <c r="E202" t="s">
        <v>42</v>
      </c>
      <c r="F202" t="s">
        <v>12</v>
      </c>
      <c r="G202" t="s">
        <v>24</v>
      </c>
      <c r="H202" t="s">
        <v>30</v>
      </c>
      <c r="I202" t="s">
        <v>15</v>
      </c>
      <c r="J202">
        <v>4</v>
      </c>
      <c r="K202">
        <v>38977</v>
      </c>
      <c r="L202">
        <f>Tabla24[[#This Row],[Precio_Unitario]]*Tabla24[[#This Row],[Unidades_Vendidas]]</f>
        <v>155908</v>
      </c>
      <c r="M202" t="s">
        <v>36</v>
      </c>
    </row>
    <row r="203" spans="1:13" x14ac:dyDescent="0.25">
      <c r="A203" t="s">
        <v>155</v>
      </c>
      <c r="B203" t="str">
        <f>TEXT(Tabla24[[#This Row],[Fecha]],"dddd")</f>
        <v>martes</v>
      </c>
      <c r="C203" t="str">
        <f>TEXT(Tabla24[[#This Row],[Fecha]],"mmmm")</f>
        <v>diciembre</v>
      </c>
      <c r="D203" t="str">
        <f>TEXT(Tabla24[[#This Row],[Fecha]],"aaaa")</f>
        <v>2024</v>
      </c>
      <c r="E203" t="s">
        <v>42</v>
      </c>
      <c r="F203" t="s">
        <v>12</v>
      </c>
      <c r="G203" t="s">
        <v>13</v>
      </c>
      <c r="H203" t="s">
        <v>35</v>
      </c>
      <c r="I203" t="s">
        <v>40</v>
      </c>
      <c r="J203">
        <v>1</v>
      </c>
      <c r="K203">
        <v>56245</v>
      </c>
      <c r="L203">
        <f>Tabla24[[#This Row],[Precio_Unitario]]*Tabla24[[#This Row],[Unidades_Vendidas]]</f>
        <v>56245</v>
      </c>
      <c r="M203" t="s">
        <v>16</v>
      </c>
    </row>
    <row r="204" spans="1:13" x14ac:dyDescent="0.25">
      <c r="A204" t="s">
        <v>32</v>
      </c>
      <c r="B204" t="str">
        <f>TEXT(Tabla24[[#This Row],[Fecha]],"dddd")</f>
        <v>viernes</v>
      </c>
      <c r="C204" t="str">
        <f>TEXT(Tabla24[[#This Row],[Fecha]],"mmmm")</f>
        <v>mayo</v>
      </c>
      <c r="D204" t="str">
        <f>TEXT(Tabla24[[#This Row],[Fecha]],"aaaa")</f>
        <v>2024</v>
      </c>
      <c r="E204" t="s">
        <v>33</v>
      </c>
      <c r="F204" t="s">
        <v>12</v>
      </c>
      <c r="G204" t="s">
        <v>48</v>
      </c>
      <c r="H204" t="s">
        <v>30</v>
      </c>
      <c r="I204" t="s">
        <v>15</v>
      </c>
      <c r="J204">
        <v>4</v>
      </c>
      <c r="K204">
        <v>58544</v>
      </c>
      <c r="L204">
        <f>Tabla24[[#This Row],[Precio_Unitario]]*Tabla24[[#This Row],[Unidades_Vendidas]]</f>
        <v>234176</v>
      </c>
      <c r="M204" t="s">
        <v>20</v>
      </c>
    </row>
    <row r="205" spans="1:13" x14ac:dyDescent="0.25">
      <c r="A205" t="s">
        <v>201</v>
      </c>
      <c r="B205" t="str">
        <f>TEXT(Tabla24[[#This Row],[Fecha]],"dddd")</f>
        <v>domingo</v>
      </c>
      <c r="C205" t="str">
        <f>TEXT(Tabla24[[#This Row],[Fecha]],"mmmm")</f>
        <v>octubre</v>
      </c>
      <c r="D205" t="str">
        <f>TEXT(Tabla24[[#This Row],[Fecha]],"aaaa")</f>
        <v>2024</v>
      </c>
      <c r="E205" t="s">
        <v>33</v>
      </c>
      <c r="F205" t="s">
        <v>23</v>
      </c>
      <c r="G205" t="s">
        <v>48</v>
      </c>
      <c r="H205" t="s">
        <v>14</v>
      </c>
      <c r="I205" t="s">
        <v>26</v>
      </c>
      <c r="J205">
        <v>18</v>
      </c>
      <c r="K205">
        <v>35559</v>
      </c>
      <c r="L205">
        <f>Tabla24[[#This Row],[Precio_Unitario]]*Tabla24[[#This Row],[Unidades_Vendidas]]</f>
        <v>640062</v>
      </c>
      <c r="M205" t="s">
        <v>20</v>
      </c>
    </row>
    <row r="206" spans="1:13" x14ac:dyDescent="0.25">
      <c r="A206" t="s">
        <v>202</v>
      </c>
      <c r="B206" t="str">
        <f>TEXT(Tabla24[[#This Row],[Fecha]],"dddd")</f>
        <v>viernes</v>
      </c>
      <c r="C206" t="str">
        <f>TEXT(Tabla24[[#This Row],[Fecha]],"mmmm")</f>
        <v>octubre</v>
      </c>
      <c r="D206" t="str">
        <f>TEXT(Tabla24[[#This Row],[Fecha]],"aaaa")</f>
        <v>2024</v>
      </c>
      <c r="E206" t="s">
        <v>11</v>
      </c>
      <c r="F206" t="s">
        <v>23</v>
      </c>
      <c r="G206" t="s">
        <v>44</v>
      </c>
      <c r="H206" t="s">
        <v>30</v>
      </c>
      <c r="I206" t="s">
        <v>26</v>
      </c>
      <c r="J206">
        <v>20</v>
      </c>
      <c r="K206">
        <v>28702</v>
      </c>
      <c r="L206">
        <f>Tabla24[[#This Row],[Precio_Unitario]]*Tabla24[[#This Row],[Unidades_Vendidas]]</f>
        <v>574040</v>
      </c>
      <c r="M206" t="s">
        <v>36</v>
      </c>
    </row>
    <row r="207" spans="1:13" x14ac:dyDescent="0.25">
      <c r="A207" t="s">
        <v>118</v>
      </c>
      <c r="B207" t="str">
        <f>TEXT(Tabla24[[#This Row],[Fecha]],"dddd")</f>
        <v>jueves</v>
      </c>
      <c r="C207" t="str">
        <f>TEXT(Tabla24[[#This Row],[Fecha]],"mmmm")</f>
        <v>enero</v>
      </c>
      <c r="D207" t="str">
        <f>TEXT(Tabla24[[#This Row],[Fecha]],"aaaa")</f>
        <v>2024</v>
      </c>
      <c r="E207" t="s">
        <v>18</v>
      </c>
      <c r="F207" t="s">
        <v>38</v>
      </c>
      <c r="G207" t="s">
        <v>44</v>
      </c>
      <c r="H207" t="s">
        <v>25</v>
      </c>
      <c r="I207" t="s">
        <v>40</v>
      </c>
      <c r="J207">
        <v>11</v>
      </c>
      <c r="K207">
        <v>18146</v>
      </c>
      <c r="L207">
        <f>Tabla24[[#This Row],[Precio_Unitario]]*Tabla24[[#This Row],[Unidades_Vendidas]]</f>
        <v>199606</v>
      </c>
      <c r="M207" t="s">
        <v>20</v>
      </c>
    </row>
    <row r="208" spans="1:13" x14ac:dyDescent="0.25">
      <c r="A208" t="s">
        <v>162</v>
      </c>
      <c r="B208" t="str">
        <f>TEXT(Tabla24[[#This Row],[Fecha]],"dddd")</f>
        <v>viernes</v>
      </c>
      <c r="C208" t="str">
        <f>TEXT(Tabla24[[#This Row],[Fecha]],"mmmm")</f>
        <v>mayo</v>
      </c>
      <c r="D208" t="str">
        <f>TEXT(Tabla24[[#This Row],[Fecha]],"aaaa")</f>
        <v>2024</v>
      </c>
      <c r="E208" t="s">
        <v>33</v>
      </c>
      <c r="F208" t="s">
        <v>23</v>
      </c>
      <c r="G208" t="s">
        <v>44</v>
      </c>
      <c r="H208" t="s">
        <v>30</v>
      </c>
      <c r="I208" t="s">
        <v>26</v>
      </c>
      <c r="J208">
        <v>4</v>
      </c>
      <c r="K208">
        <v>31127</v>
      </c>
      <c r="L208">
        <f>Tabla24[[#This Row],[Precio_Unitario]]*Tabla24[[#This Row],[Unidades_Vendidas]]</f>
        <v>124508</v>
      </c>
      <c r="M208" t="s">
        <v>16</v>
      </c>
    </row>
    <row r="209" spans="1:13" x14ac:dyDescent="0.25">
      <c r="A209" t="s">
        <v>203</v>
      </c>
      <c r="B209" t="str">
        <f>TEXT(Tabla24[[#This Row],[Fecha]],"dddd")</f>
        <v>martes</v>
      </c>
      <c r="C209" t="str">
        <f>TEXT(Tabla24[[#This Row],[Fecha]],"mmmm")</f>
        <v>junio</v>
      </c>
      <c r="D209" t="str">
        <f>TEXT(Tabla24[[#This Row],[Fecha]],"aaaa")</f>
        <v>2024</v>
      </c>
      <c r="E209" t="s">
        <v>33</v>
      </c>
      <c r="F209" t="s">
        <v>29</v>
      </c>
      <c r="G209" t="s">
        <v>39</v>
      </c>
      <c r="H209" t="s">
        <v>14</v>
      </c>
      <c r="I209" t="s">
        <v>26</v>
      </c>
      <c r="J209">
        <v>5</v>
      </c>
      <c r="K209">
        <v>35310</v>
      </c>
      <c r="L209">
        <f>Tabla24[[#This Row],[Precio_Unitario]]*Tabla24[[#This Row],[Unidades_Vendidas]]</f>
        <v>176550</v>
      </c>
      <c r="M209" t="s">
        <v>20</v>
      </c>
    </row>
    <row r="210" spans="1:13" x14ac:dyDescent="0.25">
      <c r="A210" t="s">
        <v>181</v>
      </c>
      <c r="B210" t="str">
        <f>TEXT(Tabla24[[#This Row],[Fecha]],"dddd")</f>
        <v>viernes</v>
      </c>
      <c r="C210" t="str">
        <f>TEXT(Tabla24[[#This Row],[Fecha]],"mmmm")</f>
        <v>agosto</v>
      </c>
      <c r="D210" t="str">
        <f>TEXT(Tabla24[[#This Row],[Fecha]],"aaaa")</f>
        <v>2024</v>
      </c>
      <c r="E210" t="s">
        <v>22</v>
      </c>
      <c r="F210" t="s">
        <v>38</v>
      </c>
      <c r="G210" t="s">
        <v>39</v>
      </c>
      <c r="H210" t="s">
        <v>19</v>
      </c>
      <c r="I210" t="s">
        <v>15</v>
      </c>
      <c r="J210">
        <v>10</v>
      </c>
      <c r="K210">
        <v>32145</v>
      </c>
      <c r="L210">
        <f>Tabla24[[#This Row],[Precio_Unitario]]*Tabla24[[#This Row],[Unidades_Vendidas]]</f>
        <v>321450</v>
      </c>
      <c r="M210" t="s">
        <v>20</v>
      </c>
    </row>
    <row r="211" spans="1:13" x14ac:dyDescent="0.25">
      <c r="A211" t="s">
        <v>86</v>
      </c>
      <c r="B211" t="str">
        <f>TEXT(Tabla24[[#This Row],[Fecha]],"dddd")</f>
        <v>miércoles</v>
      </c>
      <c r="C211" t="str">
        <f>TEXT(Tabla24[[#This Row],[Fecha]],"mmmm")</f>
        <v>julio</v>
      </c>
      <c r="D211" t="str">
        <f>TEXT(Tabla24[[#This Row],[Fecha]],"aaaa")</f>
        <v>2024</v>
      </c>
      <c r="E211" t="s">
        <v>22</v>
      </c>
      <c r="F211" t="s">
        <v>23</v>
      </c>
      <c r="G211" t="s">
        <v>13</v>
      </c>
      <c r="H211" t="s">
        <v>30</v>
      </c>
      <c r="I211" t="s">
        <v>15</v>
      </c>
      <c r="J211">
        <v>6</v>
      </c>
      <c r="K211">
        <v>53845</v>
      </c>
      <c r="L211">
        <f>Tabla24[[#This Row],[Precio_Unitario]]*Tabla24[[#This Row],[Unidades_Vendidas]]</f>
        <v>323070</v>
      </c>
      <c r="M211" t="s">
        <v>20</v>
      </c>
    </row>
    <row r="212" spans="1:13" x14ac:dyDescent="0.25">
      <c r="A212" t="s">
        <v>204</v>
      </c>
      <c r="B212" t="str">
        <f>TEXT(Tabla24[[#This Row],[Fecha]],"dddd")</f>
        <v>lunes</v>
      </c>
      <c r="C212" t="str">
        <f>TEXT(Tabla24[[#This Row],[Fecha]],"mmmm")</f>
        <v>enero</v>
      </c>
      <c r="D212" t="str">
        <f>TEXT(Tabla24[[#This Row],[Fecha]],"aaaa")</f>
        <v>2024</v>
      </c>
      <c r="E212" t="s">
        <v>33</v>
      </c>
      <c r="F212" t="s">
        <v>34</v>
      </c>
      <c r="G212" t="s">
        <v>44</v>
      </c>
      <c r="H212" t="s">
        <v>14</v>
      </c>
      <c r="I212" t="s">
        <v>15</v>
      </c>
      <c r="J212">
        <v>4</v>
      </c>
      <c r="K212">
        <v>57686</v>
      </c>
      <c r="L212">
        <f>Tabla24[[#This Row],[Precio_Unitario]]*Tabla24[[#This Row],[Unidades_Vendidas]]</f>
        <v>230744</v>
      </c>
      <c r="M212" t="s">
        <v>27</v>
      </c>
    </row>
    <row r="213" spans="1:13" x14ac:dyDescent="0.25">
      <c r="A213" t="s">
        <v>205</v>
      </c>
      <c r="B213" t="str">
        <f>TEXT(Tabla24[[#This Row],[Fecha]],"dddd")</f>
        <v>sábado</v>
      </c>
      <c r="C213" t="str">
        <f>TEXT(Tabla24[[#This Row],[Fecha]],"mmmm")</f>
        <v>marzo</v>
      </c>
      <c r="D213" t="str">
        <f>TEXT(Tabla24[[#This Row],[Fecha]],"aaaa")</f>
        <v>2024</v>
      </c>
      <c r="E213" t="s">
        <v>22</v>
      </c>
      <c r="F213" t="s">
        <v>23</v>
      </c>
      <c r="G213" t="s">
        <v>13</v>
      </c>
      <c r="H213" t="s">
        <v>35</v>
      </c>
      <c r="I213" t="s">
        <v>40</v>
      </c>
      <c r="J213">
        <v>3</v>
      </c>
      <c r="K213">
        <v>33191</v>
      </c>
      <c r="L213">
        <f>Tabla24[[#This Row],[Precio_Unitario]]*Tabla24[[#This Row],[Unidades_Vendidas]]</f>
        <v>99573</v>
      </c>
      <c r="M213" t="s">
        <v>27</v>
      </c>
    </row>
    <row r="214" spans="1:13" x14ac:dyDescent="0.25">
      <c r="A214" t="s">
        <v>206</v>
      </c>
      <c r="B214" t="str">
        <f>TEXT(Tabla24[[#This Row],[Fecha]],"dddd")</f>
        <v>viernes</v>
      </c>
      <c r="C214" t="str">
        <f>TEXT(Tabla24[[#This Row],[Fecha]],"mmmm")</f>
        <v>febrero</v>
      </c>
      <c r="D214" t="str">
        <f>TEXT(Tabla24[[#This Row],[Fecha]],"aaaa")</f>
        <v>2024</v>
      </c>
      <c r="E214" t="s">
        <v>33</v>
      </c>
      <c r="F214" t="s">
        <v>38</v>
      </c>
      <c r="G214" t="s">
        <v>24</v>
      </c>
      <c r="H214" t="s">
        <v>19</v>
      </c>
      <c r="I214" t="s">
        <v>15</v>
      </c>
      <c r="J214">
        <v>10</v>
      </c>
      <c r="K214">
        <v>56791</v>
      </c>
      <c r="L214">
        <f>Tabla24[[#This Row],[Precio_Unitario]]*Tabla24[[#This Row],[Unidades_Vendidas]]</f>
        <v>567910</v>
      </c>
      <c r="M214" t="s">
        <v>36</v>
      </c>
    </row>
    <row r="215" spans="1:13" x14ac:dyDescent="0.25">
      <c r="A215" t="s">
        <v>159</v>
      </c>
      <c r="B215" t="str">
        <f>TEXT(Tabla24[[#This Row],[Fecha]],"dddd")</f>
        <v>jueves</v>
      </c>
      <c r="C215" t="str">
        <f>TEXT(Tabla24[[#This Row],[Fecha]],"mmmm")</f>
        <v>febrero</v>
      </c>
      <c r="D215" t="str">
        <f>TEXT(Tabla24[[#This Row],[Fecha]],"aaaa")</f>
        <v>2024</v>
      </c>
      <c r="E215" t="s">
        <v>33</v>
      </c>
      <c r="F215" t="s">
        <v>12</v>
      </c>
      <c r="G215" t="s">
        <v>24</v>
      </c>
      <c r="H215" t="s">
        <v>14</v>
      </c>
      <c r="I215" t="s">
        <v>40</v>
      </c>
      <c r="J215">
        <v>1</v>
      </c>
      <c r="K215">
        <v>24718</v>
      </c>
      <c r="L215">
        <f>Tabla24[[#This Row],[Precio_Unitario]]*Tabla24[[#This Row],[Unidades_Vendidas]]</f>
        <v>24718</v>
      </c>
      <c r="M215" t="s">
        <v>16</v>
      </c>
    </row>
    <row r="216" spans="1:13" x14ac:dyDescent="0.25">
      <c r="A216" t="s">
        <v>207</v>
      </c>
      <c r="B216" t="str">
        <f>TEXT(Tabla24[[#This Row],[Fecha]],"dddd")</f>
        <v>sábado</v>
      </c>
      <c r="C216" t="str">
        <f>TEXT(Tabla24[[#This Row],[Fecha]],"mmmm")</f>
        <v>abril</v>
      </c>
      <c r="D216" t="str">
        <f>TEXT(Tabla24[[#This Row],[Fecha]],"aaaa")</f>
        <v>2024</v>
      </c>
      <c r="E216" t="s">
        <v>18</v>
      </c>
      <c r="F216" t="s">
        <v>23</v>
      </c>
      <c r="G216" t="s">
        <v>48</v>
      </c>
      <c r="H216" t="s">
        <v>14</v>
      </c>
      <c r="I216" t="s">
        <v>15</v>
      </c>
      <c r="J216">
        <v>13</v>
      </c>
      <c r="K216">
        <v>30760</v>
      </c>
      <c r="L216">
        <f>Tabla24[[#This Row],[Precio_Unitario]]*Tabla24[[#This Row],[Unidades_Vendidas]]</f>
        <v>399880</v>
      </c>
      <c r="M216" t="s">
        <v>16</v>
      </c>
    </row>
    <row r="217" spans="1:13" x14ac:dyDescent="0.25">
      <c r="A217" t="s">
        <v>208</v>
      </c>
      <c r="B217" t="str">
        <f>TEXT(Tabla24[[#This Row],[Fecha]],"dddd")</f>
        <v>lunes</v>
      </c>
      <c r="C217" t="str">
        <f>TEXT(Tabla24[[#This Row],[Fecha]],"mmmm")</f>
        <v>junio</v>
      </c>
      <c r="D217" t="str">
        <f>TEXT(Tabla24[[#This Row],[Fecha]],"aaaa")</f>
        <v>2024</v>
      </c>
      <c r="E217" t="s">
        <v>42</v>
      </c>
      <c r="F217" t="s">
        <v>12</v>
      </c>
      <c r="G217" t="s">
        <v>13</v>
      </c>
      <c r="H217" t="s">
        <v>35</v>
      </c>
      <c r="I217" t="s">
        <v>15</v>
      </c>
      <c r="J217">
        <v>5</v>
      </c>
      <c r="K217">
        <v>39913</v>
      </c>
      <c r="L217">
        <f>Tabla24[[#This Row],[Precio_Unitario]]*Tabla24[[#This Row],[Unidades_Vendidas]]</f>
        <v>199565</v>
      </c>
      <c r="M217" t="s">
        <v>20</v>
      </c>
    </row>
    <row r="218" spans="1:13" x14ac:dyDescent="0.25">
      <c r="A218" t="s">
        <v>120</v>
      </c>
      <c r="B218" t="str">
        <f>TEXT(Tabla24[[#This Row],[Fecha]],"dddd")</f>
        <v>lunes</v>
      </c>
      <c r="C218" t="str">
        <f>TEXT(Tabla24[[#This Row],[Fecha]],"mmmm")</f>
        <v>marzo</v>
      </c>
      <c r="D218" t="str">
        <f>TEXT(Tabla24[[#This Row],[Fecha]],"aaaa")</f>
        <v>2024</v>
      </c>
      <c r="E218" t="s">
        <v>11</v>
      </c>
      <c r="F218" t="s">
        <v>34</v>
      </c>
      <c r="G218" t="s">
        <v>44</v>
      </c>
      <c r="H218" t="s">
        <v>14</v>
      </c>
      <c r="I218" t="s">
        <v>15</v>
      </c>
      <c r="J218">
        <v>5</v>
      </c>
      <c r="K218">
        <v>33576</v>
      </c>
      <c r="L218">
        <f>Tabla24[[#This Row],[Precio_Unitario]]*Tabla24[[#This Row],[Unidades_Vendidas]]</f>
        <v>167880</v>
      </c>
      <c r="M218" t="s">
        <v>16</v>
      </c>
    </row>
    <row r="219" spans="1:13" x14ac:dyDescent="0.25">
      <c r="A219" t="s">
        <v>94</v>
      </c>
      <c r="B219" t="str">
        <f>TEXT(Tabla24[[#This Row],[Fecha]],"dddd")</f>
        <v>miércoles</v>
      </c>
      <c r="C219" t="str">
        <f>TEXT(Tabla24[[#This Row],[Fecha]],"mmmm")</f>
        <v>mayo</v>
      </c>
      <c r="D219" t="str">
        <f>TEXT(Tabla24[[#This Row],[Fecha]],"aaaa")</f>
        <v>2024</v>
      </c>
      <c r="E219" t="s">
        <v>33</v>
      </c>
      <c r="F219" t="s">
        <v>29</v>
      </c>
      <c r="G219" t="s">
        <v>44</v>
      </c>
      <c r="H219" t="s">
        <v>14</v>
      </c>
      <c r="I219" t="s">
        <v>40</v>
      </c>
      <c r="J219">
        <v>12</v>
      </c>
      <c r="K219">
        <v>53993</v>
      </c>
      <c r="L219">
        <f>Tabla24[[#This Row],[Precio_Unitario]]*Tabla24[[#This Row],[Unidades_Vendidas]]</f>
        <v>647916</v>
      </c>
      <c r="M219" t="s">
        <v>16</v>
      </c>
    </row>
    <row r="220" spans="1:13" x14ac:dyDescent="0.25">
      <c r="A220" t="s">
        <v>45</v>
      </c>
      <c r="B220" t="str">
        <f>TEXT(Tabla24[[#This Row],[Fecha]],"dddd")</f>
        <v>domingo</v>
      </c>
      <c r="C220" t="str">
        <f>TEXT(Tabla24[[#This Row],[Fecha]],"mmmm")</f>
        <v>diciembre</v>
      </c>
      <c r="D220" t="str">
        <f>TEXT(Tabla24[[#This Row],[Fecha]],"aaaa")</f>
        <v>2024</v>
      </c>
      <c r="E220" t="s">
        <v>18</v>
      </c>
      <c r="F220" t="s">
        <v>38</v>
      </c>
      <c r="G220" t="s">
        <v>48</v>
      </c>
      <c r="H220" t="s">
        <v>35</v>
      </c>
      <c r="I220" t="s">
        <v>40</v>
      </c>
      <c r="J220">
        <v>2</v>
      </c>
      <c r="K220">
        <v>37469</v>
      </c>
      <c r="L220">
        <f>Tabla24[[#This Row],[Precio_Unitario]]*Tabla24[[#This Row],[Unidades_Vendidas]]</f>
        <v>74938</v>
      </c>
      <c r="M220" t="s">
        <v>16</v>
      </c>
    </row>
    <row r="221" spans="1:13" x14ac:dyDescent="0.25">
      <c r="A221" t="s">
        <v>209</v>
      </c>
      <c r="B221" t="str">
        <f>TEXT(Tabla24[[#This Row],[Fecha]],"dddd")</f>
        <v>martes</v>
      </c>
      <c r="C221" t="str">
        <f>TEXT(Tabla24[[#This Row],[Fecha]],"mmmm")</f>
        <v>septiembre</v>
      </c>
      <c r="D221" t="str">
        <f>TEXT(Tabla24[[#This Row],[Fecha]],"aaaa")</f>
        <v>2024</v>
      </c>
      <c r="E221" t="s">
        <v>11</v>
      </c>
      <c r="F221" t="s">
        <v>12</v>
      </c>
      <c r="G221" t="s">
        <v>48</v>
      </c>
      <c r="H221" t="s">
        <v>25</v>
      </c>
      <c r="I221" t="s">
        <v>40</v>
      </c>
      <c r="J221">
        <v>2</v>
      </c>
      <c r="K221">
        <v>42156</v>
      </c>
      <c r="L221">
        <f>Tabla24[[#This Row],[Precio_Unitario]]*Tabla24[[#This Row],[Unidades_Vendidas]]</f>
        <v>84312</v>
      </c>
      <c r="M221" t="s">
        <v>16</v>
      </c>
    </row>
    <row r="222" spans="1:13" x14ac:dyDescent="0.25">
      <c r="A222" t="s">
        <v>210</v>
      </c>
      <c r="B222" t="str">
        <f>TEXT(Tabla24[[#This Row],[Fecha]],"dddd")</f>
        <v>sábado</v>
      </c>
      <c r="C222" t="str">
        <f>TEXT(Tabla24[[#This Row],[Fecha]],"mmmm")</f>
        <v>agosto</v>
      </c>
      <c r="D222" t="str">
        <f>TEXT(Tabla24[[#This Row],[Fecha]],"aaaa")</f>
        <v>2024</v>
      </c>
      <c r="E222" t="s">
        <v>22</v>
      </c>
      <c r="F222" t="s">
        <v>12</v>
      </c>
      <c r="G222" t="s">
        <v>48</v>
      </c>
      <c r="H222" t="s">
        <v>30</v>
      </c>
      <c r="I222" t="s">
        <v>26</v>
      </c>
      <c r="J222">
        <v>14</v>
      </c>
      <c r="K222">
        <v>17597</v>
      </c>
      <c r="L222">
        <f>Tabla24[[#This Row],[Precio_Unitario]]*Tabla24[[#This Row],[Unidades_Vendidas]]</f>
        <v>246358</v>
      </c>
      <c r="M222" t="s">
        <v>20</v>
      </c>
    </row>
    <row r="223" spans="1:13" x14ac:dyDescent="0.25">
      <c r="A223" t="s">
        <v>211</v>
      </c>
      <c r="B223" t="str">
        <f>TEXT(Tabla24[[#This Row],[Fecha]],"dddd")</f>
        <v>domingo</v>
      </c>
      <c r="C223" t="str">
        <f>TEXT(Tabla24[[#This Row],[Fecha]],"mmmm")</f>
        <v>marzo</v>
      </c>
      <c r="D223" t="str">
        <f>TEXT(Tabla24[[#This Row],[Fecha]],"aaaa")</f>
        <v>2024</v>
      </c>
      <c r="E223" t="s">
        <v>11</v>
      </c>
      <c r="F223" t="s">
        <v>12</v>
      </c>
      <c r="G223" t="s">
        <v>24</v>
      </c>
      <c r="H223" t="s">
        <v>19</v>
      </c>
      <c r="I223" t="s">
        <v>15</v>
      </c>
      <c r="J223">
        <v>18</v>
      </c>
      <c r="K223">
        <v>20770</v>
      </c>
      <c r="L223">
        <f>Tabla24[[#This Row],[Precio_Unitario]]*Tabla24[[#This Row],[Unidades_Vendidas]]</f>
        <v>373860</v>
      </c>
      <c r="M223" t="s">
        <v>20</v>
      </c>
    </row>
    <row r="224" spans="1:13" x14ac:dyDescent="0.25">
      <c r="A224" t="s">
        <v>178</v>
      </c>
      <c r="B224" t="str">
        <f>TEXT(Tabla24[[#This Row],[Fecha]],"dddd")</f>
        <v>jueves</v>
      </c>
      <c r="C224" t="str">
        <f>TEXT(Tabla24[[#This Row],[Fecha]],"mmmm")</f>
        <v>julio</v>
      </c>
      <c r="D224" t="str">
        <f>TEXT(Tabla24[[#This Row],[Fecha]],"aaaa")</f>
        <v>2024</v>
      </c>
      <c r="E224" t="s">
        <v>33</v>
      </c>
      <c r="F224" t="s">
        <v>12</v>
      </c>
      <c r="G224" t="s">
        <v>48</v>
      </c>
      <c r="H224" t="s">
        <v>19</v>
      </c>
      <c r="I224" t="s">
        <v>40</v>
      </c>
      <c r="J224">
        <v>10</v>
      </c>
      <c r="K224">
        <v>48538</v>
      </c>
      <c r="L224">
        <f>Tabla24[[#This Row],[Precio_Unitario]]*Tabla24[[#This Row],[Unidades_Vendidas]]</f>
        <v>485380</v>
      </c>
      <c r="M224" t="s">
        <v>27</v>
      </c>
    </row>
    <row r="225" spans="1:13" x14ac:dyDescent="0.25">
      <c r="A225" t="s">
        <v>212</v>
      </c>
      <c r="B225" t="str">
        <f>TEXT(Tabla24[[#This Row],[Fecha]],"dddd")</f>
        <v>miércoles</v>
      </c>
      <c r="C225" t="str">
        <f>TEXT(Tabla24[[#This Row],[Fecha]],"mmmm")</f>
        <v>agosto</v>
      </c>
      <c r="D225" t="str">
        <f>TEXT(Tabla24[[#This Row],[Fecha]],"aaaa")</f>
        <v>2024</v>
      </c>
      <c r="E225" t="s">
        <v>22</v>
      </c>
      <c r="F225" t="s">
        <v>38</v>
      </c>
      <c r="G225" t="s">
        <v>13</v>
      </c>
      <c r="H225" t="s">
        <v>30</v>
      </c>
      <c r="I225" t="s">
        <v>26</v>
      </c>
      <c r="J225">
        <v>17</v>
      </c>
      <c r="K225">
        <v>55174</v>
      </c>
      <c r="L225">
        <f>Tabla24[[#This Row],[Precio_Unitario]]*Tabla24[[#This Row],[Unidades_Vendidas]]</f>
        <v>937958</v>
      </c>
      <c r="M225" t="s">
        <v>20</v>
      </c>
    </row>
    <row r="226" spans="1:13" x14ac:dyDescent="0.25">
      <c r="A226" t="s">
        <v>63</v>
      </c>
      <c r="B226" t="str">
        <f>TEXT(Tabla24[[#This Row],[Fecha]],"dddd")</f>
        <v>lunes</v>
      </c>
      <c r="C226" t="str">
        <f>TEXT(Tabla24[[#This Row],[Fecha]],"mmmm")</f>
        <v>octubre</v>
      </c>
      <c r="D226" t="str">
        <f>TEXT(Tabla24[[#This Row],[Fecha]],"aaaa")</f>
        <v>2024</v>
      </c>
      <c r="E226" t="s">
        <v>18</v>
      </c>
      <c r="F226" t="s">
        <v>12</v>
      </c>
      <c r="G226" t="s">
        <v>48</v>
      </c>
      <c r="H226" t="s">
        <v>30</v>
      </c>
      <c r="I226" t="s">
        <v>40</v>
      </c>
      <c r="J226">
        <v>11</v>
      </c>
      <c r="K226">
        <v>50687</v>
      </c>
      <c r="L226">
        <f>Tabla24[[#This Row],[Precio_Unitario]]*Tabla24[[#This Row],[Unidades_Vendidas]]</f>
        <v>557557</v>
      </c>
      <c r="M226" t="s">
        <v>16</v>
      </c>
    </row>
    <row r="227" spans="1:13" x14ac:dyDescent="0.25">
      <c r="A227" t="s">
        <v>213</v>
      </c>
      <c r="B227" t="str">
        <f>TEXT(Tabla24[[#This Row],[Fecha]],"dddd")</f>
        <v>miércoles</v>
      </c>
      <c r="C227" t="str">
        <f>TEXT(Tabla24[[#This Row],[Fecha]],"mmmm")</f>
        <v>septiembre</v>
      </c>
      <c r="D227" t="str">
        <f>TEXT(Tabla24[[#This Row],[Fecha]],"aaaa")</f>
        <v>2024</v>
      </c>
      <c r="E227" t="s">
        <v>18</v>
      </c>
      <c r="F227" t="s">
        <v>29</v>
      </c>
      <c r="G227" t="s">
        <v>24</v>
      </c>
      <c r="H227" t="s">
        <v>25</v>
      </c>
      <c r="I227" t="s">
        <v>40</v>
      </c>
      <c r="J227">
        <v>14</v>
      </c>
      <c r="K227">
        <v>33301</v>
      </c>
      <c r="L227">
        <f>Tabla24[[#This Row],[Precio_Unitario]]*Tabla24[[#This Row],[Unidades_Vendidas]]</f>
        <v>466214</v>
      </c>
      <c r="M227" t="s">
        <v>36</v>
      </c>
    </row>
    <row r="228" spans="1:13" x14ac:dyDescent="0.25">
      <c r="A228" t="s">
        <v>128</v>
      </c>
      <c r="B228" t="str">
        <f>TEXT(Tabla24[[#This Row],[Fecha]],"dddd")</f>
        <v>miércoles</v>
      </c>
      <c r="C228" t="str">
        <f>TEXT(Tabla24[[#This Row],[Fecha]],"mmmm")</f>
        <v>febrero</v>
      </c>
      <c r="D228" t="str">
        <f>TEXT(Tabla24[[#This Row],[Fecha]],"aaaa")</f>
        <v>2024</v>
      </c>
      <c r="E228" t="s">
        <v>11</v>
      </c>
      <c r="F228" t="s">
        <v>23</v>
      </c>
      <c r="G228" t="s">
        <v>48</v>
      </c>
      <c r="H228" t="s">
        <v>35</v>
      </c>
      <c r="I228" t="s">
        <v>15</v>
      </c>
      <c r="J228">
        <v>14</v>
      </c>
      <c r="K228">
        <v>42029</v>
      </c>
      <c r="L228">
        <f>Tabla24[[#This Row],[Precio_Unitario]]*Tabla24[[#This Row],[Unidades_Vendidas]]</f>
        <v>588406</v>
      </c>
      <c r="M228" t="s">
        <v>36</v>
      </c>
    </row>
    <row r="229" spans="1:13" x14ac:dyDescent="0.25">
      <c r="A229" t="s">
        <v>105</v>
      </c>
      <c r="B229" t="str">
        <f>TEXT(Tabla24[[#This Row],[Fecha]],"dddd")</f>
        <v>martes</v>
      </c>
      <c r="C229" t="str">
        <f>TEXT(Tabla24[[#This Row],[Fecha]],"mmmm")</f>
        <v>enero</v>
      </c>
      <c r="D229" t="str">
        <f>TEXT(Tabla24[[#This Row],[Fecha]],"aaaa")</f>
        <v>2024</v>
      </c>
      <c r="E229" t="s">
        <v>11</v>
      </c>
      <c r="F229" t="s">
        <v>23</v>
      </c>
      <c r="G229" t="s">
        <v>48</v>
      </c>
      <c r="H229" t="s">
        <v>19</v>
      </c>
      <c r="I229" t="s">
        <v>15</v>
      </c>
      <c r="J229">
        <v>12</v>
      </c>
      <c r="K229">
        <v>26261</v>
      </c>
      <c r="L229">
        <f>Tabla24[[#This Row],[Precio_Unitario]]*Tabla24[[#This Row],[Unidades_Vendidas]]</f>
        <v>315132</v>
      </c>
      <c r="M229" t="s">
        <v>36</v>
      </c>
    </row>
    <row r="230" spans="1:13" x14ac:dyDescent="0.25">
      <c r="A230" t="s">
        <v>135</v>
      </c>
      <c r="B230" t="str">
        <f>TEXT(Tabla24[[#This Row],[Fecha]],"dddd")</f>
        <v>miércoles</v>
      </c>
      <c r="C230" t="str">
        <f>TEXT(Tabla24[[#This Row],[Fecha]],"mmmm")</f>
        <v>junio</v>
      </c>
      <c r="D230" t="str">
        <f>TEXT(Tabla24[[#This Row],[Fecha]],"aaaa")</f>
        <v>2024</v>
      </c>
      <c r="E230" t="s">
        <v>11</v>
      </c>
      <c r="F230" t="s">
        <v>34</v>
      </c>
      <c r="G230" t="s">
        <v>48</v>
      </c>
      <c r="H230" t="s">
        <v>25</v>
      </c>
      <c r="I230" t="s">
        <v>40</v>
      </c>
      <c r="J230">
        <v>3</v>
      </c>
      <c r="K230">
        <v>20045</v>
      </c>
      <c r="L230">
        <f>Tabla24[[#This Row],[Precio_Unitario]]*Tabla24[[#This Row],[Unidades_Vendidas]]</f>
        <v>60135</v>
      </c>
      <c r="M230" t="s">
        <v>27</v>
      </c>
    </row>
    <row r="231" spans="1:13" x14ac:dyDescent="0.25">
      <c r="A231" t="s">
        <v>214</v>
      </c>
      <c r="B231" t="str">
        <f>TEXT(Tabla24[[#This Row],[Fecha]],"dddd")</f>
        <v>lunes</v>
      </c>
      <c r="C231" t="str">
        <f>TEXT(Tabla24[[#This Row],[Fecha]],"mmmm")</f>
        <v>noviembre</v>
      </c>
      <c r="D231" t="str">
        <f>TEXT(Tabla24[[#This Row],[Fecha]],"aaaa")</f>
        <v>2024</v>
      </c>
      <c r="E231" t="s">
        <v>33</v>
      </c>
      <c r="F231" t="s">
        <v>12</v>
      </c>
      <c r="G231" t="s">
        <v>44</v>
      </c>
      <c r="H231" t="s">
        <v>25</v>
      </c>
      <c r="I231" t="s">
        <v>26</v>
      </c>
      <c r="J231">
        <v>15</v>
      </c>
      <c r="K231">
        <v>41341</v>
      </c>
      <c r="L231">
        <f>Tabla24[[#This Row],[Precio_Unitario]]*Tabla24[[#This Row],[Unidades_Vendidas]]</f>
        <v>620115</v>
      </c>
      <c r="M231" t="s">
        <v>20</v>
      </c>
    </row>
    <row r="232" spans="1:13" x14ac:dyDescent="0.25">
      <c r="A232" t="s">
        <v>161</v>
      </c>
      <c r="B232" t="str">
        <f>TEXT(Tabla24[[#This Row],[Fecha]],"dddd")</f>
        <v>martes</v>
      </c>
      <c r="C232" t="str">
        <f>TEXT(Tabla24[[#This Row],[Fecha]],"mmmm")</f>
        <v>diciembre</v>
      </c>
      <c r="D232" t="str">
        <f>TEXT(Tabla24[[#This Row],[Fecha]],"aaaa")</f>
        <v>2024</v>
      </c>
      <c r="E232" t="s">
        <v>42</v>
      </c>
      <c r="F232" t="s">
        <v>34</v>
      </c>
      <c r="G232" t="s">
        <v>48</v>
      </c>
      <c r="H232" t="s">
        <v>25</v>
      </c>
      <c r="I232" t="s">
        <v>40</v>
      </c>
      <c r="J232">
        <v>12</v>
      </c>
      <c r="K232">
        <v>32169</v>
      </c>
      <c r="L232">
        <f>Tabla24[[#This Row],[Precio_Unitario]]*Tabla24[[#This Row],[Unidades_Vendidas]]</f>
        <v>386028</v>
      </c>
      <c r="M232" t="s">
        <v>27</v>
      </c>
    </row>
    <row r="233" spans="1:13" x14ac:dyDescent="0.25">
      <c r="A233" t="s">
        <v>215</v>
      </c>
      <c r="B233" t="str">
        <f>TEXT(Tabla24[[#This Row],[Fecha]],"dddd")</f>
        <v>domingo</v>
      </c>
      <c r="C233" t="str">
        <f>TEXT(Tabla24[[#This Row],[Fecha]],"mmmm")</f>
        <v>mayo</v>
      </c>
      <c r="D233" t="str">
        <f>TEXT(Tabla24[[#This Row],[Fecha]],"aaaa")</f>
        <v>2024</v>
      </c>
      <c r="E233" t="s">
        <v>42</v>
      </c>
      <c r="F233" t="s">
        <v>34</v>
      </c>
      <c r="G233" t="s">
        <v>48</v>
      </c>
      <c r="H233" t="s">
        <v>19</v>
      </c>
      <c r="I233" t="s">
        <v>40</v>
      </c>
      <c r="J233">
        <v>8</v>
      </c>
      <c r="K233">
        <v>58307</v>
      </c>
      <c r="L233">
        <f>Tabla24[[#This Row],[Precio_Unitario]]*Tabla24[[#This Row],[Unidades_Vendidas]]</f>
        <v>466456</v>
      </c>
      <c r="M233" t="s">
        <v>36</v>
      </c>
    </row>
    <row r="234" spans="1:13" x14ac:dyDescent="0.25">
      <c r="A234" t="s">
        <v>10</v>
      </c>
      <c r="B234" t="str">
        <f>TEXT(Tabla24[[#This Row],[Fecha]],"dddd")</f>
        <v>martes</v>
      </c>
      <c r="C234" t="str">
        <f>TEXT(Tabla24[[#This Row],[Fecha]],"mmmm")</f>
        <v>julio</v>
      </c>
      <c r="D234" t="str">
        <f>TEXT(Tabla24[[#This Row],[Fecha]],"aaaa")</f>
        <v>2024</v>
      </c>
      <c r="E234" t="s">
        <v>33</v>
      </c>
      <c r="F234" t="s">
        <v>38</v>
      </c>
      <c r="G234" t="s">
        <v>39</v>
      </c>
      <c r="H234" t="s">
        <v>35</v>
      </c>
      <c r="I234" t="s">
        <v>40</v>
      </c>
      <c r="J234">
        <v>1</v>
      </c>
      <c r="K234">
        <v>55186</v>
      </c>
      <c r="L234">
        <f>Tabla24[[#This Row],[Precio_Unitario]]*Tabla24[[#This Row],[Unidades_Vendidas]]</f>
        <v>55186</v>
      </c>
      <c r="M234" t="s">
        <v>36</v>
      </c>
    </row>
    <row r="235" spans="1:13" x14ac:dyDescent="0.25">
      <c r="A235" t="s">
        <v>216</v>
      </c>
      <c r="B235" t="str">
        <f>TEXT(Tabla24[[#This Row],[Fecha]],"dddd")</f>
        <v>martes</v>
      </c>
      <c r="C235" t="str">
        <f>TEXT(Tabla24[[#This Row],[Fecha]],"mmmm")</f>
        <v>mayo</v>
      </c>
      <c r="D235" t="str">
        <f>TEXT(Tabla24[[#This Row],[Fecha]],"aaaa")</f>
        <v>2024</v>
      </c>
      <c r="E235" t="s">
        <v>42</v>
      </c>
      <c r="F235" t="s">
        <v>12</v>
      </c>
      <c r="G235" t="s">
        <v>44</v>
      </c>
      <c r="H235" t="s">
        <v>35</v>
      </c>
      <c r="I235" t="s">
        <v>26</v>
      </c>
      <c r="J235">
        <v>14</v>
      </c>
      <c r="K235">
        <v>30511</v>
      </c>
      <c r="L235">
        <f>Tabla24[[#This Row],[Precio_Unitario]]*Tabla24[[#This Row],[Unidades_Vendidas]]</f>
        <v>427154</v>
      </c>
      <c r="M235" t="s">
        <v>20</v>
      </c>
    </row>
    <row r="236" spans="1:13" x14ac:dyDescent="0.25">
      <c r="A236" t="s">
        <v>217</v>
      </c>
      <c r="B236" t="str">
        <f>TEXT(Tabla24[[#This Row],[Fecha]],"dddd")</f>
        <v>sábado</v>
      </c>
      <c r="C236" t="str">
        <f>TEXT(Tabla24[[#This Row],[Fecha]],"mmmm")</f>
        <v>diciembre</v>
      </c>
      <c r="D236" t="str">
        <f>TEXT(Tabla24[[#This Row],[Fecha]],"aaaa")</f>
        <v>2024</v>
      </c>
      <c r="E236" t="s">
        <v>22</v>
      </c>
      <c r="F236" t="s">
        <v>23</v>
      </c>
      <c r="G236" t="s">
        <v>24</v>
      </c>
      <c r="H236" t="s">
        <v>14</v>
      </c>
      <c r="I236" t="s">
        <v>15</v>
      </c>
      <c r="J236">
        <v>9</v>
      </c>
      <c r="K236">
        <v>16836</v>
      </c>
      <c r="L236">
        <f>Tabla24[[#This Row],[Precio_Unitario]]*Tabla24[[#This Row],[Unidades_Vendidas]]</f>
        <v>151524</v>
      </c>
      <c r="M236" t="s">
        <v>16</v>
      </c>
    </row>
    <row r="237" spans="1:13" x14ac:dyDescent="0.25">
      <c r="A237" t="s">
        <v>218</v>
      </c>
      <c r="B237" t="str">
        <f>TEXT(Tabla24[[#This Row],[Fecha]],"dddd")</f>
        <v>lunes</v>
      </c>
      <c r="C237" t="str">
        <f>TEXT(Tabla24[[#This Row],[Fecha]],"mmmm")</f>
        <v>marzo</v>
      </c>
      <c r="D237" t="str">
        <f>TEXT(Tabla24[[#This Row],[Fecha]],"aaaa")</f>
        <v>2024</v>
      </c>
      <c r="E237" t="s">
        <v>42</v>
      </c>
      <c r="F237" t="s">
        <v>29</v>
      </c>
      <c r="G237" t="s">
        <v>48</v>
      </c>
      <c r="H237" t="s">
        <v>19</v>
      </c>
      <c r="I237" t="s">
        <v>40</v>
      </c>
      <c r="J237">
        <v>10</v>
      </c>
      <c r="K237">
        <v>26178</v>
      </c>
      <c r="L237">
        <f>Tabla24[[#This Row],[Precio_Unitario]]*Tabla24[[#This Row],[Unidades_Vendidas]]</f>
        <v>261780</v>
      </c>
      <c r="M237" t="s">
        <v>27</v>
      </c>
    </row>
    <row r="238" spans="1:13" x14ac:dyDescent="0.25">
      <c r="A238" t="s">
        <v>87</v>
      </c>
      <c r="B238" t="str">
        <f>TEXT(Tabla24[[#This Row],[Fecha]],"dddd")</f>
        <v>martes</v>
      </c>
      <c r="C238" t="str">
        <f>TEXT(Tabla24[[#This Row],[Fecha]],"mmmm")</f>
        <v>noviembre</v>
      </c>
      <c r="D238" t="str">
        <f>TEXT(Tabla24[[#This Row],[Fecha]],"aaaa")</f>
        <v>2024</v>
      </c>
      <c r="E238" t="s">
        <v>42</v>
      </c>
      <c r="F238" t="s">
        <v>29</v>
      </c>
      <c r="G238" t="s">
        <v>44</v>
      </c>
      <c r="H238" t="s">
        <v>35</v>
      </c>
      <c r="I238" t="s">
        <v>26</v>
      </c>
      <c r="J238">
        <v>3</v>
      </c>
      <c r="K238">
        <v>32525</v>
      </c>
      <c r="L238">
        <f>Tabla24[[#This Row],[Precio_Unitario]]*Tabla24[[#This Row],[Unidades_Vendidas]]</f>
        <v>97575</v>
      </c>
      <c r="M238" t="s">
        <v>27</v>
      </c>
    </row>
    <row r="239" spans="1:13" x14ac:dyDescent="0.25">
      <c r="A239" t="s">
        <v>219</v>
      </c>
      <c r="B239" t="str">
        <f>TEXT(Tabla24[[#This Row],[Fecha]],"dddd")</f>
        <v>sábado</v>
      </c>
      <c r="C239" t="str">
        <f>TEXT(Tabla24[[#This Row],[Fecha]],"mmmm")</f>
        <v>julio</v>
      </c>
      <c r="D239" t="str">
        <f>TEXT(Tabla24[[#This Row],[Fecha]],"aaaa")</f>
        <v>2024</v>
      </c>
      <c r="E239" t="s">
        <v>18</v>
      </c>
      <c r="F239" t="s">
        <v>12</v>
      </c>
      <c r="G239" t="s">
        <v>24</v>
      </c>
      <c r="H239" t="s">
        <v>19</v>
      </c>
      <c r="I239" t="s">
        <v>40</v>
      </c>
      <c r="J239">
        <v>1</v>
      </c>
      <c r="K239">
        <v>40508</v>
      </c>
      <c r="L239">
        <f>Tabla24[[#This Row],[Precio_Unitario]]*Tabla24[[#This Row],[Unidades_Vendidas]]</f>
        <v>40508</v>
      </c>
      <c r="M239" t="s">
        <v>27</v>
      </c>
    </row>
    <row r="240" spans="1:13" x14ac:dyDescent="0.25">
      <c r="A240" t="s">
        <v>220</v>
      </c>
      <c r="B240" t="str">
        <f>TEXT(Tabla24[[#This Row],[Fecha]],"dddd")</f>
        <v>lunes</v>
      </c>
      <c r="C240" t="str">
        <f>TEXT(Tabla24[[#This Row],[Fecha]],"mmmm")</f>
        <v>enero</v>
      </c>
      <c r="D240" t="str">
        <f>TEXT(Tabla24[[#This Row],[Fecha]],"aaaa")</f>
        <v>2024</v>
      </c>
      <c r="E240" t="s">
        <v>33</v>
      </c>
      <c r="F240" t="s">
        <v>34</v>
      </c>
      <c r="G240" t="s">
        <v>48</v>
      </c>
      <c r="H240" t="s">
        <v>30</v>
      </c>
      <c r="I240" t="s">
        <v>15</v>
      </c>
      <c r="J240">
        <v>18</v>
      </c>
      <c r="K240">
        <v>53017</v>
      </c>
      <c r="L240">
        <f>Tabla24[[#This Row],[Precio_Unitario]]*Tabla24[[#This Row],[Unidades_Vendidas]]</f>
        <v>954306</v>
      </c>
      <c r="M240" t="s">
        <v>36</v>
      </c>
    </row>
    <row r="241" spans="1:13" x14ac:dyDescent="0.25">
      <c r="A241" t="s">
        <v>221</v>
      </c>
      <c r="B241" t="str">
        <f>TEXT(Tabla24[[#This Row],[Fecha]],"dddd")</f>
        <v>viernes</v>
      </c>
      <c r="C241" t="str">
        <f>TEXT(Tabla24[[#This Row],[Fecha]],"mmmm")</f>
        <v>noviembre</v>
      </c>
      <c r="D241" t="str">
        <f>TEXT(Tabla24[[#This Row],[Fecha]],"aaaa")</f>
        <v>2024</v>
      </c>
      <c r="E241" t="s">
        <v>42</v>
      </c>
      <c r="F241" t="s">
        <v>23</v>
      </c>
      <c r="G241" t="s">
        <v>48</v>
      </c>
      <c r="H241" t="s">
        <v>14</v>
      </c>
      <c r="I241" t="s">
        <v>15</v>
      </c>
      <c r="J241">
        <v>3</v>
      </c>
      <c r="K241">
        <v>38989</v>
      </c>
      <c r="L241">
        <f>Tabla24[[#This Row],[Precio_Unitario]]*Tabla24[[#This Row],[Unidades_Vendidas]]</f>
        <v>116967</v>
      </c>
      <c r="M241" t="s">
        <v>20</v>
      </c>
    </row>
    <row r="242" spans="1:13" x14ac:dyDescent="0.25">
      <c r="A242" t="s">
        <v>111</v>
      </c>
      <c r="B242" t="str">
        <f>TEXT(Tabla24[[#This Row],[Fecha]],"dddd")</f>
        <v>jueves</v>
      </c>
      <c r="C242" t="str">
        <f>TEXT(Tabla24[[#This Row],[Fecha]],"mmmm")</f>
        <v>abril</v>
      </c>
      <c r="D242" t="str">
        <f>TEXT(Tabla24[[#This Row],[Fecha]],"aaaa")</f>
        <v>2024</v>
      </c>
      <c r="E242" t="s">
        <v>33</v>
      </c>
      <c r="F242" t="s">
        <v>29</v>
      </c>
      <c r="G242" t="s">
        <v>44</v>
      </c>
      <c r="H242" t="s">
        <v>25</v>
      </c>
      <c r="I242" t="s">
        <v>26</v>
      </c>
      <c r="J242">
        <v>16</v>
      </c>
      <c r="K242">
        <v>54520</v>
      </c>
      <c r="L242">
        <f>Tabla24[[#This Row],[Precio_Unitario]]*Tabla24[[#This Row],[Unidades_Vendidas]]</f>
        <v>872320</v>
      </c>
      <c r="M242" t="s">
        <v>27</v>
      </c>
    </row>
    <row r="243" spans="1:13" x14ac:dyDescent="0.25">
      <c r="A243" t="s">
        <v>222</v>
      </c>
      <c r="B243" t="str">
        <f>TEXT(Tabla24[[#This Row],[Fecha]],"dddd")</f>
        <v>sábado</v>
      </c>
      <c r="C243" t="str">
        <f>TEXT(Tabla24[[#This Row],[Fecha]],"mmmm")</f>
        <v>febrero</v>
      </c>
      <c r="D243" t="str">
        <f>TEXT(Tabla24[[#This Row],[Fecha]],"aaaa")</f>
        <v>2024</v>
      </c>
      <c r="E243" t="s">
        <v>33</v>
      </c>
      <c r="F243" t="s">
        <v>12</v>
      </c>
      <c r="G243" t="s">
        <v>39</v>
      </c>
      <c r="H243" t="s">
        <v>14</v>
      </c>
      <c r="I243" t="s">
        <v>40</v>
      </c>
      <c r="J243">
        <v>4</v>
      </c>
      <c r="K243">
        <v>43315</v>
      </c>
      <c r="L243">
        <f>Tabla24[[#This Row],[Precio_Unitario]]*Tabla24[[#This Row],[Unidades_Vendidas]]</f>
        <v>173260</v>
      </c>
      <c r="M243" t="s">
        <v>36</v>
      </c>
    </row>
    <row r="244" spans="1:13" x14ac:dyDescent="0.25">
      <c r="A244" t="s">
        <v>83</v>
      </c>
      <c r="B244" t="str">
        <f>TEXT(Tabla24[[#This Row],[Fecha]],"dddd")</f>
        <v>lunes</v>
      </c>
      <c r="C244" t="str">
        <f>TEXT(Tabla24[[#This Row],[Fecha]],"mmmm")</f>
        <v>noviembre</v>
      </c>
      <c r="D244" t="str">
        <f>TEXT(Tabla24[[#This Row],[Fecha]],"aaaa")</f>
        <v>2024</v>
      </c>
      <c r="E244" t="s">
        <v>42</v>
      </c>
      <c r="F244" t="s">
        <v>34</v>
      </c>
      <c r="G244" t="s">
        <v>24</v>
      </c>
      <c r="H244" t="s">
        <v>35</v>
      </c>
      <c r="I244" t="s">
        <v>26</v>
      </c>
      <c r="J244">
        <v>20</v>
      </c>
      <c r="K244">
        <v>52096</v>
      </c>
      <c r="L244">
        <f>Tabla24[[#This Row],[Precio_Unitario]]*Tabla24[[#This Row],[Unidades_Vendidas]]</f>
        <v>1041920</v>
      </c>
      <c r="M244" t="s">
        <v>27</v>
      </c>
    </row>
    <row r="245" spans="1:13" x14ac:dyDescent="0.25">
      <c r="A245" t="s">
        <v>223</v>
      </c>
      <c r="B245" t="str">
        <f>TEXT(Tabla24[[#This Row],[Fecha]],"dddd")</f>
        <v>viernes</v>
      </c>
      <c r="C245" t="str">
        <f>TEXT(Tabla24[[#This Row],[Fecha]],"mmmm")</f>
        <v>septiembre</v>
      </c>
      <c r="D245" t="str">
        <f>TEXT(Tabla24[[#This Row],[Fecha]],"aaaa")</f>
        <v>2024</v>
      </c>
      <c r="E245" t="s">
        <v>22</v>
      </c>
      <c r="F245" t="s">
        <v>38</v>
      </c>
      <c r="G245" t="s">
        <v>48</v>
      </c>
      <c r="H245" t="s">
        <v>14</v>
      </c>
      <c r="I245" t="s">
        <v>26</v>
      </c>
      <c r="J245">
        <v>8</v>
      </c>
      <c r="K245">
        <v>55956</v>
      </c>
      <c r="L245">
        <f>Tabla24[[#This Row],[Precio_Unitario]]*Tabla24[[#This Row],[Unidades_Vendidas]]</f>
        <v>447648</v>
      </c>
      <c r="M245" t="s">
        <v>16</v>
      </c>
    </row>
    <row r="246" spans="1:13" x14ac:dyDescent="0.25">
      <c r="A246" t="s">
        <v>224</v>
      </c>
      <c r="B246" t="str">
        <f>TEXT(Tabla24[[#This Row],[Fecha]],"dddd")</f>
        <v>lunes</v>
      </c>
      <c r="C246" t="str">
        <f>TEXT(Tabla24[[#This Row],[Fecha]],"mmmm")</f>
        <v>agosto</v>
      </c>
      <c r="D246" t="str">
        <f>TEXT(Tabla24[[#This Row],[Fecha]],"aaaa")</f>
        <v>2024</v>
      </c>
      <c r="E246" t="s">
        <v>22</v>
      </c>
      <c r="F246" t="s">
        <v>29</v>
      </c>
      <c r="G246" t="s">
        <v>48</v>
      </c>
      <c r="H246" t="s">
        <v>25</v>
      </c>
      <c r="I246" t="s">
        <v>40</v>
      </c>
      <c r="J246">
        <v>1</v>
      </c>
      <c r="K246">
        <v>38755</v>
      </c>
      <c r="L246">
        <f>Tabla24[[#This Row],[Precio_Unitario]]*Tabla24[[#This Row],[Unidades_Vendidas]]</f>
        <v>38755</v>
      </c>
      <c r="M246" t="s">
        <v>20</v>
      </c>
    </row>
    <row r="247" spans="1:13" x14ac:dyDescent="0.25">
      <c r="A247" t="s">
        <v>225</v>
      </c>
      <c r="B247" t="str">
        <f>TEXT(Tabla24[[#This Row],[Fecha]],"dddd")</f>
        <v>miércoles</v>
      </c>
      <c r="C247" t="str">
        <f>TEXT(Tabla24[[#This Row],[Fecha]],"mmmm")</f>
        <v>marzo</v>
      </c>
      <c r="D247" t="str">
        <f>TEXT(Tabla24[[#This Row],[Fecha]],"aaaa")</f>
        <v>2024</v>
      </c>
      <c r="E247" t="s">
        <v>18</v>
      </c>
      <c r="F247" t="s">
        <v>23</v>
      </c>
      <c r="G247" t="s">
        <v>44</v>
      </c>
      <c r="H247" t="s">
        <v>14</v>
      </c>
      <c r="I247" t="s">
        <v>26</v>
      </c>
      <c r="J247">
        <v>11</v>
      </c>
      <c r="K247">
        <v>33507</v>
      </c>
      <c r="L247">
        <f>Tabla24[[#This Row],[Precio_Unitario]]*Tabla24[[#This Row],[Unidades_Vendidas]]</f>
        <v>368577</v>
      </c>
      <c r="M247" t="s">
        <v>20</v>
      </c>
    </row>
    <row r="248" spans="1:13" x14ac:dyDescent="0.25">
      <c r="A248" t="s">
        <v>226</v>
      </c>
      <c r="B248" t="str">
        <f>TEXT(Tabla24[[#This Row],[Fecha]],"dddd")</f>
        <v>lunes</v>
      </c>
      <c r="C248" t="str">
        <f>TEXT(Tabla24[[#This Row],[Fecha]],"mmmm")</f>
        <v>mayo</v>
      </c>
      <c r="D248" t="str">
        <f>TEXT(Tabla24[[#This Row],[Fecha]],"aaaa")</f>
        <v>2024</v>
      </c>
      <c r="E248" t="s">
        <v>42</v>
      </c>
      <c r="F248" t="s">
        <v>38</v>
      </c>
      <c r="G248" t="s">
        <v>24</v>
      </c>
      <c r="H248" t="s">
        <v>30</v>
      </c>
      <c r="I248" t="s">
        <v>40</v>
      </c>
      <c r="J248">
        <v>11</v>
      </c>
      <c r="K248">
        <v>39254</v>
      </c>
      <c r="L248">
        <f>Tabla24[[#This Row],[Precio_Unitario]]*Tabla24[[#This Row],[Unidades_Vendidas]]</f>
        <v>431794</v>
      </c>
      <c r="M248" t="s">
        <v>27</v>
      </c>
    </row>
    <row r="249" spans="1:13" x14ac:dyDescent="0.25">
      <c r="A249" t="s">
        <v>227</v>
      </c>
      <c r="B249" t="str">
        <f>TEXT(Tabla24[[#This Row],[Fecha]],"dddd")</f>
        <v>jueves</v>
      </c>
      <c r="C249" t="str">
        <f>TEXT(Tabla24[[#This Row],[Fecha]],"mmmm")</f>
        <v>enero</v>
      </c>
      <c r="D249" t="str">
        <f>TEXT(Tabla24[[#This Row],[Fecha]],"aaaa")</f>
        <v>2024</v>
      </c>
      <c r="E249" t="s">
        <v>11</v>
      </c>
      <c r="F249" t="s">
        <v>29</v>
      </c>
      <c r="G249" t="s">
        <v>48</v>
      </c>
      <c r="H249" t="s">
        <v>30</v>
      </c>
      <c r="I249" t="s">
        <v>15</v>
      </c>
      <c r="J249">
        <v>17</v>
      </c>
      <c r="K249">
        <v>15919</v>
      </c>
      <c r="L249">
        <f>Tabla24[[#This Row],[Precio_Unitario]]*Tabla24[[#This Row],[Unidades_Vendidas]]</f>
        <v>270623</v>
      </c>
      <c r="M249" t="s">
        <v>36</v>
      </c>
    </row>
    <row r="250" spans="1:13" x14ac:dyDescent="0.25">
      <c r="A250" t="s">
        <v>228</v>
      </c>
      <c r="B250" t="str">
        <f>TEXT(Tabla24[[#This Row],[Fecha]],"dddd")</f>
        <v>martes</v>
      </c>
      <c r="C250" t="str">
        <f>TEXT(Tabla24[[#This Row],[Fecha]],"mmmm")</f>
        <v>agosto</v>
      </c>
      <c r="D250" t="str">
        <f>TEXT(Tabla24[[#This Row],[Fecha]],"aaaa")</f>
        <v>2024</v>
      </c>
      <c r="E250" t="s">
        <v>33</v>
      </c>
      <c r="F250" t="s">
        <v>34</v>
      </c>
      <c r="G250" t="s">
        <v>48</v>
      </c>
      <c r="H250" t="s">
        <v>25</v>
      </c>
      <c r="I250" t="s">
        <v>40</v>
      </c>
      <c r="J250">
        <v>17</v>
      </c>
      <c r="K250">
        <v>21449</v>
      </c>
      <c r="L250">
        <f>Tabla24[[#This Row],[Precio_Unitario]]*Tabla24[[#This Row],[Unidades_Vendidas]]</f>
        <v>364633</v>
      </c>
      <c r="M250" t="s">
        <v>36</v>
      </c>
    </row>
    <row r="251" spans="1:13" x14ac:dyDescent="0.25">
      <c r="A251" t="s">
        <v>229</v>
      </c>
      <c r="B251" t="str">
        <f>TEXT(Tabla24[[#This Row],[Fecha]],"dddd")</f>
        <v>viernes</v>
      </c>
      <c r="C251" t="str">
        <f>TEXT(Tabla24[[#This Row],[Fecha]],"mmmm")</f>
        <v>agosto</v>
      </c>
      <c r="D251" t="str">
        <f>TEXT(Tabla24[[#This Row],[Fecha]],"aaaa")</f>
        <v>2024</v>
      </c>
      <c r="E251" t="s">
        <v>33</v>
      </c>
      <c r="F251" t="s">
        <v>12</v>
      </c>
      <c r="G251" t="s">
        <v>48</v>
      </c>
      <c r="H251" t="s">
        <v>14</v>
      </c>
      <c r="I251" t="s">
        <v>15</v>
      </c>
      <c r="J251">
        <v>14</v>
      </c>
      <c r="K251">
        <v>39040</v>
      </c>
      <c r="L251">
        <f>Tabla24[[#This Row],[Precio_Unitario]]*Tabla24[[#This Row],[Unidades_Vendidas]]</f>
        <v>546560</v>
      </c>
      <c r="M251" t="s">
        <v>20</v>
      </c>
    </row>
    <row r="252" spans="1:13" x14ac:dyDescent="0.25">
      <c r="A252" t="s">
        <v>218</v>
      </c>
      <c r="B252" t="str">
        <f>TEXT(Tabla24[[#This Row],[Fecha]],"dddd")</f>
        <v>lunes</v>
      </c>
      <c r="C252" t="str">
        <f>TEXT(Tabla24[[#This Row],[Fecha]],"mmmm")</f>
        <v>marzo</v>
      </c>
      <c r="D252" t="str">
        <f>TEXT(Tabla24[[#This Row],[Fecha]],"aaaa")</f>
        <v>2024</v>
      </c>
      <c r="E252" t="s">
        <v>18</v>
      </c>
      <c r="F252" t="s">
        <v>23</v>
      </c>
      <c r="G252" t="s">
        <v>13</v>
      </c>
      <c r="H252" t="s">
        <v>35</v>
      </c>
      <c r="I252" t="s">
        <v>26</v>
      </c>
      <c r="J252">
        <v>1</v>
      </c>
      <c r="K252">
        <v>19870</v>
      </c>
      <c r="L252">
        <f>Tabla24[[#This Row],[Precio_Unitario]]*Tabla24[[#This Row],[Unidades_Vendidas]]</f>
        <v>19870</v>
      </c>
      <c r="M252" t="s">
        <v>16</v>
      </c>
    </row>
    <row r="253" spans="1:13" x14ac:dyDescent="0.25">
      <c r="A253" t="s">
        <v>193</v>
      </c>
      <c r="B253" t="str">
        <f>TEXT(Tabla24[[#This Row],[Fecha]],"dddd")</f>
        <v>miércoles</v>
      </c>
      <c r="C253" t="str">
        <f>TEXT(Tabla24[[#This Row],[Fecha]],"mmmm")</f>
        <v>junio</v>
      </c>
      <c r="D253" t="str">
        <f>TEXT(Tabla24[[#This Row],[Fecha]],"aaaa")</f>
        <v>2024</v>
      </c>
      <c r="E253" t="s">
        <v>42</v>
      </c>
      <c r="F253" t="s">
        <v>34</v>
      </c>
      <c r="G253" t="s">
        <v>39</v>
      </c>
      <c r="H253" t="s">
        <v>25</v>
      </c>
      <c r="I253" t="s">
        <v>40</v>
      </c>
      <c r="J253">
        <v>5</v>
      </c>
      <c r="K253">
        <v>37662</v>
      </c>
      <c r="L253">
        <f>Tabla24[[#This Row],[Precio_Unitario]]*Tabla24[[#This Row],[Unidades_Vendidas]]</f>
        <v>188310</v>
      </c>
      <c r="M253" t="s">
        <v>36</v>
      </c>
    </row>
    <row r="254" spans="1:13" x14ac:dyDescent="0.25">
      <c r="A254" t="s">
        <v>230</v>
      </c>
      <c r="B254" t="str">
        <f>TEXT(Tabla24[[#This Row],[Fecha]],"dddd")</f>
        <v>lunes</v>
      </c>
      <c r="C254" t="str">
        <f>TEXT(Tabla24[[#This Row],[Fecha]],"mmmm")</f>
        <v>marzo</v>
      </c>
      <c r="D254" t="str">
        <f>TEXT(Tabla24[[#This Row],[Fecha]],"aaaa")</f>
        <v>2024</v>
      </c>
      <c r="E254" t="s">
        <v>22</v>
      </c>
      <c r="F254" t="s">
        <v>29</v>
      </c>
      <c r="G254" t="s">
        <v>24</v>
      </c>
      <c r="H254" t="s">
        <v>14</v>
      </c>
      <c r="I254" t="s">
        <v>26</v>
      </c>
      <c r="J254">
        <v>11</v>
      </c>
      <c r="K254">
        <v>22293</v>
      </c>
      <c r="L254">
        <f>Tabla24[[#This Row],[Precio_Unitario]]*Tabla24[[#This Row],[Unidades_Vendidas]]</f>
        <v>245223</v>
      </c>
      <c r="M254" t="s">
        <v>27</v>
      </c>
    </row>
    <row r="255" spans="1:13" x14ac:dyDescent="0.25">
      <c r="A255" t="s">
        <v>231</v>
      </c>
      <c r="B255" t="str">
        <f>TEXT(Tabla24[[#This Row],[Fecha]],"dddd")</f>
        <v>sábado</v>
      </c>
      <c r="C255" t="str">
        <f>TEXT(Tabla24[[#This Row],[Fecha]],"mmmm")</f>
        <v>mayo</v>
      </c>
      <c r="D255" t="str">
        <f>TEXT(Tabla24[[#This Row],[Fecha]],"aaaa")</f>
        <v>2024</v>
      </c>
      <c r="E255" t="s">
        <v>22</v>
      </c>
      <c r="F255" t="s">
        <v>34</v>
      </c>
      <c r="G255" t="s">
        <v>39</v>
      </c>
      <c r="H255" t="s">
        <v>25</v>
      </c>
      <c r="I255" t="s">
        <v>15</v>
      </c>
      <c r="J255">
        <v>2</v>
      </c>
      <c r="K255">
        <v>19594</v>
      </c>
      <c r="L255">
        <f>Tabla24[[#This Row],[Precio_Unitario]]*Tabla24[[#This Row],[Unidades_Vendidas]]</f>
        <v>39188</v>
      </c>
      <c r="M255" t="s">
        <v>36</v>
      </c>
    </row>
    <row r="256" spans="1:13" x14ac:dyDescent="0.25">
      <c r="A256" t="s">
        <v>232</v>
      </c>
      <c r="B256" t="str">
        <f>TEXT(Tabla24[[#This Row],[Fecha]],"dddd")</f>
        <v>sábado</v>
      </c>
      <c r="C256" t="str">
        <f>TEXT(Tabla24[[#This Row],[Fecha]],"mmmm")</f>
        <v>octubre</v>
      </c>
      <c r="D256" t="str">
        <f>TEXT(Tabla24[[#This Row],[Fecha]],"aaaa")</f>
        <v>2024</v>
      </c>
      <c r="E256" t="s">
        <v>22</v>
      </c>
      <c r="F256" t="s">
        <v>34</v>
      </c>
      <c r="G256" t="s">
        <v>24</v>
      </c>
      <c r="H256" t="s">
        <v>35</v>
      </c>
      <c r="I256" t="s">
        <v>15</v>
      </c>
      <c r="J256">
        <v>6</v>
      </c>
      <c r="K256">
        <v>33099</v>
      </c>
      <c r="L256">
        <f>Tabla24[[#This Row],[Precio_Unitario]]*Tabla24[[#This Row],[Unidades_Vendidas]]</f>
        <v>198594</v>
      </c>
      <c r="M256" t="s">
        <v>16</v>
      </c>
    </row>
    <row r="257" spans="1:13" x14ac:dyDescent="0.25">
      <c r="A257" t="s">
        <v>233</v>
      </c>
      <c r="B257" t="str">
        <f>TEXT(Tabla24[[#This Row],[Fecha]],"dddd")</f>
        <v>martes</v>
      </c>
      <c r="C257" t="str">
        <f>TEXT(Tabla24[[#This Row],[Fecha]],"mmmm")</f>
        <v>abril</v>
      </c>
      <c r="D257" t="str">
        <f>TEXT(Tabla24[[#This Row],[Fecha]],"aaaa")</f>
        <v>2024</v>
      </c>
      <c r="E257" t="s">
        <v>18</v>
      </c>
      <c r="F257" t="s">
        <v>12</v>
      </c>
      <c r="G257" t="s">
        <v>24</v>
      </c>
      <c r="H257" t="s">
        <v>19</v>
      </c>
      <c r="I257" t="s">
        <v>26</v>
      </c>
      <c r="J257">
        <v>9</v>
      </c>
      <c r="K257">
        <v>40869</v>
      </c>
      <c r="L257">
        <f>Tabla24[[#This Row],[Precio_Unitario]]*Tabla24[[#This Row],[Unidades_Vendidas]]</f>
        <v>367821</v>
      </c>
      <c r="M257" t="s">
        <v>16</v>
      </c>
    </row>
    <row r="258" spans="1:13" x14ac:dyDescent="0.25">
      <c r="A258" t="s">
        <v>234</v>
      </c>
      <c r="B258" t="str">
        <f>TEXT(Tabla24[[#This Row],[Fecha]],"dddd")</f>
        <v>lunes</v>
      </c>
      <c r="C258" t="str">
        <f>TEXT(Tabla24[[#This Row],[Fecha]],"mmmm")</f>
        <v>febrero</v>
      </c>
      <c r="D258" t="str">
        <f>TEXT(Tabla24[[#This Row],[Fecha]],"aaaa")</f>
        <v>2024</v>
      </c>
      <c r="E258" t="s">
        <v>33</v>
      </c>
      <c r="F258" t="s">
        <v>38</v>
      </c>
      <c r="G258" t="s">
        <v>13</v>
      </c>
      <c r="H258" t="s">
        <v>35</v>
      </c>
      <c r="I258" t="s">
        <v>15</v>
      </c>
      <c r="J258">
        <v>19</v>
      </c>
      <c r="K258">
        <v>54038</v>
      </c>
      <c r="L258">
        <f>Tabla24[[#This Row],[Precio_Unitario]]*Tabla24[[#This Row],[Unidades_Vendidas]]</f>
        <v>1026722</v>
      </c>
      <c r="M258" t="s">
        <v>16</v>
      </c>
    </row>
    <row r="259" spans="1:13" x14ac:dyDescent="0.25">
      <c r="A259" t="s">
        <v>235</v>
      </c>
      <c r="B259" t="str">
        <f>TEXT(Tabla24[[#This Row],[Fecha]],"dddd")</f>
        <v>jueves</v>
      </c>
      <c r="C259" t="str">
        <f>TEXT(Tabla24[[#This Row],[Fecha]],"mmmm")</f>
        <v>diciembre</v>
      </c>
      <c r="D259" t="str">
        <f>TEXT(Tabla24[[#This Row],[Fecha]],"aaaa")</f>
        <v>2024</v>
      </c>
      <c r="E259" t="s">
        <v>11</v>
      </c>
      <c r="F259" t="s">
        <v>12</v>
      </c>
      <c r="G259" t="s">
        <v>44</v>
      </c>
      <c r="H259" t="s">
        <v>30</v>
      </c>
      <c r="I259" t="s">
        <v>40</v>
      </c>
      <c r="J259">
        <v>7</v>
      </c>
      <c r="K259">
        <v>45043</v>
      </c>
      <c r="L259">
        <f>Tabla24[[#This Row],[Precio_Unitario]]*Tabla24[[#This Row],[Unidades_Vendidas]]</f>
        <v>315301</v>
      </c>
      <c r="M259" t="s">
        <v>16</v>
      </c>
    </row>
    <row r="260" spans="1:13" x14ac:dyDescent="0.25">
      <c r="A260" t="s">
        <v>236</v>
      </c>
      <c r="B260" t="str">
        <f>TEXT(Tabla24[[#This Row],[Fecha]],"dddd")</f>
        <v>jueves</v>
      </c>
      <c r="C260" t="str">
        <f>TEXT(Tabla24[[#This Row],[Fecha]],"mmmm")</f>
        <v>marzo</v>
      </c>
      <c r="D260" t="str">
        <f>TEXT(Tabla24[[#This Row],[Fecha]],"aaaa")</f>
        <v>2024</v>
      </c>
      <c r="E260" t="s">
        <v>33</v>
      </c>
      <c r="F260" t="s">
        <v>38</v>
      </c>
      <c r="G260" t="s">
        <v>48</v>
      </c>
      <c r="H260" t="s">
        <v>35</v>
      </c>
      <c r="I260" t="s">
        <v>26</v>
      </c>
      <c r="J260">
        <v>3</v>
      </c>
      <c r="K260">
        <v>24014</v>
      </c>
      <c r="L260">
        <f>Tabla24[[#This Row],[Precio_Unitario]]*Tabla24[[#This Row],[Unidades_Vendidas]]</f>
        <v>72042</v>
      </c>
      <c r="M260" t="s">
        <v>36</v>
      </c>
    </row>
    <row r="261" spans="1:13" x14ac:dyDescent="0.25">
      <c r="A261" t="s">
        <v>237</v>
      </c>
      <c r="B261" t="str">
        <f>TEXT(Tabla24[[#This Row],[Fecha]],"dddd")</f>
        <v>domingo</v>
      </c>
      <c r="C261" t="str">
        <f>TEXT(Tabla24[[#This Row],[Fecha]],"mmmm")</f>
        <v>noviembre</v>
      </c>
      <c r="D261" t="str">
        <f>TEXT(Tabla24[[#This Row],[Fecha]],"aaaa")</f>
        <v>2024</v>
      </c>
      <c r="E261" t="s">
        <v>18</v>
      </c>
      <c r="F261" t="s">
        <v>29</v>
      </c>
      <c r="G261" t="s">
        <v>39</v>
      </c>
      <c r="H261" t="s">
        <v>14</v>
      </c>
      <c r="I261" t="s">
        <v>15</v>
      </c>
      <c r="J261">
        <v>10</v>
      </c>
      <c r="K261">
        <v>20410</v>
      </c>
      <c r="L261">
        <f>Tabla24[[#This Row],[Precio_Unitario]]*Tabla24[[#This Row],[Unidades_Vendidas]]</f>
        <v>204100</v>
      </c>
      <c r="M261" t="s">
        <v>36</v>
      </c>
    </row>
    <row r="262" spans="1:13" x14ac:dyDescent="0.25">
      <c r="A262" t="s">
        <v>185</v>
      </c>
      <c r="B262" t="str">
        <f>TEXT(Tabla24[[#This Row],[Fecha]],"dddd")</f>
        <v>domingo</v>
      </c>
      <c r="C262" t="str">
        <f>TEXT(Tabla24[[#This Row],[Fecha]],"mmmm")</f>
        <v>noviembre</v>
      </c>
      <c r="D262" t="str">
        <f>TEXT(Tabla24[[#This Row],[Fecha]],"aaaa")</f>
        <v>2024</v>
      </c>
      <c r="E262" t="s">
        <v>11</v>
      </c>
      <c r="F262" t="s">
        <v>12</v>
      </c>
      <c r="G262" t="s">
        <v>48</v>
      </c>
      <c r="H262" t="s">
        <v>19</v>
      </c>
      <c r="I262" t="s">
        <v>40</v>
      </c>
      <c r="J262">
        <v>9</v>
      </c>
      <c r="K262">
        <v>26658</v>
      </c>
      <c r="L262">
        <f>Tabla24[[#This Row],[Precio_Unitario]]*Tabla24[[#This Row],[Unidades_Vendidas]]</f>
        <v>239922</v>
      </c>
      <c r="M262" t="s">
        <v>36</v>
      </c>
    </row>
    <row r="263" spans="1:13" x14ac:dyDescent="0.25">
      <c r="A263" t="s">
        <v>195</v>
      </c>
      <c r="B263" t="str">
        <f>TEXT(Tabla24[[#This Row],[Fecha]],"dddd")</f>
        <v>martes</v>
      </c>
      <c r="C263" t="str">
        <f>TEXT(Tabla24[[#This Row],[Fecha]],"mmmm")</f>
        <v>enero</v>
      </c>
      <c r="D263" t="str">
        <f>TEXT(Tabla24[[#This Row],[Fecha]],"aaaa")</f>
        <v>2024</v>
      </c>
      <c r="E263" t="s">
        <v>22</v>
      </c>
      <c r="F263" t="s">
        <v>38</v>
      </c>
      <c r="G263" t="s">
        <v>39</v>
      </c>
      <c r="H263" t="s">
        <v>30</v>
      </c>
      <c r="I263" t="s">
        <v>26</v>
      </c>
      <c r="J263">
        <v>13</v>
      </c>
      <c r="K263">
        <v>55930</v>
      </c>
      <c r="L263">
        <f>Tabla24[[#This Row],[Precio_Unitario]]*Tabla24[[#This Row],[Unidades_Vendidas]]</f>
        <v>727090</v>
      </c>
      <c r="M263" t="s">
        <v>16</v>
      </c>
    </row>
    <row r="264" spans="1:13" x14ac:dyDescent="0.25">
      <c r="A264" t="s">
        <v>127</v>
      </c>
      <c r="B264" t="str">
        <f>TEXT(Tabla24[[#This Row],[Fecha]],"dddd")</f>
        <v>sábado</v>
      </c>
      <c r="C264" t="str">
        <f>TEXT(Tabla24[[#This Row],[Fecha]],"mmmm")</f>
        <v>septiembre</v>
      </c>
      <c r="D264" t="str">
        <f>TEXT(Tabla24[[#This Row],[Fecha]],"aaaa")</f>
        <v>2024</v>
      </c>
      <c r="E264" t="s">
        <v>22</v>
      </c>
      <c r="F264" t="s">
        <v>34</v>
      </c>
      <c r="G264" t="s">
        <v>44</v>
      </c>
      <c r="H264" t="s">
        <v>25</v>
      </c>
      <c r="I264" t="s">
        <v>15</v>
      </c>
      <c r="J264">
        <v>17</v>
      </c>
      <c r="K264">
        <v>41658</v>
      </c>
      <c r="L264">
        <f>Tabla24[[#This Row],[Precio_Unitario]]*Tabla24[[#This Row],[Unidades_Vendidas]]</f>
        <v>708186</v>
      </c>
      <c r="M264" t="s">
        <v>20</v>
      </c>
    </row>
    <row r="265" spans="1:13" x14ac:dyDescent="0.25">
      <c r="A265" t="s">
        <v>167</v>
      </c>
      <c r="B265" t="str">
        <f>TEXT(Tabla24[[#This Row],[Fecha]],"dddd")</f>
        <v>domingo</v>
      </c>
      <c r="C265" t="str">
        <f>TEXT(Tabla24[[#This Row],[Fecha]],"mmmm")</f>
        <v>agosto</v>
      </c>
      <c r="D265" t="str">
        <f>TEXT(Tabla24[[#This Row],[Fecha]],"aaaa")</f>
        <v>2024</v>
      </c>
      <c r="E265" t="s">
        <v>18</v>
      </c>
      <c r="F265" t="s">
        <v>23</v>
      </c>
      <c r="G265" t="s">
        <v>48</v>
      </c>
      <c r="H265" t="s">
        <v>19</v>
      </c>
      <c r="I265" t="s">
        <v>40</v>
      </c>
      <c r="J265">
        <v>17</v>
      </c>
      <c r="K265">
        <v>23829</v>
      </c>
      <c r="L265">
        <f>Tabla24[[#This Row],[Precio_Unitario]]*Tabla24[[#This Row],[Unidades_Vendidas]]</f>
        <v>405093</v>
      </c>
      <c r="M265" t="s">
        <v>16</v>
      </c>
    </row>
    <row r="266" spans="1:13" x14ac:dyDescent="0.25">
      <c r="A266" t="s">
        <v>100</v>
      </c>
      <c r="B266" t="str">
        <f>TEXT(Tabla24[[#This Row],[Fecha]],"dddd")</f>
        <v>jueves</v>
      </c>
      <c r="C266" t="str">
        <f>TEXT(Tabla24[[#This Row],[Fecha]],"mmmm")</f>
        <v>junio</v>
      </c>
      <c r="D266" t="str">
        <f>TEXT(Tabla24[[#This Row],[Fecha]],"aaaa")</f>
        <v>2024</v>
      </c>
      <c r="E266" t="s">
        <v>11</v>
      </c>
      <c r="F266" t="s">
        <v>38</v>
      </c>
      <c r="G266" t="s">
        <v>44</v>
      </c>
      <c r="H266" t="s">
        <v>35</v>
      </c>
      <c r="I266" t="s">
        <v>40</v>
      </c>
      <c r="J266">
        <v>16</v>
      </c>
      <c r="K266">
        <v>32424</v>
      </c>
      <c r="L266">
        <f>Tabla24[[#This Row],[Precio_Unitario]]*Tabla24[[#This Row],[Unidades_Vendidas]]</f>
        <v>518784</v>
      </c>
      <c r="M266" t="s">
        <v>20</v>
      </c>
    </row>
    <row r="267" spans="1:13" x14ac:dyDescent="0.25">
      <c r="A267" t="s">
        <v>158</v>
      </c>
      <c r="B267" t="str">
        <f>TEXT(Tabla24[[#This Row],[Fecha]],"dddd")</f>
        <v>viernes</v>
      </c>
      <c r="C267" t="str">
        <f>TEXT(Tabla24[[#This Row],[Fecha]],"mmmm")</f>
        <v>enero</v>
      </c>
      <c r="D267" t="str">
        <f>TEXT(Tabla24[[#This Row],[Fecha]],"aaaa")</f>
        <v>2024</v>
      </c>
      <c r="E267" t="s">
        <v>33</v>
      </c>
      <c r="F267" t="s">
        <v>29</v>
      </c>
      <c r="G267" t="s">
        <v>44</v>
      </c>
      <c r="H267" t="s">
        <v>25</v>
      </c>
      <c r="I267" t="s">
        <v>15</v>
      </c>
      <c r="J267">
        <v>6</v>
      </c>
      <c r="K267">
        <v>44702</v>
      </c>
      <c r="L267">
        <f>Tabla24[[#This Row],[Precio_Unitario]]*Tabla24[[#This Row],[Unidades_Vendidas]]</f>
        <v>268212</v>
      </c>
      <c r="M267" t="s">
        <v>27</v>
      </c>
    </row>
    <row r="268" spans="1:13" x14ac:dyDescent="0.25">
      <c r="A268" t="s">
        <v>238</v>
      </c>
      <c r="B268" t="str">
        <f>TEXT(Tabla24[[#This Row],[Fecha]],"dddd")</f>
        <v>miércoles</v>
      </c>
      <c r="C268" t="str">
        <f>TEXT(Tabla24[[#This Row],[Fecha]],"mmmm")</f>
        <v>noviembre</v>
      </c>
      <c r="D268" t="str">
        <f>TEXT(Tabla24[[#This Row],[Fecha]],"aaaa")</f>
        <v>2024</v>
      </c>
      <c r="E268" t="s">
        <v>18</v>
      </c>
      <c r="F268" t="s">
        <v>34</v>
      </c>
      <c r="G268" t="s">
        <v>48</v>
      </c>
      <c r="H268" t="s">
        <v>30</v>
      </c>
      <c r="I268" t="s">
        <v>40</v>
      </c>
      <c r="J268">
        <v>19</v>
      </c>
      <c r="K268">
        <v>25898</v>
      </c>
      <c r="L268">
        <f>Tabla24[[#This Row],[Precio_Unitario]]*Tabla24[[#This Row],[Unidades_Vendidas]]</f>
        <v>492062</v>
      </c>
      <c r="M268" t="s">
        <v>36</v>
      </c>
    </row>
    <row r="269" spans="1:13" x14ac:dyDescent="0.25">
      <c r="A269" t="s">
        <v>239</v>
      </c>
      <c r="B269" t="str">
        <f>TEXT(Tabla24[[#This Row],[Fecha]],"dddd")</f>
        <v>sábado</v>
      </c>
      <c r="C269" t="str">
        <f>TEXT(Tabla24[[#This Row],[Fecha]],"mmmm")</f>
        <v>marzo</v>
      </c>
      <c r="D269" t="str">
        <f>TEXT(Tabla24[[#This Row],[Fecha]],"aaaa")</f>
        <v>2024</v>
      </c>
      <c r="E269" t="s">
        <v>22</v>
      </c>
      <c r="F269" t="s">
        <v>23</v>
      </c>
      <c r="G269" t="s">
        <v>24</v>
      </c>
      <c r="H269" t="s">
        <v>30</v>
      </c>
      <c r="I269" t="s">
        <v>40</v>
      </c>
      <c r="J269">
        <v>4</v>
      </c>
      <c r="K269">
        <v>27544</v>
      </c>
      <c r="L269">
        <f>Tabla24[[#This Row],[Precio_Unitario]]*Tabla24[[#This Row],[Unidades_Vendidas]]</f>
        <v>110176</v>
      </c>
      <c r="M269" t="s">
        <v>20</v>
      </c>
    </row>
    <row r="270" spans="1:13" x14ac:dyDescent="0.25">
      <c r="A270" t="s">
        <v>71</v>
      </c>
      <c r="B270" t="str">
        <f>TEXT(Tabla24[[#This Row],[Fecha]],"dddd")</f>
        <v>martes</v>
      </c>
      <c r="C270" t="str">
        <f>TEXT(Tabla24[[#This Row],[Fecha]],"mmmm")</f>
        <v>julio</v>
      </c>
      <c r="D270" t="str">
        <f>TEXT(Tabla24[[#This Row],[Fecha]],"aaaa")</f>
        <v>2024</v>
      </c>
      <c r="E270" t="s">
        <v>22</v>
      </c>
      <c r="F270" t="s">
        <v>34</v>
      </c>
      <c r="G270" t="s">
        <v>39</v>
      </c>
      <c r="H270" t="s">
        <v>19</v>
      </c>
      <c r="I270" t="s">
        <v>15</v>
      </c>
      <c r="J270">
        <v>10</v>
      </c>
      <c r="K270">
        <v>29279</v>
      </c>
      <c r="L270">
        <f>Tabla24[[#This Row],[Precio_Unitario]]*Tabla24[[#This Row],[Unidades_Vendidas]]</f>
        <v>292790</v>
      </c>
      <c r="M270" t="s">
        <v>16</v>
      </c>
    </row>
    <row r="271" spans="1:13" x14ac:dyDescent="0.25">
      <c r="A271" t="s">
        <v>128</v>
      </c>
      <c r="B271" t="str">
        <f>TEXT(Tabla24[[#This Row],[Fecha]],"dddd")</f>
        <v>miércoles</v>
      </c>
      <c r="C271" t="str">
        <f>TEXT(Tabla24[[#This Row],[Fecha]],"mmmm")</f>
        <v>febrero</v>
      </c>
      <c r="D271" t="str">
        <f>TEXT(Tabla24[[#This Row],[Fecha]],"aaaa")</f>
        <v>2024</v>
      </c>
      <c r="E271" t="s">
        <v>22</v>
      </c>
      <c r="F271" t="s">
        <v>38</v>
      </c>
      <c r="G271" t="s">
        <v>13</v>
      </c>
      <c r="H271" t="s">
        <v>19</v>
      </c>
      <c r="I271" t="s">
        <v>26</v>
      </c>
      <c r="J271">
        <v>5</v>
      </c>
      <c r="K271">
        <v>35343</v>
      </c>
      <c r="L271">
        <f>Tabla24[[#This Row],[Precio_Unitario]]*Tabla24[[#This Row],[Unidades_Vendidas]]</f>
        <v>176715</v>
      </c>
      <c r="M271" t="s">
        <v>36</v>
      </c>
    </row>
    <row r="272" spans="1:13" x14ac:dyDescent="0.25">
      <c r="A272" t="s">
        <v>208</v>
      </c>
      <c r="B272" t="str">
        <f>TEXT(Tabla24[[#This Row],[Fecha]],"dddd")</f>
        <v>lunes</v>
      </c>
      <c r="C272" t="str">
        <f>TEXT(Tabla24[[#This Row],[Fecha]],"mmmm")</f>
        <v>junio</v>
      </c>
      <c r="D272" t="str">
        <f>TEXT(Tabla24[[#This Row],[Fecha]],"aaaa")</f>
        <v>2024</v>
      </c>
      <c r="E272" t="s">
        <v>33</v>
      </c>
      <c r="F272" t="s">
        <v>23</v>
      </c>
      <c r="G272" t="s">
        <v>44</v>
      </c>
      <c r="H272" t="s">
        <v>19</v>
      </c>
      <c r="I272" t="s">
        <v>26</v>
      </c>
      <c r="J272">
        <v>14</v>
      </c>
      <c r="K272">
        <v>34867</v>
      </c>
      <c r="L272">
        <f>Tabla24[[#This Row],[Precio_Unitario]]*Tabla24[[#This Row],[Unidades_Vendidas]]</f>
        <v>488138</v>
      </c>
      <c r="M272" t="s">
        <v>27</v>
      </c>
    </row>
    <row r="273" spans="1:13" x14ac:dyDescent="0.25">
      <c r="A273" t="s">
        <v>72</v>
      </c>
      <c r="B273" t="str">
        <f>TEXT(Tabla24[[#This Row],[Fecha]],"dddd")</f>
        <v>sábado</v>
      </c>
      <c r="C273" t="str">
        <f>TEXT(Tabla24[[#This Row],[Fecha]],"mmmm")</f>
        <v>septiembre</v>
      </c>
      <c r="D273" t="str">
        <f>TEXT(Tabla24[[#This Row],[Fecha]],"aaaa")</f>
        <v>2024</v>
      </c>
      <c r="E273" t="s">
        <v>18</v>
      </c>
      <c r="F273" t="s">
        <v>29</v>
      </c>
      <c r="G273" t="s">
        <v>39</v>
      </c>
      <c r="H273" t="s">
        <v>30</v>
      </c>
      <c r="I273" t="s">
        <v>26</v>
      </c>
      <c r="J273">
        <v>1</v>
      </c>
      <c r="K273">
        <v>52999</v>
      </c>
      <c r="L273">
        <f>Tabla24[[#This Row],[Precio_Unitario]]*Tabla24[[#This Row],[Unidades_Vendidas]]</f>
        <v>52999</v>
      </c>
      <c r="M273" t="s">
        <v>27</v>
      </c>
    </row>
    <row r="274" spans="1:13" x14ac:dyDescent="0.25">
      <c r="A274" t="s">
        <v>182</v>
      </c>
      <c r="B274" t="str">
        <f>TEXT(Tabla24[[#This Row],[Fecha]],"dddd")</f>
        <v>martes</v>
      </c>
      <c r="C274" t="str">
        <f>TEXT(Tabla24[[#This Row],[Fecha]],"mmmm")</f>
        <v>diciembre</v>
      </c>
      <c r="D274" t="str">
        <f>TEXT(Tabla24[[#This Row],[Fecha]],"aaaa")</f>
        <v>2024</v>
      </c>
      <c r="E274" t="s">
        <v>42</v>
      </c>
      <c r="F274" t="s">
        <v>23</v>
      </c>
      <c r="G274" t="s">
        <v>13</v>
      </c>
      <c r="H274" t="s">
        <v>19</v>
      </c>
      <c r="I274" t="s">
        <v>26</v>
      </c>
      <c r="J274">
        <v>10</v>
      </c>
      <c r="K274">
        <v>31550</v>
      </c>
      <c r="L274">
        <f>Tabla24[[#This Row],[Precio_Unitario]]*Tabla24[[#This Row],[Unidades_Vendidas]]</f>
        <v>315500</v>
      </c>
      <c r="M274" t="s">
        <v>20</v>
      </c>
    </row>
    <row r="275" spans="1:13" x14ac:dyDescent="0.25">
      <c r="A275" t="s">
        <v>240</v>
      </c>
      <c r="B275" t="str">
        <f>TEXT(Tabla24[[#This Row],[Fecha]],"dddd")</f>
        <v>lunes</v>
      </c>
      <c r="C275" t="str">
        <f>TEXT(Tabla24[[#This Row],[Fecha]],"mmmm")</f>
        <v>diciembre</v>
      </c>
      <c r="D275" t="str">
        <f>TEXT(Tabla24[[#This Row],[Fecha]],"aaaa")</f>
        <v>2024</v>
      </c>
      <c r="E275" t="s">
        <v>33</v>
      </c>
      <c r="F275" t="s">
        <v>23</v>
      </c>
      <c r="G275" t="s">
        <v>13</v>
      </c>
      <c r="H275" t="s">
        <v>35</v>
      </c>
      <c r="I275" t="s">
        <v>15</v>
      </c>
      <c r="J275">
        <v>3</v>
      </c>
      <c r="K275">
        <v>23829</v>
      </c>
      <c r="L275">
        <f>Tabla24[[#This Row],[Precio_Unitario]]*Tabla24[[#This Row],[Unidades_Vendidas]]</f>
        <v>71487</v>
      </c>
      <c r="M275" t="s">
        <v>16</v>
      </c>
    </row>
    <row r="276" spans="1:13" x14ac:dyDescent="0.25">
      <c r="A276" t="s">
        <v>184</v>
      </c>
      <c r="B276" t="str">
        <f>TEXT(Tabla24[[#This Row],[Fecha]],"dddd")</f>
        <v>domingo</v>
      </c>
      <c r="C276" t="str">
        <f>TEXT(Tabla24[[#This Row],[Fecha]],"mmmm")</f>
        <v>septiembre</v>
      </c>
      <c r="D276" t="str">
        <f>TEXT(Tabla24[[#This Row],[Fecha]],"aaaa")</f>
        <v>2024</v>
      </c>
      <c r="E276" t="s">
        <v>18</v>
      </c>
      <c r="F276" t="s">
        <v>12</v>
      </c>
      <c r="G276" t="s">
        <v>39</v>
      </c>
      <c r="H276" t="s">
        <v>25</v>
      </c>
      <c r="I276" t="s">
        <v>40</v>
      </c>
      <c r="J276">
        <v>9</v>
      </c>
      <c r="K276">
        <v>42233</v>
      </c>
      <c r="L276">
        <f>Tabla24[[#This Row],[Precio_Unitario]]*Tabla24[[#This Row],[Unidades_Vendidas]]</f>
        <v>380097</v>
      </c>
      <c r="M276" t="s">
        <v>20</v>
      </c>
    </row>
    <row r="277" spans="1:13" x14ac:dyDescent="0.25">
      <c r="A277" t="s">
        <v>17</v>
      </c>
      <c r="B277" t="str">
        <f>TEXT(Tabla24[[#This Row],[Fecha]],"dddd")</f>
        <v>lunes</v>
      </c>
      <c r="C277" t="str">
        <f>TEXT(Tabla24[[#This Row],[Fecha]],"mmmm")</f>
        <v>septiembre</v>
      </c>
      <c r="D277" t="str">
        <f>TEXT(Tabla24[[#This Row],[Fecha]],"aaaa")</f>
        <v>2024</v>
      </c>
      <c r="E277" t="s">
        <v>18</v>
      </c>
      <c r="F277" t="s">
        <v>34</v>
      </c>
      <c r="G277" t="s">
        <v>13</v>
      </c>
      <c r="H277" t="s">
        <v>35</v>
      </c>
      <c r="I277" t="s">
        <v>15</v>
      </c>
      <c r="J277">
        <v>8</v>
      </c>
      <c r="K277">
        <v>40992</v>
      </c>
      <c r="L277">
        <f>Tabla24[[#This Row],[Precio_Unitario]]*Tabla24[[#This Row],[Unidades_Vendidas]]</f>
        <v>327936</v>
      </c>
      <c r="M277" t="s">
        <v>16</v>
      </c>
    </row>
    <row r="278" spans="1:13" x14ac:dyDescent="0.25">
      <c r="A278" t="s">
        <v>85</v>
      </c>
      <c r="B278" t="str">
        <f>TEXT(Tabla24[[#This Row],[Fecha]],"dddd")</f>
        <v>sábado</v>
      </c>
      <c r="C278" t="str">
        <f>TEXT(Tabla24[[#This Row],[Fecha]],"mmmm")</f>
        <v>julio</v>
      </c>
      <c r="D278" t="str">
        <f>TEXT(Tabla24[[#This Row],[Fecha]],"aaaa")</f>
        <v>2024</v>
      </c>
      <c r="E278" t="s">
        <v>33</v>
      </c>
      <c r="F278" t="s">
        <v>23</v>
      </c>
      <c r="G278" t="s">
        <v>39</v>
      </c>
      <c r="H278" t="s">
        <v>30</v>
      </c>
      <c r="I278" t="s">
        <v>40</v>
      </c>
      <c r="J278">
        <v>9</v>
      </c>
      <c r="K278">
        <v>26501</v>
      </c>
      <c r="L278">
        <f>Tabla24[[#This Row],[Precio_Unitario]]*Tabla24[[#This Row],[Unidades_Vendidas]]</f>
        <v>238509</v>
      </c>
      <c r="M278" t="s">
        <v>36</v>
      </c>
    </row>
    <row r="279" spans="1:13" x14ac:dyDescent="0.25">
      <c r="A279" t="s">
        <v>241</v>
      </c>
      <c r="B279" t="str">
        <f>TEXT(Tabla24[[#This Row],[Fecha]],"dddd")</f>
        <v>domingo</v>
      </c>
      <c r="C279" t="str">
        <f>TEXT(Tabla24[[#This Row],[Fecha]],"mmmm")</f>
        <v>febrero</v>
      </c>
      <c r="D279" t="str">
        <f>TEXT(Tabla24[[#This Row],[Fecha]],"aaaa")</f>
        <v>2024</v>
      </c>
      <c r="E279" t="s">
        <v>22</v>
      </c>
      <c r="F279" t="s">
        <v>38</v>
      </c>
      <c r="G279" t="s">
        <v>39</v>
      </c>
      <c r="H279" t="s">
        <v>30</v>
      </c>
      <c r="I279" t="s">
        <v>15</v>
      </c>
      <c r="J279">
        <v>15</v>
      </c>
      <c r="K279">
        <v>20376</v>
      </c>
      <c r="L279">
        <f>Tabla24[[#This Row],[Precio_Unitario]]*Tabla24[[#This Row],[Unidades_Vendidas]]</f>
        <v>305640</v>
      </c>
      <c r="M279" t="s">
        <v>20</v>
      </c>
    </row>
    <row r="280" spans="1:13" x14ac:dyDescent="0.25">
      <c r="A280" t="s">
        <v>242</v>
      </c>
      <c r="B280" t="str">
        <f>TEXT(Tabla24[[#This Row],[Fecha]],"dddd")</f>
        <v>sábado</v>
      </c>
      <c r="C280" t="str">
        <f>TEXT(Tabla24[[#This Row],[Fecha]],"mmmm")</f>
        <v>julio</v>
      </c>
      <c r="D280" t="str">
        <f>TEXT(Tabla24[[#This Row],[Fecha]],"aaaa")</f>
        <v>2024</v>
      </c>
      <c r="E280" t="s">
        <v>18</v>
      </c>
      <c r="F280" t="s">
        <v>12</v>
      </c>
      <c r="G280" t="s">
        <v>39</v>
      </c>
      <c r="H280" t="s">
        <v>19</v>
      </c>
      <c r="I280" t="s">
        <v>15</v>
      </c>
      <c r="J280">
        <v>9</v>
      </c>
      <c r="K280">
        <v>59454</v>
      </c>
      <c r="L280">
        <f>Tabla24[[#This Row],[Precio_Unitario]]*Tabla24[[#This Row],[Unidades_Vendidas]]</f>
        <v>535086</v>
      </c>
      <c r="M280" t="s">
        <v>20</v>
      </c>
    </row>
    <row r="281" spans="1:13" x14ac:dyDescent="0.25">
      <c r="A281" t="s">
        <v>10</v>
      </c>
      <c r="B281" t="str">
        <f>TEXT(Tabla24[[#This Row],[Fecha]],"dddd")</f>
        <v>martes</v>
      </c>
      <c r="C281" t="str">
        <f>TEXT(Tabla24[[#This Row],[Fecha]],"mmmm")</f>
        <v>julio</v>
      </c>
      <c r="D281" t="str">
        <f>TEXT(Tabla24[[#This Row],[Fecha]],"aaaa")</f>
        <v>2024</v>
      </c>
      <c r="E281" t="s">
        <v>22</v>
      </c>
      <c r="F281" t="s">
        <v>38</v>
      </c>
      <c r="G281" t="s">
        <v>39</v>
      </c>
      <c r="H281" t="s">
        <v>30</v>
      </c>
      <c r="I281" t="s">
        <v>15</v>
      </c>
      <c r="J281">
        <v>19</v>
      </c>
      <c r="K281">
        <v>16315</v>
      </c>
      <c r="L281">
        <f>Tabla24[[#This Row],[Precio_Unitario]]*Tabla24[[#This Row],[Unidades_Vendidas]]</f>
        <v>309985</v>
      </c>
      <c r="M281" t="s">
        <v>20</v>
      </c>
    </row>
    <row r="282" spans="1:13" x14ac:dyDescent="0.25">
      <c r="A282" t="s">
        <v>243</v>
      </c>
      <c r="B282" t="str">
        <f>TEXT(Tabla24[[#This Row],[Fecha]],"dddd")</f>
        <v>lunes</v>
      </c>
      <c r="C282" t="str">
        <f>TEXT(Tabla24[[#This Row],[Fecha]],"mmmm")</f>
        <v>marzo</v>
      </c>
      <c r="D282" t="str">
        <f>TEXT(Tabla24[[#This Row],[Fecha]],"aaaa")</f>
        <v>2024</v>
      </c>
      <c r="E282" t="s">
        <v>18</v>
      </c>
      <c r="F282" t="s">
        <v>23</v>
      </c>
      <c r="G282" t="s">
        <v>48</v>
      </c>
      <c r="H282" t="s">
        <v>14</v>
      </c>
      <c r="I282" t="s">
        <v>40</v>
      </c>
      <c r="J282">
        <v>13</v>
      </c>
      <c r="K282">
        <v>57705</v>
      </c>
      <c r="L282">
        <f>Tabla24[[#This Row],[Precio_Unitario]]*Tabla24[[#This Row],[Unidades_Vendidas]]</f>
        <v>750165</v>
      </c>
      <c r="M282" t="s">
        <v>36</v>
      </c>
    </row>
    <row r="283" spans="1:13" x14ac:dyDescent="0.25">
      <c r="A283" t="s">
        <v>231</v>
      </c>
      <c r="B283" t="str">
        <f>TEXT(Tabla24[[#This Row],[Fecha]],"dddd")</f>
        <v>sábado</v>
      </c>
      <c r="C283" t="str">
        <f>TEXT(Tabla24[[#This Row],[Fecha]],"mmmm")</f>
        <v>mayo</v>
      </c>
      <c r="D283" t="str">
        <f>TEXT(Tabla24[[#This Row],[Fecha]],"aaaa")</f>
        <v>2024</v>
      </c>
      <c r="E283" t="s">
        <v>22</v>
      </c>
      <c r="F283" t="s">
        <v>38</v>
      </c>
      <c r="G283" t="s">
        <v>48</v>
      </c>
      <c r="H283" t="s">
        <v>19</v>
      </c>
      <c r="I283" t="s">
        <v>26</v>
      </c>
      <c r="J283">
        <v>8</v>
      </c>
      <c r="K283">
        <v>27687</v>
      </c>
      <c r="L283">
        <f>Tabla24[[#This Row],[Precio_Unitario]]*Tabla24[[#This Row],[Unidades_Vendidas]]</f>
        <v>221496</v>
      </c>
      <c r="M283" t="s">
        <v>36</v>
      </c>
    </row>
    <row r="284" spans="1:13" x14ac:dyDescent="0.25">
      <c r="A284" t="s">
        <v>191</v>
      </c>
      <c r="B284" t="str">
        <f>TEXT(Tabla24[[#This Row],[Fecha]],"dddd")</f>
        <v>sábado</v>
      </c>
      <c r="C284" t="str">
        <f>TEXT(Tabla24[[#This Row],[Fecha]],"mmmm")</f>
        <v>marzo</v>
      </c>
      <c r="D284" t="str">
        <f>TEXT(Tabla24[[#This Row],[Fecha]],"aaaa")</f>
        <v>2024</v>
      </c>
      <c r="E284" t="s">
        <v>18</v>
      </c>
      <c r="F284" t="s">
        <v>34</v>
      </c>
      <c r="G284" t="s">
        <v>39</v>
      </c>
      <c r="H284" t="s">
        <v>25</v>
      </c>
      <c r="I284" t="s">
        <v>40</v>
      </c>
      <c r="J284">
        <v>7</v>
      </c>
      <c r="K284">
        <v>50762</v>
      </c>
      <c r="L284">
        <f>Tabla24[[#This Row],[Precio_Unitario]]*Tabla24[[#This Row],[Unidades_Vendidas]]</f>
        <v>355334</v>
      </c>
      <c r="M284" t="s">
        <v>16</v>
      </c>
    </row>
    <row r="285" spans="1:13" x14ac:dyDescent="0.25">
      <c r="A285" t="s">
        <v>244</v>
      </c>
      <c r="B285" t="str">
        <f>TEXT(Tabla24[[#This Row],[Fecha]],"dddd")</f>
        <v>domingo</v>
      </c>
      <c r="C285" t="str">
        <f>TEXT(Tabla24[[#This Row],[Fecha]],"mmmm")</f>
        <v>mayo</v>
      </c>
      <c r="D285" t="str">
        <f>TEXT(Tabla24[[#This Row],[Fecha]],"aaaa")</f>
        <v>2024</v>
      </c>
      <c r="E285" t="s">
        <v>22</v>
      </c>
      <c r="F285" t="s">
        <v>23</v>
      </c>
      <c r="G285" t="s">
        <v>44</v>
      </c>
      <c r="H285" t="s">
        <v>35</v>
      </c>
      <c r="I285" t="s">
        <v>26</v>
      </c>
      <c r="J285">
        <v>5</v>
      </c>
      <c r="K285">
        <v>15954</v>
      </c>
      <c r="L285">
        <f>Tabla24[[#This Row],[Precio_Unitario]]*Tabla24[[#This Row],[Unidades_Vendidas]]</f>
        <v>79770</v>
      </c>
      <c r="M285" t="s">
        <v>36</v>
      </c>
    </row>
    <row r="286" spans="1:13" x14ac:dyDescent="0.25">
      <c r="A286" t="s">
        <v>245</v>
      </c>
      <c r="B286" t="str">
        <f>TEXT(Tabla24[[#This Row],[Fecha]],"dddd")</f>
        <v>domingo</v>
      </c>
      <c r="C286" t="str">
        <f>TEXT(Tabla24[[#This Row],[Fecha]],"mmmm")</f>
        <v>julio</v>
      </c>
      <c r="D286" t="str">
        <f>TEXT(Tabla24[[#This Row],[Fecha]],"aaaa")</f>
        <v>2024</v>
      </c>
      <c r="E286" t="s">
        <v>11</v>
      </c>
      <c r="F286" t="s">
        <v>38</v>
      </c>
      <c r="G286" t="s">
        <v>44</v>
      </c>
      <c r="H286" t="s">
        <v>30</v>
      </c>
      <c r="I286" t="s">
        <v>40</v>
      </c>
      <c r="J286">
        <v>2</v>
      </c>
      <c r="K286">
        <v>21857</v>
      </c>
      <c r="L286">
        <f>Tabla24[[#This Row],[Precio_Unitario]]*Tabla24[[#This Row],[Unidades_Vendidas]]</f>
        <v>43714</v>
      </c>
      <c r="M286" t="s">
        <v>16</v>
      </c>
    </row>
    <row r="287" spans="1:13" x14ac:dyDescent="0.25">
      <c r="A287" t="s">
        <v>246</v>
      </c>
      <c r="B287" t="str">
        <f>TEXT(Tabla24[[#This Row],[Fecha]],"dddd")</f>
        <v>martes</v>
      </c>
      <c r="C287" t="str">
        <f>TEXT(Tabla24[[#This Row],[Fecha]],"mmmm")</f>
        <v>noviembre</v>
      </c>
      <c r="D287" t="str">
        <f>TEXT(Tabla24[[#This Row],[Fecha]],"aaaa")</f>
        <v>2024</v>
      </c>
      <c r="E287" t="s">
        <v>22</v>
      </c>
      <c r="F287" t="s">
        <v>38</v>
      </c>
      <c r="G287" t="s">
        <v>24</v>
      </c>
      <c r="H287" t="s">
        <v>14</v>
      </c>
      <c r="I287" t="s">
        <v>26</v>
      </c>
      <c r="J287">
        <v>16</v>
      </c>
      <c r="K287">
        <v>47501</v>
      </c>
      <c r="L287">
        <f>Tabla24[[#This Row],[Precio_Unitario]]*Tabla24[[#This Row],[Unidades_Vendidas]]</f>
        <v>760016</v>
      </c>
      <c r="M287" t="s">
        <v>20</v>
      </c>
    </row>
    <row r="288" spans="1:13" x14ac:dyDescent="0.25">
      <c r="A288" t="s">
        <v>153</v>
      </c>
      <c r="B288" t="str">
        <f>TEXT(Tabla24[[#This Row],[Fecha]],"dddd")</f>
        <v>lunes</v>
      </c>
      <c r="C288" t="str">
        <f>TEXT(Tabla24[[#This Row],[Fecha]],"mmmm")</f>
        <v>enero</v>
      </c>
      <c r="D288" t="str">
        <f>TEXT(Tabla24[[#This Row],[Fecha]],"aaaa")</f>
        <v>2024</v>
      </c>
      <c r="E288" t="s">
        <v>42</v>
      </c>
      <c r="F288" t="s">
        <v>12</v>
      </c>
      <c r="G288" t="s">
        <v>48</v>
      </c>
      <c r="H288" t="s">
        <v>25</v>
      </c>
      <c r="I288" t="s">
        <v>15</v>
      </c>
      <c r="J288">
        <v>14</v>
      </c>
      <c r="K288">
        <v>44999</v>
      </c>
      <c r="L288">
        <f>Tabla24[[#This Row],[Precio_Unitario]]*Tabla24[[#This Row],[Unidades_Vendidas]]</f>
        <v>629986</v>
      </c>
      <c r="M288" t="s">
        <v>36</v>
      </c>
    </row>
    <row r="289" spans="1:13" x14ac:dyDescent="0.25">
      <c r="A289" t="s">
        <v>235</v>
      </c>
      <c r="B289" t="str">
        <f>TEXT(Tabla24[[#This Row],[Fecha]],"dddd")</f>
        <v>jueves</v>
      </c>
      <c r="C289" t="str">
        <f>TEXT(Tabla24[[#This Row],[Fecha]],"mmmm")</f>
        <v>diciembre</v>
      </c>
      <c r="D289" t="str">
        <f>TEXT(Tabla24[[#This Row],[Fecha]],"aaaa")</f>
        <v>2024</v>
      </c>
      <c r="E289" t="s">
        <v>11</v>
      </c>
      <c r="F289" t="s">
        <v>23</v>
      </c>
      <c r="G289" t="s">
        <v>24</v>
      </c>
      <c r="H289" t="s">
        <v>35</v>
      </c>
      <c r="I289" t="s">
        <v>26</v>
      </c>
      <c r="J289">
        <v>13</v>
      </c>
      <c r="K289">
        <v>31983</v>
      </c>
      <c r="L289">
        <f>Tabla24[[#This Row],[Precio_Unitario]]*Tabla24[[#This Row],[Unidades_Vendidas]]</f>
        <v>415779</v>
      </c>
      <c r="M289" t="s">
        <v>36</v>
      </c>
    </row>
    <row r="290" spans="1:13" x14ac:dyDescent="0.25">
      <c r="A290" t="s">
        <v>166</v>
      </c>
      <c r="B290" t="str">
        <f>TEXT(Tabla24[[#This Row],[Fecha]],"dddd")</f>
        <v>lunes</v>
      </c>
      <c r="C290" t="str">
        <f>TEXT(Tabla24[[#This Row],[Fecha]],"mmmm")</f>
        <v>enero</v>
      </c>
      <c r="D290" t="str">
        <f>TEXT(Tabla24[[#This Row],[Fecha]],"aaaa")</f>
        <v>2024</v>
      </c>
      <c r="E290" t="s">
        <v>22</v>
      </c>
      <c r="F290" t="s">
        <v>23</v>
      </c>
      <c r="G290" t="s">
        <v>39</v>
      </c>
      <c r="H290" t="s">
        <v>14</v>
      </c>
      <c r="I290" t="s">
        <v>26</v>
      </c>
      <c r="J290">
        <v>10</v>
      </c>
      <c r="K290">
        <v>30473</v>
      </c>
      <c r="L290">
        <f>Tabla24[[#This Row],[Precio_Unitario]]*Tabla24[[#This Row],[Unidades_Vendidas]]</f>
        <v>304730</v>
      </c>
      <c r="M290" t="s">
        <v>36</v>
      </c>
    </row>
    <row r="291" spans="1:13" x14ac:dyDescent="0.25">
      <c r="A291" t="s">
        <v>51</v>
      </c>
      <c r="B291" t="str">
        <f>TEXT(Tabla24[[#This Row],[Fecha]],"dddd")</f>
        <v>miércoles</v>
      </c>
      <c r="C291" t="str">
        <f>TEXT(Tabla24[[#This Row],[Fecha]],"mmmm")</f>
        <v>octubre</v>
      </c>
      <c r="D291" t="str">
        <f>TEXT(Tabla24[[#This Row],[Fecha]],"aaaa")</f>
        <v>2024</v>
      </c>
      <c r="E291" t="s">
        <v>22</v>
      </c>
      <c r="F291" t="s">
        <v>23</v>
      </c>
      <c r="G291" t="s">
        <v>24</v>
      </c>
      <c r="H291" t="s">
        <v>14</v>
      </c>
      <c r="I291" t="s">
        <v>26</v>
      </c>
      <c r="J291">
        <v>10</v>
      </c>
      <c r="K291">
        <v>25347</v>
      </c>
      <c r="L291">
        <f>Tabla24[[#This Row],[Precio_Unitario]]*Tabla24[[#This Row],[Unidades_Vendidas]]</f>
        <v>253470</v>
      </c>
      <c r="M291" t="s">
        <v>36</v>
      </c>
    </row>
    <row r="292" spans="1:13" x14ac:dyDescent="0.25">
      <c r="A292" t="s">
        <v>239</v>
      </c>
      <c r="B292" t="str">
        <f>TEXT(Tabla24[[#This Row],[Fecha]],"dddd")</f>
        <v>sábado</v>
      </c>
      <c r="C292" t="str">
        <f>TEXT(Tabla24[[#This Row],[Fecha]],"mmmm")</f>
        <v>marzo</v>
      </c>
      <c r="D292" t="str">
        <f>TEXT(Tabla24[[#This Row],[Fecha]],"aaaa")</f>
        <v>2024</v>
      </c>
      <c r="E292" t="s">
        <v>42</v>
      </c>
      <c r="F292" t="s">
        <v>38</v>
      </c>
      <c r="G292" t="s">
        <v>24</v>
      </c>
      <c r="H292" t="s">
        <v>25</v>
      </c>
      <c r="I292" t="s">
        <v>40</v>
      </c>
      <c r="J292">
        <v>12</v>
      </c>
      <c r="K292">
        <v>20436</v>
      </c>
      <c r="L292">
        <f>Tabla24[[#This Row],[Precio_Unitario]]*Tabla24[[#This Row],[Unidades_Vendidas]]</f>
        <v>245232</v>
      </c>
      <c r="M292" t="s">
        <v>36</v>
      </c>
    </row>
    <row r="293" spans="1:13" x14ac:dyDescent="0.25">
      <c r="A293" t="s">
        <v>247</v>
      </c>
      <c r="B293" t="str">
        <f>TEXT(Tabla24[[#This Row],[Fecha]],"dddd")</f>
        <v>miércoles</v>
      </c>
      <c r="C293" t="str">
        <f>TEXT(Tabla24[[#This Row],[Fecha]],"mmmm")</f>
        <v>febrero</v>
      </c>
      <c r="D293" t="str">
        <f>TEXT(Tabla24[[#This Row],[Fecha]],"aaaa")</f>
        <v>2024</v>
      </c>
      <c r="E293" t="s">
        <v>42</v>
      </c>
      <c r="F293" t="s">
        <v>29</v>
      </c>
      <c r="G293" t="s">
        <v>24</v>
      </c>
      <c r="H293" t="s">
        <v>19</v>
      </c>
      <c r="I293" t="s">
        <v>15</v>
      </c>
      <c r="J293">
        <v>1</v>
      </c>
      <c r="K293">
        <v>49144</v>
      </c>
      <c r="L293">
        <f>Tabla24[[#This Row],[Precio_Unitario]]*Tabla24[[#This Row],[Unidades_Vendidas]]</f>
        <v>49144</v>
      </c>
      <c r="M293" t="s">
        <v>16</v>
      </c>
    </row>
    <row r="294" spans="1:13" x14ac:dyDescent="0.25">
      <c r="A294" t="s">
        <v>172</v>
      </c>
      <c r="B294" t="str">
        <f>TEXT(Tabla24[[#This Row],[Fecha]],"dddd")</f>
        <v>domingo</v>
      </c>
      <c r="C294" t="str">
        <f>TEXT(Tabla24[[#This Row],[Fecha]],"mmmm")</f>
        <v>marzo</v>
      </c>
      <c r="D294" t="str">
        <f>TEXT(Tabla24[[#This Row],[Fecha]],"aaaa")</f>
        <v>2024</v>
      </c>
      <c r="E294" t="s">
        <v>33</v>
      </c>
      <c r="F294" t="s">
        <v>38</v>
      </c>
      <c r="G294" t="s">
        <v>24</v>
      </c>
      <c r="H294" t="s">
        <v>19</v>
      </c>
      <c r="I294" t="s">
        <v>40</v>
      </c>
      <c r="J294">
        <v>16</v>
      </c>
      <c r="K294">
        <v>48194</v>
      </c>
      <c r="L294">
        <f>Tabla24[[#This Row],[Precio_Unitario]]*Tabla24[[#This Row],[Unidades_Vendidas]]</f>
        <v>771104</v>
      </c>
      <c r="M294" t="s">
        <v>36</v>
      </c>
    </row>
    <row r="295" spans="1:13" x14ac:dyDescent="0.25">
      <c r="A295" t="s">
        <v>248</v>
      </c>
      <c r="B295" t="str">
        <f>TEXT(Tabla24[[#This Row],[Fecha]],"dddd")</f>
        <v>jueves</v>
      </c>
      <c r="C295" t="str">
        <f>TEXT(Tabla24[[#This Row],[Fecha]],"mmmm")</f>
        <v>noviembre</v>
      </c>
      <c r="D295" t="str">
        <f>TEXT(Tabla24[[#This Row],[Fecha]],"aaaa")</f>
        <v>2024</v>
      </c>
      <c r="E295" t="s">
        <v>11</v>
      </c>
      <c r="F295" t="s">
        <v>12</v>
      </c>
      <c r="G295" t="s">
        <v>48</v>
      </c>
      <c r="H295" t="s">
        <v>25</v>
      </c>
      <c r="I295" t="s">
        <v>40</v>
      </c>
      <c r="J295">
        <v>1</v>
      </c>
      <c r="K295">
        <v>17088</v>
      </c>
      <c r="L295">
        <f>Tabla24[[#This Row],[Precio_Unitario]]*Tabla24[[#This Row],[Unidades_Vendidas]]</f>
        <v>17088</v>
      </c>
      <c r="M295" t="s">
        <v>27</v>
      </c>
    </row>
    <row r="296" spans="1:13" x14ac:dyDescent="0.25">
      <c r="A296" t="s">
        <v>150</v>
      </c>
      <c r="B296" t="str">
        <f>TEXT(Tabla24[[#This Row],[Fecha]],"dddd")</f>
        <v>sábado</v>
      </c>
      <c r="C296" t="str">
        <f>TEXT(Tabla24[[#This Row],[Fecha]],"mmmm")</f>
        <v>agosto</v>
      </c>
      <c r="D296" t="str">
        <f>TEXT(Tabla24[[#This Row],[Fecha]],"aaaa")</f>
        <v>2024</v>
      </c>
      <c r="E296" t="s">
        <v>18</v>
      </c>
      <c r="F296" t="s">
        <v>12</v>
      </c>
      <c r="G296" t="s">
        <v>39</v>
      </c>
      <c r="H296" t="s">
        <v>35</v>
      </c>
      <c r="I296" t="s">
        <v>15</v>
      </c>
      <c r="J296">
        <v>2</v>
      </c>
      <c r="K296">
        <v>36151</v>
      </c>
      <c r="L296">
        <f>Tabla24[[#This Row],[Precio_Unitario]]*Tabla24[[#This Row],[Unidades_Vendidas]]</f>
        <v>72302</v>
      </c>
      <c r="M296" t="s">
        <v>27</v>
      </c>
    </row>
    <row r="297" spans="1:13" x14ac:dyDescent="0.25">
      <c r="A297" t="s">
        <v>233</v>
      </c>
      <c r="B297" t="str">
        <f>TEXT(Tabla24[[#This Row],[Fecha]],"dddd")</f>
        <v>martes</v>
      </c>
      <c r="C297" t="str">
        <f>TEXT(Tabla24[[#This Row],[Fecha]],"mmmm")</f>
        <v>abril</v>
      </c>
      <c r="D297" t="str">
        <f>TEXT(Tabla24[[#This Row],[Fecha]],"aaaa")</f>
        <v>2024</v>
      </c>
      <c r="E297" t="s">
        <v>42</v>
      </c>
      <c r="F297" t="s">
        <v>29</v>
      </c>
      <c r="G297" t="s">
        <v>13</v>
      </c>
      <c r="H297" t="s">
        <v>14</v>
      </c>
      <c r="I297" t="s">
        <v>15</v>
      </c>
      <c r="J297">
        <v>20</v>
      </c>
      <c r="K297">
        <v>48022</v>
      </c>
      <c r="L297">
        <f>Tabla24[[#This Row],[Precio_Unitario]]*Tabla24[[#This Row],[Unidades_Vendidas]]</f>
        <v>960440</v>
      </c>
      <c r="M297" t="s">
        <v>20</v>
      </c>
    </row>
    <row r="298" spans="1:13" x14ac:dyDescent="0.25">
      <c r="A298" t="s">
        <v>249</v>
      </c>
      <c r="B298" t="str">
        <f>TEXT(Tabla24[[#This Row],[Fecha]],"dddd")</f>
        <v>sábado</v>
      </c>
      <c r="C298" t="str">
        <f>TEXT(Tabla24[[#This Row],[Fecha]],"mmmm")</f>
        <v>mayo</v>
      </c>
      <c r="D298" t="str">
        <f>TEXT(Tabla24[[#This Row],[Fecha]],"aaaa")</f>
        <v>2024</v>
      </c>
      <c r="E298" t="s">
        <v>11</v>
      </c>
      <c r="F298" t="s">
        <v>12</v>
      </c>
      <c r="G298" t="s">
        <v>48</v>
      </c>
      <c r="H298" t="s">
        <v>30</v>
      </c>
      <c r="I298" t="s">
        <v>26</v>
      </c>
      <c r="J298">
        <v>1</v>
      </c>
      <c r="K298">
        <v>48577</v>
      </c>
      <c r="L298">
        <f>Tabla24[[#This Row],[Precio_Unitario]]*Tabla24[[#This Row],[Unidades_Vendidas]]</f>
        <v>48577</v>
      </c>
      <c r="M298" t="s">
        <v>36</v>
      </c>
    </row>
    <row r="299" spans="1:13" x14ac:dyDescent="0.25">
      <c r="A299" t="s">
        <v>250</v>
      </c>
      <c r="B299" t="str">
        <f>TEXT(Tabla24[[#This Row],[Fecha]],"dddd")</f>
        <v>martes</v>
      </c>
      <c r="C299" t="str">
        <f>TEXT(Tabla24[[#This Row],[Fecha]],"mmmm")</f>
        <v>octubre</v>
      </c>
      <c r="D299" t="str">
        <f>TEXT(Tabla24[[#This Row],[Fecha]],"aaaa")</f>
        <v>2024</v>
      </c>
      <c r="E299" t="s">
        <v>42</v>
      </c>
      <c r="F299" t="s">
        <v>12</v>
      </c>
      <c r="G299" t="s">
        <v>24</v>
      </c>
      <c r="H299" t="s">
        <v>35</v>
      </c>
      <c r="I299" t="s">
        <v>26</v>
      </c>
      <c r="J299">
        <v>7</v>
      </c>
      <c r="K299">
        <v>26713</v>
      </c>
      <c r="L299">
        <f>Tabla24[[#This Row],[Precio_Unitario]]*Tabla24[[#This Row],[Unidades_Vendidas]]</f>
        <v>186991</v>
      </c>
      <c r="M299" t="s">
        <v>20</v>
      </c>
    </row>
    <row r="300" spans="1:13" x14ac:dyDescent="0.25">
      <c r="A300" t="s">
        <v>251</v>
      </c>
      <c r="B300" t="str">
        <f>TEXT(Tabla24[[#This Row],[Fecha]],"dddd")</f>
        <v>domingo</v>
      </c>
      <c r="C300" t="str">
        <f>TEXT(Tabla24[[#This Row],[Fecha]],"mmmm")</f>
        <v>febrero</v>
      </c>
      <c r="D300" t="str">
        <f>TEXT(Tabla24[[#This Row],[Fecha]],"aaaa")</f>
        <v>2024</v>
      </c>
      <c r="E300" t="s">
        <v>42</v>
      </c>
      <c r="F300" t="s">
        <v>23</v>
      </c>
      <c r="G300" t="s">
        <v>39</v>
      </c>
      <c r="H300" t="s">
        <v>25</v>
      </c>
      <c r="I300" t="s">
        <v>26</v>
      </c>
      <c r="J300">
        <v>19</v>
      </c>
      <c r="K300">
        <v>16391</v>
      </c>
      <c r="L300">
        <f>Tabla24[[#This Row],[Precio_Unitario]]*Tabla24[[#This Row],[Unidades_Vendidas]]</f>
        <v>311429</v>
      </c>
      <c r="M300" t="s">
        <v>16</v>
      </c>
    </row>
    <row r="301" spans="1:13" x14ac:dyDescent="0.25">
      <c r="A301" t="s">
        <v>181</v>
      </c>
      <c r="B301" t="str">
        <f>TEXT(Tabla24[[#This Row],[Fecha]],"dddd")</f>
        <v>viernes</v>
      </c>
      <c r="C301" t="str">
        <f>TEXT(Tabla24[[#This Row],[Fecha]],"mmmm")</f>
        <v>agosto</v>
      </c>
      <c r="D301" t="str">
        <f>TEXT(Tabla24[[#This Row],[Fecha]],"aaaa")</f>
        <v>2024</v>
      </c>
      <c r="E301" t="s">
        <v>42</v>
      </c>
      <c r="F301" t="s">
        <v>38</v>
      </c>
      <c r="G301" t="s">
        <v>44</v>
      </c>
      <c r="H301" t="s">
        <v>30</v>
      </c>
      <c r="I301" t="s">
        <v>40</v>
      </c>
      <c r="J301">
        <v>10</v>
      </c>
      <c r="K301">
        <v>52970</v>
      </c>
      <c r="L301">
        <f>Tabla24[[#This Row],[Precio_Unitario]]*Tabla24[[#This Row],[Unidades_Vendidas]]</f>
        <v>529700</v>
      </c>
      <c r="M301" t="s">
        <v>20</v>
      </c>
    </row>
    <row r="302" spans="1:13" x14ac:dyDescent="0.25">
      <c r="A302" t="s">
        <v>252</v>
      </c>
      <c r="B302" t="str">
        <f>TEXT(Tabla24[[#This Row],[Fecha]],"dddd")</f>
        <v>viernes</v>
      </c>
      <c r="C302" t="str">
        <f>TEXT(Tabla24[[#This Row],[Fecha]],"mmmm")</f>
        <v>mayo</v>
      </c>
      <c r="D302" t="str">
        <f>TEXT(Tabla24[[#This Row],[Fecha]],"aaaa")</f>
        <v>2024</v>
      </c>
      <c r="E302" t="s">
        <v>33</v>
      </c>
      <c r="F302" t="s">
        <v>29</v>
      </c>
      <c r="G302" t="s">
        <v>44</v>
      </c>
      <c r="H302" t="s">
        <v>19</v>
      </c>
      <c r="I302" t="s">
        <v>40</v>
      </c>
      <c r="J302">
        <v>11</v>
      </c>
      <c r="K302">
        <v>58268</v>
      </c>
      <c r="L302">
        <f>Tabla24[[#This Row],[Precio_Unitario]]*Tabla24[[#This Row],[Unidades_Vendidas]]</f>
        <v>640948</v>
      </c>
      <c r="M302" t="s">
        <v>27</v>
      </c>
    </row>
    <row r="303" spans="1:13" x14ac:dyDescent="0.25">
      <c r="A303" t="s">
        <v>250</v>
      </c>
      <c r="B303" t="str">
        <f>TEXT(Tabla24[[#This Row],[Fecha]],"dddd")</f>
        <v>martes</v>
      </c>
      <c r="C303" t="str">
        <f>TEXT(Tabla24[[#This Row],[Fecha]],"mmmm")</f>
        <v>octubre</v>
      </c>
      <c r="D303" t="str">
        <f>TEXT(Tabla24[[#This Row],[Fecha]],"aaaa")</f>
        <v>2024</v>
      </c>
      <c r="E303" t="s">
        <v>22</v>
      </c>
      <c r="F303" t="s">
        <v>23</v>
      </c>
      <c r="G303" t="s">
        <v>24</v>
      </c>
      <c r="H303" t="s">
        <v>35</v>
      </c>
      <c r="I303" t="s">
        <v>15</v>
      </c>
      <c r="J303">
        <v>6</v>
      </c>
      <c r="K303">
        <v>28862</v>
      </c>
      <c r="L303">
        <f>Tabla24[[#This Row],[Precio_Unitario]]*Tabla24[[#This Row],[Unidades_Vendidas]]</f>
        <v>173172</v>
      </c>
      <c r="M303" t="s">
        <v>36</v>
      </c>
    </row>
    <row r="304" spans="1:13" x14ac:dyDescent="0.25">
      <c r="A304" t="s">
        <v>124</v>
      </c>
      <c r="B304" t="str">
        <f>TEXT(Tabla24[[#This Row],[Fecha]],"dddd")</f>
        <v>sábado</v>
      </c>
      <c r="C304" t="str">
        <f>TEXT(Tabla24[[#This Row],[Fecha]],"mmmm")</f>
        <v>junio</v>
      </c>
      <c r="D304" t="str">
        <f>TEXT(Tabla24[[#This Row],[Fecha]],"aaaa")</f>
        <v>2024</v>
      </c>
      <c r="E304" t="s">
        <v>11</v>
      </c>
      <c r="F304" t="s">
        <v>23</v>
      </c>
      <c r="G304" t="s">
        <v>24</v>
      </c>
      <c r="H304" t="s">
        <v>35</v>
      </c>
      <c r="I304" t="s">
        <v>15</v>
      </c>
      <c r="J304">
        <v>15</v>
      </c>
      <c r="K304">
        <v>30918</v>
      </c>
      <c r="L304">
        <f>Tabla24[[#This Row],[Precio_Unitario]]*Tabla24[[#This Row],[Unidades_Vendidas]]</f>
        <v>463770</v>
      </c>
      <c r="M304" t="s">
        <v>20</v>
      </c>
    </row>
    <row r="305" spans="1:13" x14ac:dyDescent="0.25">
      <c r="A305" t="s">
        <v>233</v>
      </c>
      <c r="B305" t="str">
        <f>TEXT(Tabla24[[#This Row],[Fecha]],"dddd")</f>
        <v>martes</v>
      </c>
      <c r="C305" t="str">
        <f>TEXT(Tabla24[[#This Row],[Fecha]],"mmmm")</f>
        <v>abril</v>
      </c>
      <c r="D305" t="str">
        <f>TEXT(Tabla24[[#This Row],[Fecha]],"aaaa")</f>
        <v>2024</v>
      </c>
      <c r="E305" t="s">
        <v>11</v>
      </c>
      <c r="F305" t="s">
        <v>12</v>
      </c>
      <c r="G305" t="s">
        <v>48</v>
      </c>
      <c r="H305" t="s">
        <v>30</v>
      </c>
      <c r="I305" t="s">
        <v>40</v>
      </c>
      <c r="J305">
        <v>3</v>
      </c>
      <c r="K305">
        <v>28059</v>
      </c>
      <c r="L305">
        <f>Tabla24[[#This Row],[Precio_Unitario]]*Tabla24[[#This Row],[Unidades_Vendidas]]</f>
        <v>84177</v>
      </c>
      <c r="M305" t="s">
        <v>16</v>
      </c>
    </row>
    <row r="306" spans="1:13" x14ac:dyDescent="0.25">
      <c r="A306" t="s">
        <v>253</v>
      </c>
      <c r="B306" t="str">
        <f>TEXT(Tabla24[[#This Row],[Fecha]],"dddd")</f>
        <v>jueves</v>
      </c>
      <c r="C306" t="str">
        <f>TEXT(Tabla24[[#This Row],[Fecha]],"mmmm")</f>
        <v>marzo</v>
      </c>
      <c r="D306" t="str">
        <f>TEXT(Tabla24[[#This Row],[Fecha]],"aaaa")</f>
        <v>2024</v>
      </c>
      <c r="E306" t="s">
        <v>33</v>
      </c>
      <c r="F306" t="s">
        <v>38</v>
      </c>
      <c r="G306" t="s">
        <v>24</v>
      </c>
      <c r="H306" t="s">
        <v>30</v>
      </c>
      <c r="I306" t="s">
        <v>15</v>
      </c>
      <c r="J306">
        <v>18</v>
      </c>
      <c r="K306">
        <v>46527</v>
      </c>
      <c r="L306">
        <f>Tabla24[[#This Row],[Precio_Unitario]]*Tabla24[[#This Row],[Unidades_Vendidas]]</f>
        <v>837486</v>
      </c>
      <c r="M306" t="s">
        <v>16</v>
      </c>
    </row>
    <row r="307" spans="1:13" x14ac:dyDescent="0.25">
      <c r="A307" t="s">
        <v>213</v>
      </c>
      <c r="B307" t="str">
        <f>TEXT(Tabla24[[#This Row],[Fecha]],"dddd")</f>
        <v>miércoles</v>
      </c>
      <c r="C307" t="str">
        <f>TEXT(Tabla24[[#This Row],[Fecha]],"mmmm")</f>
        <v>septiembre</v>
      </c>
      <c r="D307" t="str">
        <f>TEXT(Tabla24[[#This Row],[Fecha]],"aaaa")</f>
        <v>2024</v>
      </c>
      <c r="E307" t="s">
        <v>11</v>
      </c>
      <c r="F307" t="s">
        <v>29</v>
      </c>
      <c r="G307" t="s">
        <v>13</v>
      </c>
      <c r="H307" t="s">
        <v>30</v>
      </c>
      <c r="I307" t="s">
        <v>15</v>
      </c>
      <c r="J307">
        <v>9</v>
      </c>
      <c r="K307">
        <v>58261</v>
      </c>
      <c r="L307">
        <f>Tabla24[[#This Row],[Precio_Unitario]]*Tabla24[[#This Row],[Unidades_Vendidas]]</f>
        <v>524349</v>
      </c>
      <c r="M307" t="s">
        <v>20</v>
      </c>
    </row>
    <row r="308" spans="1:13" x14ac:dyDescent="0.25">
      <c r="A308" t="s">
        <v>246</v>
      </c>
      <c r="B308" t="str">
        <f>TEXT(Tabla24[[#This Row],[Fecha]],"dddd")</f>
        <v>martes</v>
      </c>
      <c r="C308" t="str">
        <f>TEXT(Tabla24[[#This Row],[Fecha]],"mmmm")</f>
        <v>noviembre</v>
      </c>
      <c r="D308" t="str">
        <f>TEXT(Tabla24[[#This Row],[Fecha]],"aaaa")</f>
        <v>2024</v>
      </c>
      <c r="E308" t="s">
        <v>42</v>
      </c>
      <c r="F308" t="s">
        <v>38</v>
      </c>
      <c r="G308" t="s">
        <v>44</v>
      </c>
      <c r="H308" t="s">
        <v>14</v>
      </c>
      <c r="I308" t="s">
        <v>26</v>
      </c>
      <c r="J308">
        <v>1</v>
      </c>
      <c r="K308">
        <v>49036</v>
      </c>
      <c r="L308">
        <f>Tabla24[[#This Row],[Precio_Unitario]]*Tabla24[[#This Row],[Unidades_Vendidas]]</f>
        <v>49036</v>
      </c>
      <c r="M308" t="s">
        <v>36</v>
      </c>
    </row>
    <row r="309" spans="1:13" x14ac:dyDescent="0.25">
      <c r="A309" t="s">
        <v>254</v>
      </c>
      <c r="B309" t="str">
        <f>TEXT(Tabla24[[#This Row],[Fecha]],"dddd")</f>
        <v>sábado</v>
      </c>
      <c r="C309" t="str">
        <f>TEXT(Tabla24[[#This Row],[Fecha]],"mmmm")</f>
        <v>enero</v>
      </c>
      <c r="D309" t="str">
        <f>TEXT(Tabla24[[#This Row],[Fecha]],"aaaa")</f>
        <v>2024</v>
      </c>
      <c r="E309" t="s">
        <v>33</v>
      </c>
      <c r="F309" t="s">
        <v>29</v>
      </c>
      <c r="G309" t="s">
        <v>48</v>
      </c>
      <c r="H309" t="s">
        <v>35</v>
      </c>
      <c r="I309" t="s">
        <v>26</v>
      </c>
      <c r="J309">
        <v>13</v>
      </c>
      <c r="K309">
        <v>17625</v>
      </c>
      <c r="L309">
        <f>Tabla24[[#This Row],[Precio_Unitario]]*Tabla24[[#This Row],[Unidades_Vendidas]]</f>
        <v>229125</v>
      </c>
      <c r="M309" t="s">
        <v>16</v>
      </c>
    </row>
    <row r="310" spans="1:13" x14ac:dyDescent="0.25">
      <c r="A310" t="s">
        <v>109</v>
      </c>
      <c r="B310" t="str">
        <f>TEXT(Tabla24[[#This Row],[Fecha]],"dddd")</f>
        <v>miércoles</v>
      </c>
      <c r="C310" t="str">
        <f>TEXT(Tabla24[[#This Row],[Fecha]],"mmmm")</f>
        <v>mayo</v>
      </c>
      <c r="D310" t="str">
        <f>TEXT(Tabla24[[#This Row],[Fecha]],"aaaa")</f>
        <v>2024</v>
      </c>
      <c r="E310" t="s">
        <v>18</v>
      </c>
      <c r="F310" t="s">
        <v>12</v>
      </c>
      <c r="G310" t="s">
        <v>48</v>
      </c>
      <c r="H310" t="s">
        <v>25</v>
      </c>
      <c r="I310" t="s">
        <v>15</v>
      </c>
      <c r="J310">
        <v>13</v>
      </c>
      <c r="K310">
        <v>17796</v>
      </c>
      <c r="L310">
        <f>Tabla24[[#This Row],[Precio_Unitario]]*Tabla24[[#This Row],[Unidades_Vendidas]]</f>
        <v>231348</v>
      </c>
      <c r="M310" t="s">
        <v>27</v>
      </c>
    </row>
    <row r="311" spans="1:13" x14ac:dyDescent="0.25">
      <c r="A311" t="s">
        <v>142</v>
      </c>
      <c r="B311" t="str">
        <f>TEXT(Tabla24[[#This Row],[Fecha]],"dddd")</f>
        <v>jueves</v>
      </c>
      <c r="C311" t="str">
        <f>TEXT(Tabla24[[#This Row],[Fecha]],"mmmm")</f>
        <v>julio</v>
      </c>
      <c r="D311" t="str">
        <f>TEXT(Tabla24[[#This Row],[Fecha]],"aaaa")</f>
        <v>2024</v>
      </c>
      <c r="E311" t="s">
        <v>11</v>
      </c>
      <c r="F311" t="s">
        <v>12</v>
      </c>
      <c r="G311" t="s">
        <v>39</v>
      </c>
      <c r="H311" t="s">
        <v>14</v>
      </c>
      <c r="I311" t="s">
        <v>15</v>
      </c>
      <c r="J311">
        <v>16</v>
      </c>
      <c r="K311">
        <v>46519</v>
      </c>
      <c r="L311">
        <f>Tabla24[[#This Row],[Precio_Unitario]]*Tabla24[[#This Row],[Unidades_Vendidas]]</f>
        <v>744304</v>
      </c>
      <c r="M311" t="s">
        <v>36</v>
      </c>
    </row>
    <row r="312" spans="1:13" x14ac:dyDescent="0.25">
      <c r="A312" t="s">
        <v>226</v>
      </c>
      <c r="B312" t="str">
        <f>TEXT(Tabla24[[#This Row],[Fecha]],"dddd")</f>
        <v>lunes</v>
      </c>
      <c r="C312" t="str">
        <f>TEXT(Tabla24[[#This Row],[Fecha]],"mmmm")</f>
        <v>mayo</v>
      </c>
      <c r="D312" t="str">
        <f>TEXT(Tabla24[[#This Row],[Fecha]],"aaaa")</f>
        <v>2024</v>
      </c>
      <c r="E312" t="s">
        <v>11</v>
      </c>
      <c r="F312" t="s">
        <v>29</v>
      </c>
      <c r="G312" t="s">
        <v>39</v>
      </c>
      <c r="H312" t="s">
        <v>30</v>
      </c>
      <c r="I312" t="s">
        <v>15</v>
      </c>
      <c r="J312">
        <v>1</v>
      </c>
      <c r="K312">
        <v>16573</v>
      </c>
      <c r="L312">
        <f>Tabla24[[#This Row],[Precio_Unitario]]*Tabla24[[#This Row],[Unidades_Vendidas]]</f>
        <v>16573</v>
      </c>
      <c r="M312" t="s">
        <v>36</v>
      </c>
    </row>
    <row r="313" spans="1:13" x14ac:dyDescent="0.25">
      <c r="A313" t="s">
        <v>255</v>
      </c>
      <c r="B313" t="str">
        <f>TEXT(Tabla24[[#This Row],[Fecha]],"dddd")</f>
        <v>domingo</v>
      </c>
      <c r="C313" t="str">
        <f>TEXT(Tabla24[[#This Row],[Fecha]],"mmmm")</f>
        <v>enero</v>
      </c>
      <c r="D313" t="str">
        <f>TEXT(Tabla24[[#This Row],[Fecha]],"aaaa")</f>
        <v>2024</v>
      </c>
      <c r="E313" t="s">
        <v>18</v>
      </c>
      <c r="F313" t="s">
        <v>38</v>
      </c>
      <c r="G313" t="s">
        <v>13</v>
      </c>
      <c r="H313" t="s">
        <v>19</v>
      </c>
      <c r="I313" t="s">
        <v>15</v>
      </c>
      <c r="J313">
        <v>13</v>
      </c>
      <c r="K313">
        <v>36251</v>
      </c>
      <c r="L313">
        <f>Tabla24[[#This Row],[Precio_Unitario]]*Tabla24[[#This Row],[Unidades_Vendidas]]</f>
        <v>471263</v>
      </c>
      <c r="M313" t="s">
        <v>20</v>
      </c>
    </row>
    <row r="314" spans="1:13" x14ac:dyDescent="0.25">
      <c r="A314" t="s">
        <v>202</v>
      </c>
      <c r="B314" t="str">
        <f>TEXT(Tabla24[[#This Row],[Fecha]],"dddd")</f>
        <v>viernes</v>
      </c>
      <c r="C314" t="str">
        <f>TEXT(Tabla24[[#This Row],[Fecha]],"mmmm")</f>
        <v>octubre</v>
      </c>
      <c r="D314" t="str">
        <f>TEXT(Tabla24[[#This Row],[Fecha]],"aaaa")</f>
        <v>2024</v>
      </c>
      <c r="E314" t="s">
        <v>33</v>
      </c>
      <c r="F314" t="s">
        <v>23</v>
      </c>
      <c r="G314" t="s">
        <v>24</v>
      </c>
      <c r="H314" t="s">
        <v>30</v>
      </c>
      <c r="I314" t="s">
        <v>26</v>
      </c>
      <c r="J314">
        <v>2</v>
      </c>
      <c r="K314">
        <v>55068</v>
      </c>
      <c r="L314">
        <f>Tabla24[[#This Row],[Precio_Unitario]]*Tabla24[[#This Row],[Unidades_Vendidas]]</f>
        <v>110136</v>
      </c>
      <c r="M314" t="s">
        <v>16</v>
      </c>
    </row>
    <row r="315" spans="1:13" x14ac:dyDescent="0.25">
      <c r="A315" t="s">
        <v>67</v>
      </c>
      <c r="B315" t="str">
        <f>TEXT(Tabla24[[#This Row],[Fecha]],"dddd")</f>
        <v>jueves</v>
      </c>
      <c r="C315" t="str">
        <f>TEXT(Tabla24[[#This Row],[Fecha]],"mmmm")</f>
        <v>agosto</v>
      </c>
      <c r="D315" t="str">
        <f>TEXT(Tabla24[[#This Row],[Fecha]],"aaaa")</f>
        <v>2024</v>
      </c>
      <c r="E315" t="s">
        <v>42</v>
      </c>
      <c r="F315" t="s">
        <v>38</v>
      </c>
      <c r="G315" t="s">
        <v>44</v>
      </c>
      <c r="H315" t="s">
        <v>35</v>
      </c>
      <c r="I315" t="s">
        <v>26</v>
      </c>
      <c r="J315">
        <v>13</v>
      </c>
      <c r="K315">
        <v>46187</v>
      </c>
      <c r="L315">
        <f>Tabla24[[#This Row],[Precio_Unitario]]*Tabla24[[#This Row],[Unidades_Vendidas]]</f>
        <v>600431</v>
      </c>
      <c r="M315" t="s">
        <v>27</v>
      </c>
    </row>
    <row r="316" spans="1:13" x14ac:dyDescent="0.25">
      <c r="A316" t="s">
        <v>205</v>
      </c>
      <c r="B316" t="str">
        <f>TEXT(Tabla24[[#This Row],[Fecha]],"dddd")</f>
        <v>sábado</v>
      </c>
      <c r="C316" t="str">
        <f>TEXT(Tabla24[[#This Row],[Fecha]],"mmmm")</f>
        <v>marzo</v>
      </c>
      <c r="D316" t="str">
        <f>TEXT(Tabla24[[#This Row],[Fecha]],"aaaa")</f>
        <v>2024</v>
      </c>
      <c r="E316" t="s">
        <v>22</v>
      </c>
      <c r="F316" t="s">
        <v>34</v>
      </c>
      <c r="G316" t="s">
        <v>39</v>
      </c>
      <c r="H316" t="s">
        <v>35</v>
      </c>
      <c r="I316" t="s">
        <v>40</v>
      </c>
      <c r="J316">
        <v>19</v>
      </c>
      <c r="K316">
        <v>25779</v>
      </c>
      <c r="L316">
        <f>Tabla24[[#This Row],[Precio_Unitario]]*Tabla24[[#This Row],[Unidades_Vendidas]]</f>
        <v>489801</v>
      </c>
      <c r="M316" t="s">
        <v>16</v>
      </c>
    </row>
    <row r="317" spans="1:13" x14ac:dyDescent="0.25">
      <c r="A317" t="s">
        <v>136</v>
      </c>
      <c r="B317" t="str">
        <f>TEXT(Tabla24[[#This Row],[Fecha]],"dddd")</f>
        <v>domingo</v>
      </c>
      <c r="C317" t="str">
        <f>TEXT(Tabla24[[#This Row],[Fecha]],"mmmm")</f>
        <v>noviembre</v>
      </c>
      <c r="D317" t="str">
        <f>TEXT(Tabla24[[#This Row],[Fecha]],"aaaa")</f>
        <v>2024</v>
      </c>
      <c r="E317" t="s">
        <v>33</v>
      </c>
      <c r="F317" t="s">
        <v>29</v>
      </c>
      <c r="G317" t="s">
        <v>44</v>
      </c>
      <c r="H317" t="s">
        <v>30</v>
      </c>
      <c r="I317" t="s">
        <v>15</v>
      </c>
      <c r="J317">
        <v>14</v>
      </c>
      <c r="K317">
        <v>37387</v>
      </c>
      <c r="L317">
        <f>Tabla24[[#This Row],[Precio_Unitario]]*Tabla24[[#This Row],[Unidades_Vendidas]]</f>
        <v>523418</v>
      </c>
      <c r="M317" t="s">
        <v>20</v>
      </c>
    </row>
    <row r="318" spans="1:13" x14ac:dyDescent="0.25">
      <c r="A318" t="s">
        <v>256</v>
      </c>
      <c r="B318" t="str">
        <f>TEXT(Tabla24[[#This Row],[Fecha]],"dddd")</f>
        <v>martes</v>
      </c>
      <c r="C318" t="str">
        <f>TEXT(Tabla24[[#This Row],[Fecha]],"mmmm")</f>
        <v>noviembre</v>
      </c>
      <c r="D318" t="str">
        <f>TEXT(Tabla24[[#This Row],[Fecha]],"aaaa")</f>
        <v>2024</v>
      </c>
      <c r="E318" t="s">
        <v>22</v>
      </c>
      <c r="F318" t="s">
        <v>34</v>
      </c>
      <c r="G318" t="s">
        <v>44</v>
      </c>
      <c r="H318" t="s">
        <v>14</v>
      </c>
      <c r="I318" t="s">
        <v>15</v>
      </c>
      <c r="J318">
        <v>4</v>
      </c>
      <c r="K318">
        <v>41493</v>
      </c>
      <c r="L318">
        <f>Tabla24[[#This Row],[Precio_Unitario]]*Tabla24[[#This Row],[Unidades_Vendidas]]</f>
        <v>165972</v>
      </c>
      <c r="M318" t="s">
        <v>20</v>
      </c>
    </row>
    <row r="319" spans="1:13" x14ac:dyDescent="0.25">
      <c r="A319" t="s">
        <v>110</v>
      </c>
      <c r="B319" t="str">
        <f>TEXT(Tabla24[[#This Row],[Fecha]],"dddd")</f>
        <v>martes</v>
      </c>
      <c r="C319" t="str">
        <f>TEXT(Tabla24[[#This Row],[Fecha]],"mmmm")</f>
        <v>enero</v>
      </c>
      <c r="D319" t="str">
        <f>TEXT(Tabla24[[#This Row],[Fecha]],"aaaa")</f>
        <v>2024</v>
      </c>
      <c r="E319" t="s">
        <v>42</v>
      </c>
      <c r="F319" t="s">
        <v>12</v>
      </c>
      <c r="G319" t="s">
        <v>39</v>
      </c>
      <c r="H319" t="s">
        <v>25</v>
      </c>
      <c r="I319" t="s">
        <v>15</v>
      </c>
      <c r="J319">
        <v>14</v>
      </c>
      <c r="K319">
        <v>49376</v>
      </c>
      <c r="L319">
        <f>Tabla24[[#This Row],[Precio_Unitario]]*Tabla24[[#This Row],[Unidades_Vendidas]]</f>
        <v>691264</v>
      </c>
      <c r="M319" t="s">
        <v>16</v>
      </c>
    </row>
    <row r="320" spans="1:13" x14ac:dyDescent="0.25">
      <c r="A320" t="s">
        <v>199</v>
      </c>
      <c r="B320" t="str">
        <f>TEXT(Tabla24[[#This Row],[Fecha]],"dddd")</f>
        <v>jueves</v>
      </c>
      <c r="C320" t="str">
        <f>TEXT(Tabla24[[#This Row],[Fecha]],"mmmm")</f>
        <v>junio</v>
      </c>
      <c r="D320" t="str">
        <f>TEXT(Tabla24[[#This Row],[Fecha]],"aaaa")</f>
        <v>2024</v>
      </c>
      <c r="E320" t="s">
        <v>42</v>
      </c>
      <c r="F320" t="s">
        <v>34</v>
      </c>
      <c r="G320" t="s">
        <v>44</v>
      </c>
      <c r="H320" t="s">
        <v>14</v>
      </c>
      <c r="I320" t="s">
        <v>40</v>
      </c>
      <c r="J320">
        <v>7</v>
      </c>
      <c r="K320">
        <v>25231</v>
      </c>
      <c r="L320">
        <f>Tabla24[[#This Row],[Precio_Unitario]]*Tabla24[[#This Row],[Unidades_Vendidas]]</f>
        <v>176617</v>
      </c>
      <c r="M320" t="s">
        <v>20</v>
      </c>
    </row>
    <row r="321" spans="1:13" x14ac:dyDescent="0.25">
      <c r="A321" t="s">
        <v>86</v>
      </c>
      <c r="B321" t="str">
        <f>TEXT(Tabla24[[#This Row],[Fecha]],"dddd")</f>
        <v>miércoles</v>
      </c>
      <c r="C321" t="str">
        <f>TEXT(Tabla24[[#This Row],[Fecha]],"mmmm")</f>
        <v>julio</v>
      </c>
      <c r="D321" t="str">
        <f>TEXT(Tabla24[[#This Row],[Fecha]],"aaaa")</f>
        <v>2024</v>
      </c>
      <c r="E321" t="s">
        <v>33</v>
      </c>
      <c r="F321" t="s">
        <v>34</v>
      </c>
      <c r="G321" t="s">
        <v>13</v>
      </c>
      <c r="H321" t="s">
        <v>35</v>
      </c>
      <c r="I321" t="s">
        <v>26</v>
      </c>
      <c r="J321">
        <v>16</v>
      </c>
      <c r="K321">
        <v>28484</v>
      </c>
      <c r="L321">
        <f>Tabla24[[#This Row],[Precio_Unitario]]*Tabla24[[#This Row],[Unidades_Vendidas]]</f>
        <v>455744</v>
      </c>
      <c r="M321" t="s">
        <v>36</v>
      </c>
    </row>
    <row r="322" spans="1:13" x14ac:dyDescent="0.25">
      <c r="A322" t="s">
        <v>113</v>
      </c>
      <c r="B322" t="str">
        <f>TEXT(Tabla24[[#This Row],[Fecha]],"dddd")</f>
        <v>viernes</v>
      </c>
      <c r="C322" t="str">
        <f>TEXT(Tabla24[[#This Row],[Fecha]],"mmmm")</f>
        <v>marzo</v>
      </c>
      <c r="D322" t="str">
        <f>TEXT(Tabla24[[#This Row],[Fecha]],"aaaa")</f>
        <v>2024</v>
      </c>
      <c r="E322" t="s">
        <v>11</v>
      </c>
      <c r="F322" t="s">
        <v>34</v>
      </c>
      <c r="G322" t="s">
        <v>48</v>
      </c>
      <c r="H322" t="s">
        <v>25</v>
      </c>
      <c r="I322" t="s">
        <v>15</v>
      </c>
      <c r="J322">
        <v>2</v>
      </c>
      <c r="K322">
        <v>32319</v>
      </c>
      <c r="L322">
        <f>Tabla24[[#This Row],[Precio_Unitario]]*Tabla24[[#This Row],[Unidades_Vendidas]]</f>
        <v>64638</v>
      </c>
      <c r="M322" t="s">
        <v>20</v>
      </c>
    </row>
    <row r="323" spans="1:13" x14ac:dyDescent="0.25">
      <c r="A323" t="s">
        <v>223</v>
      </c>
      <c r="B323" t="str">
        <f>TEXT(Tabla24[[#This Row],[Fecha]],"dddd")</f>
        <v>viernes</v>
      </c>
      <c r="C323" t="str">
        <f>TEXT(Tabla24[[#This Row],[Fecha]],"mmmm")</f>
        <v>septiembre</v>
      </c>
      <c r="D323" t="str">
        <f>TEXT(Tabla24[[#This Row],[Fecha]],"aaaa")</f>
        <v>2024</v>
      </c>
      <c r="E323" t="s">
        <v>42</v>
      </c>
      <c r="F323" t="s">
        <v>12</v>
      </c>
      <c r="G323" t="s">
        <v>39</v>
      </c>
      <c r="H323" t="s">
        <v>14</v>
      </c>
      <c r="I323" t="s">
        <v>26</v>
      </c>
      <c r="J323">
        <v>9</v>
      </c>
      <c r="K323">
        <v>38262</v>
      </c>
      <c r="L323">
        <f>Tabla24[[#This Row],[Precio_Unitario]]*Tabla24[[#This Row],[Unidades_Vendidas]]</f>
        <v>344358</v>
      </c>
      <c r="M323" t="s">
        <v>36</v>
      </c>
    </row>
    <row r="324" spans="1:13" x14ac:dyDescent="0.25">
      <c r="A324" t="s">
        <v>116</v>
      </c>
      <c r="B324" t="str">
        <f>TEXT(Tabla24[[#This Row],[Fecha]],"dddd")</f>
        <v>martes</v>
      </c>
      <c r="C324" t="str">
        <f>TEXT(Tabla24[[#This Row],[Fecha]],"mmmm")</f>
        <v>mayo</v>
      </c>
      <c r="D324" t="str">
        <f>TEXT(Tabla24[[#This Row],[Fecha]],"aaaa")</f>
        <v>2024</v>
      </c>
      <c r="E324" t="s">
        <v>11</v>
      </c>
      <c r="F324" t="s">
        <v>34</v>
      </c>
      <c r="G324" t="s">
        <v>48</v>
      </c>
      <c r="H324" t="s">
        <v>19</v>
      </c>
      <c r="I324" t="s">
        <v>26</v>
      </c>
      <c r="J324">
        <v>5</v>
      </c>
      <c r="K324">
        <v>17181</v>
      </c>
      <c r="L324">
        <f>Tabla24[[#This Row],[Precio_Unitario]]*Tabla24[[#This Row],[Unidades_Vendidas]]</f>
        <v>85905</v>
      </c>
      <c r="M324" t="s">
        <v>20</v>
      </c>
    </row>
    <row r="325" spans="1:13" x14ac:dyDescent="0.25">
      <c r="A325" t="s">
        <v>257</v>
      </c>
      <c r="B325" t="str">
        <f>TEXT(Tabla24[[#This Row],[Fecha]],"dddd")</f>
        <v>viernes</v>
      </c>
      <c r="C325" t="str">
        <f>TEXT(Tabla24[[#This Row],[Fecha]],"mmmm")</f>
        <v>marzo</v>
      </c>
      <c r="D325" t="str">
        <f>TEXT(Tabla24[[#This Row],[Fecha]],"aaaa")</f>
        <v>2024</v>
      </c>
      <c r="E325" t="s">
        <v>22</v>
      </c>
      <c r="F325" t="s">
        <v>29</v>
      </c>
      <c r="G325" t="s">
        <v>44</v>
      </c>
      <c r="H325" t="s">
        <v>25</v>
      </c>
      <c r="I325" t="s">
        <v>15</v>
      </c>
      <c r="J325">
        <v>10</v>
      </c>
      <c r="K325">
        <v>20371</v>
      </c>
      <c r="L325">
        <f>Tabla24[[#This Row],[Precio_Unitario]]*Tabla24[[#This Row],[Unidades_Vendidas]]</f>
        <v>203710</v>
      </c>
      <c r="M325" t="s">
        <v>16</v>
      </c>
    </row>
    <row r="326" spans="1:13" x14ac:dyDescent="0.25">
      <c r="A326" t="s">
        <v>258</v>
      </c>
      <c r="B326" t="str">
        <f>TEXT(Tabla24[[#This Row],[Fecha]],"dddd")</f>
        <v>martes</v>
      </c>
      <c r="C326" t="str">
        <f>TEXT(Tabla24[[#This Row],[Fecha]],"mmmm")</f>
        <v>marzo</v>
      </c>
      <c r="D326" t="str">
        <f>TEXT(Tabla24[[#This Row],[Fecha]],"aaaa")</f>
        <v>2024</v>
      </c>
      <c r="E326" t="s">
        <v>18</v>
      </c>
      <c r="F326" t="s">
        <v>29</v>
      </c>
      <c r="G326" t="s">
        <v>48</v>
      </c>
      <c r="H326" t="s">
        <v>14</v>
      </c>
      <c r="I326" t="s">
        <v>40</v>
      </c>
      <c r="J326">
        <v>11</v>
      </c>
      <c r="K326">
        <v>49835</v>
      </c>
      <c r="L326">
        <f>Tabla24[[#This Row],[Precio_Unitario]]*Tabla24[[#This Row],[Unidades_Vendidas]]</f>
        <v>548185</v>
      </c>
      <c r="M326" t="s">
        <v>36</v>
      </c>
    </row>
    <row r="327" spans="1:13" x14ac:dyDescent="0.25">
      <c r="A327" t="s">
        <v>148</v>
      </c>
      <c r="B327" t="str">
        <f>TEXT(Tabla24[[#This Row],[Fecha]],"dddd")</f>
        <v>lunes</v>
      </c>
      <c r="C327" t="str">
        <f>TEXT(Tabla24[[#This Row],[Fecha]],"mmmm")</f>
        <v>julio</v>
      </c>
      <c r="D327" t="str">
        <f>TEXT(Tabla24[[#This Row],[Fecha]],"aaaa")</f>
        <v>2024</v>
      </c>
      <c r="E327" t="s">
        <v>42</v>
      </c>
      <c r="F327" t="s">
        <v>23</v>
      </c>
      <c r="G327" t="s">
        <v>48</v>
      </c>
      <c r="H327" t="s">
        <v>19</v>
      </c>
      <c r="I327" t="s">
        <v>40</v>
      </c>
      <c r="J327">
        <v>17</v>
      </c>
      <c r="K327">
        <v>32653</v>
      </c>
      <c r="L327">
        <f>Tabla24[[#This Row],[Precio_Unitario]]*Tabla24[[#This Row],[Unidades_Vendidas]]</f>
        <v>555101</v>
      </c>
      <c r="M327" t="s">
        <v>36</v>
      </c>
    </row>
    <row r="328" spans="1:13" x14ac:dyDescent="0.25">
      <c r="A328" t="s">
        <v>216</v>
      </c>
      <c r="B328" t="str">
        <f>TEXT(Tabla24[[#This Row],[Fecha]],"dddd")</f>
        <v>martes</v>
      </c>
      <c r="C328" t="str">
        <f>TEXT(Tabla24[[#This Row],[Fecha]],"mmmm")</f>
        <v>mayo</v>
      </c>
      <c r="D328" t="str">
        <f>TEXT(Tabla24[[#This Row],[Fecha]],"aaaa")</f>
        <v>2024</v>
      </c>
      <c r="E328" t="s">
        <v>22</v>
      </c>
      <c r="F328" t="s">
        <v>23</v>
      </c>
      <c r="G328" t="s">
        <v>13</v>
      </c>
      <c r="H328" t="s">
        <v>25</v>
      </c>
      <c r="I328" t="s">
        <v>40</v>
      </c>
      <c r="J328">
        <v>19</v>
      </c>
      <c r="K328">
        <v>55668</v>
      </c>
      <c r="L328">
        <f>Tabla24[[#This Row],[Precio_Unitario]]*Tabla24[[#This Row],[Unidades_Vendidas]]</f>
        <v>1057692</v>
      </c>
      <c r="M328" t="s">
        <v>20</v>
      </c>
    </row>
    <row r="329" spans="1:13" x14ac:dyDescent="0.25">
      <c r="A329" t="s">
        <v>259</v>
      </c>
      <c r="B329" t="str">
        <f>TEXT(Tabla24[[#This Row],[Fecha]],"dddd")</f>
        <v>lunes</v>
      </c>
      <c r="C329" t="str">
        <f>TEXT(Tabla24[[#This Row],[Fecha]],"mmmm")</f>
        <v>noviembre</v>
      </c>
      <c r="D329" t="str">
        <f>TEXT(Tabla24[[#This Row],[Fecha]],"aaaa")</f>
        <v>2024</v>
      </c>
      <c r="E329" t="s">
        <v>33</v>
      </c>
      <c r="F329" t="s">
        <v>38</v>
      </c>
      <c r="G329" t="s">
        <v>48</v>
      </c>
      <c r="H329" t="s">
        <v>30</v>
      </c>
      <c r="I329" t="s">
        <v>15</v>
      </c>
      <c r="J329">
        <v>10</v>
      </c>
      <c r="K329">
        <v>15543</v>
      </c>
      <c r="L329">
        <f>Tabla24[[#This Row],[Precio_Unitario]]*Tabla24[[#This Row],[Unidades_Vendidas]]</f>
        <v>155430</v>
      </c>
      <c r="M329" t="s">
        <v>36</v>
      </c>
    </row>
    <row r="330" spans="1:13" x14ac:dyDescent="0.25">
      <c r="A330" t="s">
        <v>260</v>
      </c>
      <c r="B330" t="str">
        <f>TEXT(Tabla24[[#This Row],[Fecha]],"dddd")</f>
        <v>viernes</v>
      </c>
      <c r="C330" t="str">
        <f>TEXT(Tabla24[[#This Row],[Fecha]],"mmmm")</f>
        <v>noviembre</v>
      </c>
      <c r="D330" t="str">
        <f>TEXT(Tabla24[[#This Row],[Fecha]],"aaaa")</f>
        <v>2024</v>
      </c>
      <c r="E330" t="s">
        <v>18</v>
      </c>
      <c r="F330" t="s">
        <v>34</v>
      </c>
      <c r="G330" t="s">
        <v>24</v>
      </c>
      <c r="H330" t="s">
        <v>30</v>
      </c>
      <c r="I330" t="s">
        <v>26</v>
      </c>
      <c r="J330">
        <v>18</v>
      </c>
      <c r="K330">
        <v>38970</v>
      </c>
      <c r="L330">
        <f>Tabla24[[#This Row],[Precio_Unitario]]*Tabla24[[#This Row],[Unidades_Vendidas]]</f>
        <v>701460</v>
      </c>
      <c r="M330" t="s">
        <v>20</v>
      </c>
    </row>
    <row r="331" spans="1:13" x14ac:dyDescent="0.25">
      <c r="A331" t="s">
        <v>261</v>
      </c>
      <c r="B331" t="str">
        <f>TEXT(Tabla24[[#This Row],[Fecha]],"dddd")</f>
        <v>domingo</v>
      </c>
      <c r="C331" t="str">
        <f>TEXT(Tabla24[[#This Row],[Fecha]],"mmmm")</f>
        <v>diciembre</v>
      </c>
      <c r="D331" t="str">
        <f>TEXT(Tabla24[[#This Row],[Fecha]],"aaaa")</f>
        <v>2024</v>
      </c>
      <c r="E331" t="s">
        <v>33</v>
      </c>
      <c r="F331" t="s">
        <v>34</v>
      </c>
      <c r="G331" t="s">
        <v>48</v>
      </c>
      <c r="H331" t="s">
        <v>14</v>
      </c>
      <c r="I331" t="s">
        <v>26</v>
      </c>
      <c r="J331">
        <v>17</v>
      </c>
      <c r="K331">
        <v>51831</v>
      </c>
      <c r="L331">
        <f>Tabla24[[#This Row],[Precio_Unitario]]*Tabla24[[#This Row],[Unidades_Vendidas]]</f>
        <v>881127</v>
      </c>
      <c r="M331" t="s">
        <v>20</v>
      </c>
    </row>
    <row r="332" spans="1:13" x14ac:dyDescent="0.25">
      <c r="A332" t="s">
        <v>262</v>
      </c>
      <c r="B332" t="str">
        <f>TEXT(Tabla24[[#This Row],[Fecha]],"dddd")</f>
        <v>viernes</v>
      </c>
      <c r="C332" t="str">
        <f>TEXT(Tabla24[[#This Row],[Fecha]],"mmmm")</f>
        <v>enero</v>
      </c>
      <c r="D332" t="str">
        <f>TEXT(Tabla24[[#This Row],[Fecha]],"aaaa")</f>
        <v>2024</v>
      </c>
      <c r="E332" t="s">
        <v>42</v>
      </c>
      <c r="F332" t="s">
        <v>12</v>
      </c>
      <c r="G332" t="s">
        <v>24</v>
      </c>
      <c r="H332" t="s">
        <v>14</v>
      </c>
      <c r="I332" t="s">
        <v>26</v>
      </c>
      <c r="J332">
        <v>20</v>
      </c>
      <c r="K332">
        <v>31783</v>
      </c>
      <c r="L332">
        <f>Tabla24[[#This Row],[Precio_Unitario]]*Tabla24[[#This Row],[Unidades_Vendidas]]</f>
        <v>635660</v>
      </c>
      <c r="M332" t="s">
        <v>36</v>
      </c>
    </row>
    <row r="333" spans="1:13" x14ac:dyDescent="0.25">
      <c r="A333" t="s">
        <v>263</v>
      </c>
      <c r="B333" t="str">
        <f>TEXT(Tabla24[[#This Row],[Fecha]],"dddd")</f>
        <v>miércoles</v>
      </c>
      <c r="C333" t="str">
        <f>TEXT(Tabla24[[#This Row],[Fecha]],"mmmm")</f>
        <v>noviembre</v>
      </c>
      <c r="D333" t="str">
        <f>TEXT(Tabla24[[#This Row],[Fecha]],"aaaa")</f>
        <v>2024</v>
      </c>
      <c r="E333" t="s">
        <v>42</v>
      </c>
      <c r="F333" t="s">
        <v>38</v>
      </c>
      <c r="G333" t="s">
        <v>39</v>
      </c>
      <c r="H333" t="s">
        <v>25</v>
      </c>
      <c r="I333" t="s">
        <v>26</v>
      </c>
      <c r="J333">
        <v>1</v>
      </c>
      <c r="K333">
        <v>53480</v>
      </c>
      <c r="L333">
        <f>Tabla24[[#This Row],[Precio_Unitario]]*Tabla24[[#This Row],[Unidades_Vendidas]]</f>
        <v>53480</v>
      </c>
      <c r="M333" t="s">
        <v>27</v>
      </c>
    </row>
    <row r="334" spans="1:13" x14ac:dyDescent="0.25">
      <c r="A334" t="s">
        <v>129</v>
      </c>
      <c r="B334" t="str">
        <f>TEXT(Tabla24[[#This Row],[Fecha]],"dddd")</f>
        <v>viernes</v>
      </c>
      <c r="C334" t="str">
        <f>TEXT(Tabla24[[#This Row],[Fecha]],"mmmm")</f>
        <v>mayo</v>
      </c>
      <c r="D334" t="str">
        <f>TEXT(Tabla24[[#This Row],[Fecha]],"aaaa")</f>
        <v>2024</v>
      </c>
      <c r="E334" t="s">
        <v>18</v>
      </c>
      <c r="F334" t="s">
        <v>38</v>
      </c>
      <c r="G334" t="s">
        <v>44</v>
      </c>
      <c r="H334" t="s">
        <v>30</v>
      </c>
      <c r="I334" t="s">
        <v>40</v>
      </c>
      <c r="J334">
        <v>2</v>
      </c>
      <c r="K334">
        <v>33850</v>
      </c>
      <c r="L334">
        <f>Tabla24[[#This Row],[Precio_Unitario]]*Tabla24[[#This Row],[Unidades_Vendidas]]</f>
        <v>67700</v>
      </c>
      <c r="M334" t="s">
        <v>36</v>
      </c>
    </row>
    <row r="335" spans="1:13" x14ac:dyDescent="0.25">
      <c r="A335" t="s">
        <v>69</v>
      </c>
      <c r="B335" t="str">
        <f>TEXT(Tabla24[[#This Row],[Fecha]],"dddd")</f>
        <v>lunes</v>
      </c>
      <c r="C335" t="str">
        <f>TEXT(Tabla24[[#This Row],[Fecha]],"mmmm")</f>
        <v>abril</v>
      </c>
      <c r="D335" t="str">
        <f>TEXT(Tabla24[[#This Row],[Fecha]],"aaaa")</f>
        <v>2024</v>
      </c>
      <c r="E335" t="s">
        <v>18</v>
      </c>
      <c r="F335" t="s">
        <v>29</v>
      </c>
      <c r="G335" t="s">
        <v>13</v>
      </c>
      <c r="H335" t="s">
        <v>30</v>
      </c>
      <c r="I335" t="s">
        <v>26</v>
      </c>
      <c r="J335">
        <v>13</v>
      </c>
      <c r="K335">
        <v>22202</v>
      </c>
      <c r="L335">
        <f>Tabla24[[#This Row],[Precio_Unitario]]*Tabla24[[#This Row],[Unidades_Vendidas]]</f>
        <v>288626</v>
      </c>
      <c r="M335" t="s">
        <v>16</v>
      </c>
    </row>
    <row r="336" spans="1:13" x14ac:dyDescent="0.25">
      <c r="A336" t="s">
        <v>264</v>
      </c>
      <c r="B336" t="str">
        <f>TEXT(Tabla24[[#This Row],[Fecha]],"dddd")</f>
        <v>lunes</v>
      </c>
      <c r="C336" t="str">
        <f>TEXT(Tabla24[[#This Row],[Fecha]],"mmmm")</f>
        <v>diciembre</v>
      </c>
      <c r="D336" t="str">
        <f>TEXT(Tabla24[[#This Row],[Fecha]],"aaaa")</f>
        <v>2024</v>
      </c>
      <c r="E336" t="s">
        <v>42</v>
      </c>
      <c r="F336" t="s">
        <v>23</v>
      </c>
      <c r="G336" t="s">
        <v>48</v>
      </c>
      <c r="H336" t="s">
        <v>25</v>
      </c>
      <c r="I336" t="s">
        <v>26</v>
      </c>
      <c r="J336">
        <v>18</v>
      </c>
      <c r="K336">
        <v>27649</v>
      </c>
      <c r="L336">
        <f>Tabla24[[#This Row],[Precio_Unitario]]*Tabla24[[#This Row],[Unidades_Vendidas]]</f>
        <v>497682</v>
      </c>
      <c r="M336" t="s">
        <v>36</v>
      </c>
    </row>
    <row r="337" spans="1:13" x14ac:dyDescent="0.25">
      <c r="A337" t="s">
        <v>111</v>
      </c>
      <c r="B337" t="str">
        <f>TEXT(Tabla24[[#This Row],[Fecha]],"dddd")</f>
        <v>jueves</v>
      </c>
      <c r="C337" t="str">
        <f>TEXT(Tabla24[[#This Row],[Fecha]],"mmmm")</f>
        <v>abril</v>
      </c>
      <c r="D337" t="str">
        <f>TEXT(Tabla24[[#This Row],[Fecha]],"aaaa")</f>
        <v>2024</v>
      </c>
      <c r="E337" t="s">
        <v>42</v>
      </c>
      <c r="F337" t="s">
        <v>29</v>
      </c>
      <c r="G337" t="s">
        <v>13</v>
      </c>
      <c r="H337" t="s">
        <v>14</v>
      </c>
      <c r="I337" t="s">
        <v>15</v>
      </c>
      <c r="J337">
        <v>6</v>
      </c>
      <c r="K337">
        <v>44995</v>
      </c>
      <c r="L337">
        <f>Tabla24[[#This Row],[Precio_Unitario]]*Tabla24[[#This Row],[Unidades_Vendidas]]</f>
        <v>269970</v>
      </c>
      <c r="M337" t="s">
        <v>36</v>
      </c>
    </row>
    <row r="338" spans="1:13" x14ac:dyDescent="0.25">
      <c r="A338" t="s">
        <v>82</v>
      </c>
      <c r="B338" t="str">
        <f>TEXT(Tabla24[[#This Row],[Fecha]],"dddd")</f>
        <v>viernes</v>
      </c>
      <c r="C338" t="str">
        <f>TEXT(Tabla24[[#This Row],[Fecha]],"mmmm")</f>
        <v>junio</v>
      </c>
      <c r="D338" t="str">
        <f>TEXT(Tabla24[[#This Row],[Fecha]],"aaaa")</f>
        <v>2024</v>
      </c>
      <c r="E338" t="s">
        <v>33</v>
      </c>
      <c r="F338" t="s">
        <v>38</v>
      </c>
      <c r="G338" t="s">
        <v>44</v>
      </c>
      <c r="H338" t="s">
        <v>30</v>
      </c>
      <c r="I338" t="s">
        <v>26</v>
      </c>
      <c r="J338">
        <v>6</v>
      </c>
      <c r="K338">
        <v>18377</v>
      </c>
      <c r="L338">
        <f>Tabla24[[#This Row],[Precio_Unitario]]*Tabla24[[#This Row],[Unidades_Vendidas]]</f>
        <v>110262</v>
      </c>
      <c r="M338" t="s">
        <v>27</v>
      </c>
    </row>
    <row r="339" spans="1:13" x14ac:dyDescent="0.25">
      <c r="A339" t="s">
        <v>165</v>
      </c>
      <c r="B339" t="str">
        <f>TEXT(Tabla24[[#This Row],[Fecha]],"dddd")</f>
        <v>sábado</v>
      </c>
      <c r="C339" t="str">
        <f>TEXT(Tabla24[[#This Row],[Fecha]],"mmmm")</f>
        <v>noviembre</v>
      </c>
      <c r="D339" t="str">
        <f>TEXT(Tabla24[[#This Row],[Fecha]],"aaaa")</f>
        <v>2024</v>
      </c>
      <c r="E339" t="s">
        <v>33</v>
      </c>
      <c r="F339" t="s">
        <v>34</v>
      </c>
      <c r="G339" t="s">
        <v>48</v>
      </c>
      <c r="H339" t="s">
        <v>14</v>
      </c>
      <c r="I339" t="s">
        <v>15</v>
      </c>
      <c r="J339">
        <v>15</v>
      </c>
      <c r="K339">
        <v>42440</v>
      </c>
      <c r="L339">
        <f>Tabla24[[#This Row],[Precio_Unitario]]*Tabla24[[#This Row],[Unidades_Vendidas]]</f>
        <v>636600</v>
      </c>
      <c r="M339" t="s">
        <v>20</v>
      </c>
    </row>
    <row r="340" spans="1:13" x14ac:dyDescent="0.25">
      <c r="A340" t="s">
        <v>83</v>
      </c>
      <c r="B340" t="str">
        <f>TEXT(Tabla24[[#This Row],[Fecha]],"dddd")</f>
        <v>lunes</v>
      </c>
      <c r="C340" t="str">
        <f>TEXT(Tabla24[[#This Row],[Fecha]],"mmmm")</f>
        <v>noviembre</v>
      </c>
      <c r="D340" t="str">
        <f>TEXT(Tabla24[[#This Row],[Fecha]],"aaaa")</f>
        <v>2024</v>
      </c>
      <c r="E340" t="s">
        <v>18</v>
      </c>
      <c r="F340" t="s">
        <v>12</v>
      </c>
      <c r="G340" t="s">
        <v>39</v>
      </c>
      <c r="H340" t="s">
        <v>25</v>
      </c>
      <c r="I340" t="s">
        <v>40</v>
      </c>
      <c r="J340">
        <v>17</v>
      </c>
      <c r="K340">
        <v>31099</v>
      </c>
      <c r="L340">
        <f>Tabla24[[#This Row],[Precio_Unitario]]*Tabla24[[#This Row],[Unidades_Vendidas]]</f>
        <v>528683</v>
      </c>
      <c r="M340" t="s">
        <v>16</v>
      </c>
    </row>
    <row r="341" spans="1:13" x14ac:dyDescent="0.25">
      <c r="A341" t="s">
        <v>179</v>
      </c>
      <c r="B341" t="str">
        <f>TEXT(Tabla24[[#This Row],[Fecha]],"dddd")</f>
        <v>jueves</v>
      </c>
      <c r="C341" t="str">
        <f>TEXT(Tabla24[[#This Row],[Fecha]],"mmmm")</f>
        <v>febrero</v>
      </c>
      <c r="D341" t="str">
        <f>TEXT(Tabla24[[#This Row],[Fecha]],"aaaa")</f>
        <v>2024</v>
      </c>
      <c r="E341" t="s">
        <v>33</v>
      </c>
      <c r="F341" t="s">
        <v>34</v>
      </c>
      <c r="G341" t="s">
        <v>24</v>
      </c>
      <c r="H341" t="s">
        <v>14</v>
      </c>
      <c r="I341" t="s">
        <v>26</v>
      </c>
      <c r="J341">
        <v>15</v>
      </c>
      <c r="K341">
        <v>51858</v>
      </c>
      <c r="L341">
        <f>Tabla24[[#This Row],[Precio_Unitario]]*Tabla24[[#This Row],[Unidades_Vendidas]]</f>
        <v>777870</v>
      </c>
      <c r="M341" t="s">
        <v>16</v>
      </c>
    </row>
    <row r="342" spans="1:13" x14ac:dyDescent="0.25">
      <c r="A342" t="s">
        <v>162</v>
      </c>
      <c r="B342" t="str">
        <f>TEXT(Tabla24[[#This Row],[Fecha]],"dddd")</f>
        <v>viernes</v>
      </c>
      <c r="C342" t="str">
        <f>TEXT(Tabla24[[#This Row],[Fecha]],"mmmm")</f>
        <v>mayo</v>
      </c>
      <c r="D342" t="str">
        <f>TEXT(Tabla24[[#This Row],[Fecha]],"aaaa")</f>
        <v>2024</v>
      </c>
      <c r="E342" t="s">
        <v>11</v>
      </c>
      <c r="F342" t="s">
        <v>29</v>
      </c>
      <c r="G342" t="s">
        <v>39</v>
      </c>
      <c r="H342" t="s">
        <v>14</v>
      </c>
      <c r="I342" t="s">
        <v>15</v>
      </c>
      <c r="J342">
        <v>15</v>
      </c>
      <c r="K342">
        <v>56005</v>
      </c>
      <c r="L342">
        <f>Tabla24[[#This Row],[Precio_Unitario]]*Tabla24[[#This Row],[Unidades_Vendidas]]</f>
        <v>840075</v>
      </c>
      <c r="M342" t="s">
        <v>16</v>
      </c>
    </row>
    <row r="343" spans="1:13" x14ac:dyDescent="0.25">
      <c r="A343" t="s">
        <v>265</v>
      </c>
      <c r="B343" t="str">
        <f>TEXT(Tabla24[[#This Row],[Fecha]],"dddd")</f>
        <v>martes</v>
      </c>
      <c r="C343" t="str">
        <f>TEXT(Tabla24[[#This Row],[Fecha]],"mmmm")</f>
        <v>agosto</v>
      </c>
      <c r="D343" t="str">
        <f>TEXT(Tabla24[[#This Row],[Fecha]],"aaaa")</f>
        <v>2024</v>
      </c>
      <c r="E343" t="s">
        <v>18</v>
      </c>
      <c r="F343" t="s">
        <v>29</v>
      </c>
      <c r="G343" t="s">
        <v>48</v>
      </c>
      <c r="H343" t="s">
        <v>35</v>
      </c>
      <c r="I343" t="s">
        <v>40</v>
      </c>
      <c r="J343">
        <v>7</v>
      </c>
      <c r="K343">
        <v>42409</v>
      </c>
      <c r="L343">
        <f>Tabla24[[#This Row],[Precio_Unitario]]*Tabla24[[#This Row],[Unidades_Vendidas]]</f>
        <v>296863</v>
      </c>
      <c r="M343" t="s">
        <v>36</v>
      </c>
    </row>
    <row r="344" spans="1:13" x14ac:dyDescent="0.25">
      <c r="A344" t="s">
        <v>56</v>
      </c>
      <c r="B344" t="str">
        <f>TEXT(Tabla24[[#This Row],[Fecha]],"dddd")</f>
        <v>sábado</v>
      </c>
      <c r="C344" t="str">
        <f>TEXT(Tabla24[[#This Row],[Fecha]],"mmmm")</f>
        <v>septiembre</v>
      </c>
      <c r="D344" t="str">
        <f>TEXT(Tabla24[[#This Row],[Fecha]],"aaaa")</f>
        <v>2024</v>
      </c>
      <c r="E344" t="s">
        <v>42</v>
      </c>
      <c r="F344" t="s">
        <v>38</v>
      </c>
      <c r="G344" t="s">
        <v>48</v>
      </c>
      <c r="H344" t="s">
        <v>14</v>
      </c>
      <c r="I344" t="s">
        <v>40</v>
      </c>
      <c r="J344">
        <v>2</v>
      </c>
      <c r="K344">
        <v>33363</v>
      </c>
      <c r="L344">
        <f>Tabla24[[#This Row],[Precio_Unitario]]*Tabla24[[#This Row],[Unidades_Vendidas]]</f>
        <v>66726</v>
      </c>
      <c r="M344" t="s">
        <v>16</v>
      </c>
    </row>
    <row r="345" spans="1:13" x14ac:dyDescent="0.25">
      <c r="A345" t="s">
        <v>266</v>
      </c>
      <c r="B345" t="str">
        <f>TEXT(Tabla24[[#This Row],[Fecha]],"dddd")</f>
        <v>miércoles</v>
      </c>
      <c r="C345" t="str">
        <f>TEXT(Tabla24[[#This Row],[Fecha]],"mmmm")</f>
        <v>octubre</v>
      </c>
      <c r="D345" t="str">
        <f>TEXT(Tabla24[[#This Row],[Fecha]],"aaaa")</f>
        <v>2024</v>
      </c>
      <c r="E345" t="s">
        <v>42</v>
      </c>
      <c r="F345" t="s">
        <v>29</v>
      </c>
      <c r="G345" t="s">
        <v>39</v>
      </c>
      <c r="H345" t="s">
        <v>19</v>
      </c>
      <c r="I345" t="s">
        <v>26</v>
      </c>
      <c r="J345">
        <v>15</v>
      </c>
      <c r="K345">
        <v>57161</v>
      </c>
      <c r="L345">
        <f>Tabla24[[#This Row],[Precio_Unitario]]*Tabla24[[#This Row],[Unidades_Vendidas]]</f>
        <v>857415</v>
      </c>
      <c r="M345" t="s">
        <v>16</v>
      </c>
    </row>
    <row r="346" spans="1:13" x14ac:dyDescent="0.25">
      <c r="A346" t="s">
        <v>61</v>
      </c>
      <c r="B346" t="str">
        <f>TEXT(Tabla24[[#This Row],[Fecha]],"dddd")</f>
        <v>domingo</v>
      </c>
      <c r="C346" t="str">
        <f>TEXT(Tabla24[[#This Row],[Fecha]],"mmmm")</f>
        <v>abril</v>
      </c>
      <c r="D346" t="str">
        <f>TEXT(Tabla24[[#This Row],[Fecha]],"aaaa")</f>
        <v>2024</v>
      </c>
      <c r="E346" t="s">
        <v>22</v>
      </c>
      <c r="F346" t="s">
        <v>38</v>
      </c>
      <c r="G346" t="s">
        <v>44</v>
      </c>
      <c r="H346" t="s">
        <v>19</v>
      </c>
      <c r="I346" t="s">
        <v>26</v>
      </c>
      <c r="J346">
        <v>7</v>
      </c>
      <c r="K346">
        <v>22533</v>
      </c>
      <c r="L346">
        <f>Tabla24[[#This Row],[Precio_Unitario]]*Tabla24[[#This Row],[Unidades_Vendidas]]</f>
        <v>157731</v>
      </c>
      <c r="M346" t="s">
        <v>27</v>
      </c>
    </row>
    <row r="347" spans="1:13" x14ac:dyDescent="0.25">
      <c r="A347" t="s">
        <v>267</v>
      </c>
      <c r="B347" t="str">
        <f>TEXT(Tabla24[[#This Row],[Fecha]],"dddd")</f>
        <v>martes</v>
      </c>
      <c r="C347" t="str">
        <f>TEXT(Tabla24[[#This Row],[Fecha]],"mmmm")</f>
        <v>febrero</v>
      </c>
      <c r="D347" t="str">
        <f>TEXT(Tabla24[[#This Row],[Fecha]],"aaaa")</f>
        <v>2024</v>
      </c>
      <c r="E347" t="s">
        <v>42</v>
      </c>
      <c r="F347" t="s">
        <v>38</v>
      </c>
      <c r="G347" t="s">
        <v>24</v>
      </c>
      <c r="H347" t="s">
        <v>25</v>
      </c>
      <c r="I347" t="s">
        <v>40</v>
      </c>
      <c r="J347">
        <v>3</v>
      </c>
      <c r="K347">
        <v>30099</v>
      </c>
      <c r="L347">
        <f>Tabla24[[#This Row],[Precio_Unitario]]*Tabla24[[#This Row],[Unidades_Vendidas]]</f>
        <v>90297</v>
      </c>
      <c r="M347" t="s">
        <v>27</v>
      </c>
    </row>
    <row r="348" spans="1:13" x14ac:dyDescent="0.25">
      <c r="A348" t="s">
        <v>216</v>
      </c>
      <c r="B348" t="str">
        <f>TEXT(Tabla24[[#This Row],[Fecha]],"dddd")</f>
        <v>martes</v>
      </c>
      <c r="C348" t="str">
        <f>TEXT(Tabla24[[#This Row],[Fecha]],"mmmm")</f>
        <v>mayo</v>
      </c>
      <c r="D348" t="str">
        <f>TEXT(Tabla24[[#This Row],[Fecha]],"aaaa")</f>
        <v>2024</v>
      </c>
      <c r="E348" t="s">
        <v>18</v>
      </c>
      <c r="F348" t="s">
        <v>34</v>
      </c>
      <c r="G348" t="s">
        <v>39</v>
      </c>
      <c r="H348" t="s">
        <v>14</v>
      </c>
      <c r="I348" t="s">
        <v>26</v>
      </c>
      <c r="J348">
        <v>12</v>
      </c>
      <c r="K348">
        <v>22795</v>
      </c>
      <c r="L348">
        <f>Tabla24[[#This Row],[Precio_Unitario]]*Tabla24[[#This Row],[Unidades_Vendidas]]</f>
        <v>273540</v>
      </c>
      <c r="M348" t="s">
        <v>20</v>
      </c>
    </row>
    <row r="349" spans="1:13" x14ac:dyDescent="0.25">
      <c r="A349" t="s">
        <v>224</v>
      </c>
      <c r="B349" t="str">
        <f>TEXT(Tabla24[[#This Row],[Fecha]],"dddd")</f>
        <v>lunes</v>
      </c>
      <c r="C349" t="str">
        <f>TEXT(Tabla24[[#This Row],[Fecha]],"mmmm")</f>
        <v>agosto</v>
      </c>
      <c r="D349" t="str">
        <f>TEXT(Tabla24[[#This Row],[Fecha]],"aaaa")</f>
        <v>2024</v>
      </c>
      <c r="E349" t="s">
        <v>22</v>
      </c>
      <c r="F349" t="s">
        <v>38</v>
      </c>
      <c r="G349" t="s">
        <v>44</v>
      </c>
      <c r="H349" t="s">
        <v>25</v>
      </c>
      <c r="I349" t="s">
        <v>26</v>
      </c>
      <c r="J349">
        <v>6</v>
      </c>
      <c r="K349">
        <v>33422</v>
      </c>
      <c r="L349">
        <f>Tabla24[[#This Row],[Precio_Unitario]]*Tabla24[[#This Row],[Unidades_Vendidas]]</f>
        <v>200532</v>
      </c>
      <c r="M349" t="s">
        <v>27</v>
      </c>
    </row>
    <row r="350" spans="1:13" x14ac:dyDescent="0.25">
      <c r="A350" t="s">
        <v>268</v>
      </c>
      <c r="B350" t="str">
        <f>TEXT(Tabla24[[#This Row],[Fecha]],"dddd")</f>
        <v>viernes</v>
      </c>
      <c r="C350" t="str">
        <f>TEXT(Tabla24[[#This Row],[Fecha]],"mmmm")</f>
        <v>octubre</v>
      </c>
      <c r="D350" t="str">
        <f>TEXT(Tabla24[[#This Row],[Fecha]],"aaaa")</f>
        <v>2024</v>
      </c>
      <c r="E350" t="s">
        <v>22</v>
      </c>
      <c r="F350" t="s">
        <v>38</v>
      </c>
      <c r="G350" t="s">
        <v>48</v>
      </c>
      <c r="H350" t="s">
        <v>30</v>
      </c>
      <c r="I350" t="s">
        <v>15</v>
      </c>
      <c r="J350">
        <v>4</v>
      </c>
      <c r="K350">
        <v>29516</v>
      </c>
      <c r="L350">
        <f>Tabla24[[#This Row],[Precio_Unitario]]*Tabla24[[#This Row],[Unidades_Vendidas]]</f>
        <v>118064</v>
      </c>
      <c r="M350" t="s">
        <v>36</v>
      </c>
    </row>
    <row r="351" spans="1:13" x14ac:dyDescent="0.25">
      <c r="A351" t="s">
        <v>59</v>
      </c>
      <c r="B351" t="str">
        <f>TEXT(Tabla24[[#This Row],[Fecha]],"dddd")</f>
        <v>sábado</v>
      </c>
      <c r="C351" t="str">
        <f>TEXT(Tabla24[[#This Row],[Fecha]],"mmmm")</f>
        <v>octubre</v>
      </c>
      <c r="D351" t="str">
        <f>TEXT(Tabla24[[#This Row],[Fecha]],"aaaa")</f>
        <v>2024</v>
      </c>
      <c r="E351" t="s">
        <v>42</v>
      </c>
      <c r="F351" t="s">
        <v>23</v>
      </c>
      <c r="G351" t="s">
        <v>48</v>
      </c>
      <c r="H351" t="s">
        <v>14</v>
      </c>
      <c r="I351" t="s">
        <v>40</v>
      </c>
      <c r="J351">
        <v>3</v>
      </c>
      <c r="K351">
        <v>44344</v>
      </c>
      <c r="L351">
        <f>Tabla24[[#This Row],[Precio_Unitario]]*Tabla24[[#This Row],[Unidades_Vendidas]]</f>
        <v>133032</v>
      </c>
      <c r="M351" t="s">
        <v>20</v>
      </c>
    </row>
    <row r="352" spans="1:13" x14ac:dyDescent="0.25">
      <c r="A352" t="s">
        <v>250</v>
      </c>
      <c r="B352" t="str">
        <f>TEXT(Tabla24[[#This Row],[Fecha]],"dddd")</f>
        <v>martes</v>
      </c>
      <c r="C352" t="str">
        <f>TEXT(Tabla24[[#This Row],[Fecha]],"mmmm")</f>
        <v>octubre</v>
      </c>
      <c r="D352" t="str">
        <f>TEXT(Tabla24[[#This Row],[Fecha]],"aaaa")</f>
        <v>2024</v>
      </c>
      <c r="E352" t="s">
        <v>22</v>
      </c>
      <c r="F352" t="s">
        <v>12</v>
      </c>
      <c r="G352" t="s">
        <v>24</v>
      </c>
      <c r="H352" t="s">
        <v>35</v>
      </c>
      <c r="I352" t="s">
        <v>15</v>
      </c>
      <c r="J352">
        <v>3</v>
      </c>
      <c r="K352">
        <v>41325</v>
      </c>
      <c r="L352">
        <f>Tabla24[[#This Row],[Precio_Unitario]]*Tabla24[[#This Row],[Unidades_Vendidas]]</f>
        <v>123975</v>
      </c>
      <c r="M352" t="s">
        <v>20</v>
      </c>
    </row>
    <row r="353" spans="1:13" x14ac:dyDescent="0.25">
      <c r="A353" t="s">
        <v>269</v>
      </c>
      <c r="B353" t="str">
        <f>TEXT(Tabla24[[#This Row],[Fecha]],"dddd")</f>
        <v>martes</v>
      </c>
      <c r="C353" t="str">
        <f>TEXT(Tabla24[[#This Row],[Fecha]],"mmmm")</f>
        <v>marzo</v>
      </c>
      <c r="D353" t="str">
        <f>TEXT(Tabla24[[#This Row],[Fecha]],"aaaa")</f>
        <v>2024</v>
      </c>
      <c r="E353" t="s">
        <v>33</v>
      </c>
      <c r="F353" t="s">
        <v>12</v>
      </c>
      <c r="G353" t="s">
        <v>44</v>
      </c>
      <c r="H353" t="s">
        <v>35</v>
      </c>
      <c r="I353" t="s">
        <v>15</v>
      </c>
      <c r="J353">
        <v>4</v>
      </c>
      <c r="K353">
        <v>50334</v>
      </c>
      <c r="L353">
        <f>Tabla24[[#This Row],[Precio_Unitario]]*Tabla24[[#This Row],[Unidades_Vendidas]]</f>
        <v>201336</v>
      </c>
      <c r="M353" t="s">
        <v>16</v>
      </c>
    </row>
    <row r="354" spans="1:13" x14ac:dyDescent="0.25">
      <c r="A354" t="s">
        <v>106</v>
      </c>
      <c r="B354" t="str">
        <f>TEXT(Tabla24[[#This Row],[Fecha]],"dddd")</f>
        <v>domingo</v>
      </c>
      <c r="C354" t="str">
        <f>TEXT(Tabla24[[#This Row],[Fecha]],"mmmm")</f>
        <v>diciembre</v>
      </c>
      <c r="D354" t="str">
        <f>TEXT(Tabla24[[#This Row],[Fecha]],"aaaa")</f>
        <v>2024</v>
      </c>
      <c r="E354" t="s">
        <v>18</v>
      </c>
      <c r="F354" t="s">
        <v>34</v>
      </c>
      <c r="G354" t="s">
        <v>48</v>
      </c>
      <c r="H354" t="s">
        <v>35</v>
      </c>
      <c r="I354" t="s">
        <v>26</v>
      </c>
      <c r="J354">
        <v>13</v>
      </c>
      <c r="K354">
        <v>22261</v>
      </c>
      <c r="L354">
        <f>Tabla24[[#This Row],[Precio_Unitario]]*Tabla24[[#This Row],[Unidades_Vendidas]]</f>
        <v>289393</v>
      </c>
      <c r="M354" t="s">
        <v>27</v>
      </c>
    </row>
    <row r="355" spans="1:13" x14ac:dyDescent="0.25">
      <c r="A355" t="s">
        <v>270</v>
      </c>
      <c r="B355" t="str">
        <f>TEXT(Tabla24[[#This Row],[Fecha]],"dddd")</f>
        <v>viernes</v>
      </c>
      <c r="C355" t="str">
        <f>TEXT(Tabla24[[#This Row],[Fecha]],"mmmm")</f>
        <v>octubre</v>
      </c>
      <c r="D355" t="str">
        <f>TEXT(Tabla24[[#This Row],[Fecha]],"aaaa")</f>
        <v>2024</v>
      </c>
      <c r="E355" t="s">
        <v>22</v>
      </c>
      <c r="F355" t="s">
        <v>29</v>
      </c>
      <c r="G355" t="s">
        <v>13</v>
      </c>
      <c r="H355" t="s">
        <v>25</v>
      </c>
      <c r="I355" t="s">
        <v>40</v>
      </c>
      <c r="J355">
        <v>18</v>
      </c>
      <c r="K355">
        <v>33039</v>
      </c>
      <c r="L355">
        <f>Tabla24[[#This Row],[Precio_Unitario]]*Tabla24[[#This Row],[Unidades_Vendidas]]</f>
        <v>594702</v>
      </c>
      <c r="M355" t="s">
        <v>27</v>
      </c>
    </row>
    <row r="356" spans="1:13" x14ac:dyDescent="0.25">
      <c r="A356" t="s">
        <v>271</v>
      </c>
      <c r="B356" t="str">
        <f>TEXT(Tabla24[[#This Row],[Fecha]],"dddd")</f>
        <v>martes</v>
      </c>
      <c r="C356" t="str">
        <f>TEXT(Tabla24[[#This Row],[Fecha]],"mmmm")</f>
        <v>junio</v>
      </c>
      <c r="D356" t="str">
        <f>TEXT(Tabla24[[#This Row],[Fecha]],"aaaa")</f>
        <v>2024</v>
      </c>
      <c r="E356" t="s">
        <v>22</v>
      </c>
      <c r="F356" t="s">
        <v>38</v>
      </c>
      <c r="G356" t="s">
        <v>24</v>
      </c>
      <c r="H356" t="s">
        <v>19</v>
      </c>
      <c r="I356" t="s">
        <v>26</v>
      </c>
      <c r="J356">
        <v>3</v>
      </c>
      <c r="K356">
        <v>16185</v>
      </c>
      <c r="L356">
        <f>Tabla24[[#This Row],[Precio_Unitario]]*Tabla24[[#This Row],[Unidades_Vendidas]]</f>
        <v>48555</v>
      </c>
      <c r="M356" t="s">
        <v>36</v>
      </c>
    </row>
    <row r="357" spans="1:13" x14ac:dyDescent="0.25">
      <c r="A357" t="s">
        <v>260</v>
      </c>
      <c r="B357" t="str">
        <f>TEXT(Tabla24[[#This Row],[Fecha]],"dddd")</f>
        <v>viernes</v>
      </c>
      <c r="C357" t="str">
        <f>TEXT(Tabla24[[#This Row],[Fecha]],"mmmm")</f>
        <v>noviembre</v>
      </c>
      <c r="D357" t="str">
        <f>TEXT(Tabla24[[#This Row],[Fecha]],"aaaa")</f>
        <v>2024</v>
      </c>
      <c r="E357" t="s">
        <v>33</v>
      </c>
      <c r="F357" t="s">
        <v>12</v>
      </c>
      <c r="G357" t="s">
        <v>44</v>
      </c>
      <c r="H357" t="s">
        <v>14</v>
      </c>
      <c r="I357" t="s">
        <v>26</v>
      </c>
      <c r="J357">
        <v>14</v>
      </c>
      <c r="K357">
        <v>18977</v>
      </c>
      <c r="L357">
        <f>Tabla24[[#This Row],[Precio_Unitario]]*Tabla24[[#This Row],[Unidades_Vendidas]]</f>
        <v>265678</v>
      </c>
      <c r="M357" t="s">
        <v>20</v>
      </c>
    </row>
    <row r="358" spans="1:13" x14ac:dyDescent="0.25">
      <c r="A358" t="s">
        <v>272</v>
      </c>
      <c r="B358" t="str">
        <f>TEXT(Tabla24[[#This Row],[Fecha]],"dddd")</f>
        <v>lunes</v>
      </c>
      <c r="C358" t="str">
        <f>TEXT(Tabla24[[#This Row],[Fecha]],"mmmm")</f>
        <v>abril</v>
      </c>
      <c r="D358" t="str">
        <f>TEXT(Tabla24[[#This Row],[Fecha]],"aaaa")</f>
        <v>2024</v>
      </c>
      <c r="E358" t="s">
        <v>42</v>
      </c>
      <c r="F358" t="s">
        <v>38</v>
      </c>
      <c r="G358" t="s">
        <v>13</v>
      </c>
      <c r="H358" t="s">
        <v>25</v>
      </c>
      <c r="I358" t="s">
        <v>26</v>
      </c>
      <c r="J358">
        <v>1</v>
      </c>
      <c r="K358">
        <v>21628</v>
      </c>
      <c r="L358">
        <f>Tabla24[[#This Row],[Precio_Unitario]]*Tabla24[[#This Row],[Unidades_Vendidas]]</f>
        <v>21628</v>
      </c>
      <c r="M358" t="s">
        <v>36</v>
      </c>
    </row>
    <row r="359" spans="1:13" x14ac:dyDescent="0.25">
      <c r="A359" t="s">
        <v>273</v>
      </c>
      <c r="B359" t="str">
        <f>TEXT(Tabla24[[#This Row],[Fecha]],"dddd")</f>
        <v>lunes</v>
      </c>
      <c r="C359" t="str">
        <f>TEXT(Tabla24[[#This Row],[Fecha]],"mmmm")</f>
        <v>julio</v>
      </c>
      <c r="D359" t="str">
        <f>TEXT(Tabla24[[#This Row],[Fecha]],"aaaa")</f>
        <v>2024</v>
      </c>
      <c r="E359" t="s">
        <v>18</v>
      </c>
      <c r="F359" t="s">
        <v>12</v>
      </c>
      <c r="G359" t="s">
        <v>44</v>
      </c>
      <c r="H359" t="s">
        <v>30</v>
      </c>
      <c r="I359" t="s">
        <v>15</v>
      </c>
      <c r="J359">
        <v>13</v>
      </c>
      <c r="K359">
        <v>23184</v>
      </c>
      <c r="L359">
        <f>Tabla24[[#This Row],[Precio_Unitario]]*Tabla24[[#This Row],[Unidades_Vendidas]]</f>
        <v>301392</v>
      </c>
      <c r="M359" t="s">
        <v>36</v>
      </c>
    </row>
    <row r="360" spans="1:13" x14ac:dyDescent="0.25">
      <c r="A360" t="s">
        <v>157</v>
      </c>
      <c r="B360" t="str">
        <f>TEXT(Tabla24[[#This Row],[Fecha]],"dddd")</f>
        <v>viernes</v>
      </c>
      <c r="C360" t="str">
        <f>TEXT(Tabla24[[#This Row],[Fecha]],"mmmm")</f>
        <v>septiembre</v>
      </c>
      <c r="D360" t="str">
        <f>TEXT(Tabla24[[#This Row],[Fecha]],"aaaa")</f>
        <v>2024</v>
      </c>
      <c r="E360" t="s">
        <v>18</v>
      </c>
      <c r="F360" t="s">
        <v>34</v>
      </c>
      <c r="G360" t="s">
        <v>39</v>
      </c>
      <c r="H360" t="s">
        <v>25</v>
      </c>
      <c r="I360" t="s">
        <v>15</v>
      </c>
      <c r="J360">
        <v>7</v>
      </c>
      <c r="K360">
        <v>46473</v>
      </c>
      <c r="L360">
        <f>Tabla24[[#This Row],[Precio_Unitario]]*Tabla24[[#This Row],[Unidades_Vendidas]]</f>
        <v>325311</v>
      </c>
      <c r="M360" t="s">
        <v>20</v>
      </c>
    </row>
    <row r="361" spans="1:13" x14ac:dyDescent="0.25">
      <c r="A361" t="s">
        <v>274</v>
      </c>
      <c r="B361" t="str">
        <f>TEXT(Tabla24[[#This Row],[Fecha]],"dddd")</f>
        <v>sábado</v>
      </c>
      <c r="C361" t="str">
        <f>TEXT(Tabla24[[#This Row],[Fecha]],"mmmm")</f>
        <v>enero</v>
      </c>
      <c r="D361" t="str">
        <f>TEXT(Tabla24[[#This Row],[Fecha]],"aaaa")</f>
        <v>2024</v>
      </c>
      <c r="E361" t="s">
        <v>22</v>
      </c>
      <c r="F361" t="s">
        <v>34</v>
      </c>
      <c r="G361" t="s">
        <v>44</v>
      </c>
      <c r="H361" t="s">
        <v>35</v>
      </c>
      <c r="I361" t="s">
        <v>40</v>
      </c>
      <c r="J361">
        <v>4</v>
      </c>
      <c r="K361">
        <v>40537</v>
      </c>
      <c r="L361">
        <f>Tabla24[[#This Row],[Precio_Unitario]]*Tabla24[[#This Row],[Unidades_Vendidas]]</f>
        <v>162148</v>
      </c>
      <c r="M361" t="s">
        <v>27</v>
      </c>
    </row>
    <row r="362" spans="1:13" x14ac:dyDescent="0.25">
      <c r="A362" t="s">
        <v>275</v>
      </c>
      <c r="B362" t="str">
        <f>TEXT(Tabla24[[#This Row],[Fecha]],"dddd")</f>
        <v>miércoles</v>
      </c>
      <c r="C362" t="str">
        <f>TEXT(Tabla24[[#This Row],[Fecha]],"mmmm")</f>
        <v>julio</v>
      </c>
      <c r="D362" t="str">
        <f>TEXT(Tabla24[[#This Row],[Fecha]],"aaaa")</f>
        <v>2024</v>
      </c>
      <c r="E362" t="s">
        <v>22</v>
      </c>
      <c r="F362" t="s">
        <v>34</v>
      </c>
      <c r="G362" t="s">
        <v>13</v>
      </c>
      <c r="H362" t="s">
        <v>35</v>
      </c>
      <c r="I362" t="s">
        <v>26</v>
      </c>
      <c r="J362">
        <v>11</v>
      </c>
      <c r="K362">
        <v>24481</v>
      </c>
      <c r="L362">
        <f>Tabla24[[#This Row],[Precio_Unitario]]*Tabla24[[#This Row],[Unidades_Vendidas]]</f>
        <v>269291</v>
      </c>
      <c r="M362" t="s">
        <v>20</v>
      </c>
    </row>
    <row r="363" spans="1:13" x14ac:dyDescent="0.25">
      <c r="A363" t="s">
        <v>275</v>
      </c>
      <c r="B363" t="str">
        <f>TEXT(Tabla24[[#This Row],[Fecha]],"dddd")</f>
        <v>miércoles</v>
      </c>
      <c r="C363" t="str">
        <f>TEXT(Tabla24[[#This Row],[Fecha]],"mmmm")</f>
        <v>julio</v>
      </c>
      <c r="D363" t="str">
        <f>TEXT(Tabla24[[#This Row],[Fecha]],"aaaa")</f>
        <v>2024</v>
      </c>
      <c r="E363" t="s">
        <v>33</v>
      </c>
      <c r="F363" t="s">
        <v>23</v>
      </c>
      <c r="G363" t="s">
        <v>44</v>
      </c>
      <c r="H363" t="s">
        <v>30</v>
      </c>
      <c r="I363" t="s">
        <v>15</v>
      </c>
      <c r="J363">
        <v>1</v>
      </c>
      <c r="K363">
        <v>34753</v>
      </c>
      <c r="L363">
        <f>Tabla24[[#This Row],[Precio_Unitario]]*Tabla24[[#This Row],[Unidades_Vendidas]]</f>
        <v>34753</v>
      </c>
      <c r="M363" t="s">
        <v>27</v>
      </c>
    </row>
    <row r="364" spans="1:13" x14ac:dyDescent="0.25">
      <c r="A364" t="s">
        <v>276</v>
      </c>
      <c r="B364" t="str">
        <f>TEXT(Tabla24[[#This Row],[Fecha]],"dddd")</f>
        <v>domingo</v>
      </c>
      <c r="C364" t="str">
        <f>TEXT(Tabla24[[#This Row],[Fecha]],"mmmm")</f>
        <v>marzo</v>
      </c>
      <c r="D364" t="str">
        <f>TEXT(Tabla24[[#This Row],[Fecha]],"aaaa")</f>
        <v>2024</v>
      </c>
      <c r="E364" t="s">
        <v>18</v>
      </c>
      <c r="F364" t="s">
        <v>29</v>
      </c>
      <c r="G364" t="s">
        <v>44</v>
      </c>
      <c r="H364" t="s">
        <v>30</v>
      </c>
      <c r="I364" t="s">
        <v>26</v>
      </c>
      <c r="J364">
        <v>16</v>
      </c>
      <c r="K364">
        <v>42547</v>
      </c>
      <c r="L364">
        <f>Tabla24[[#This Row],[Precio_Unitario]]*Tabla24[[#This Row],[Unidades_Vendidas]]</f>
        <v>680752</v>
      </c>
      <c r="M364" t="s">
        <v>27</v>
      </c>
    </row>
    <row r="365" spans="1:13" x14ac:dyDescent="0.25">
      <c r="A365" t="s">
        <v>163</v>
      </c>
      <c r="B365" t="str">
        <f>TEXT(Tabla24[[#This Row],[Fecha]],"dddd")</f>
        <v>miércoles</v>
      </c>
      <c r="C365" t="str">
        <f>TEXT(Tabla24[[#This Row],[Fecha]],"mmmm")</f>
        <v>octubre</v>
      </c>
      <c r="D365" t="str">
        <f>TEXT(Tabla24[[#This Row],[Fecha]],"aaaa")</f>
        <v>2024</v>
      </c>
      <c r="E365" t="s">
        <v>11</v>
      </c>
      <c r="F365" t="s">
        <v>29</v>
      </c>
      <c r="G365" t="s">
        <v>24</v>
      </c>
      <c r="H365" t="s">
        <v>30</v>
      </c>
      <c r="I365" t="s">
        <v>26</v>
      </c>
      <c r="J365">
        <v>12</v>
      </c>
      <c r="K365">
        <v>29750</v>
      </c>
      <c r="L365">
        <f>Tabla24[[#This Row],[Precio_Unitario]]*Tabla24[[#This Row],[Unidades_Vendidas]]</f>
        <v>357000</v>
      </c>
      <c r="M365" t="s">
        <v>27</v>
      </c>
    </row>
    <row r="366" spans="1:13" x14ac:dyDescent="0.25">
      <c r="A366" t="s">
        <v>103</v>
      </c>
      <c r="B366" t="str">
        <f>TEXT(Tabla24[[#This Row],[Fecha]],"dddd")</f>
        <v>martes</v>
      </c>
      <c r="C366" t="str">
        <f>TEXT(Tabla24[[#This Row],[Fecha]],"mmmm")</f>
        <v>febrero</v>
      </c>
      <c r="D366" t="str">
        <f>TEXT(Tabla24[[#This Row],[Fecha]],"aaaa")</f>
        <v>2024</v>
      </c>
      <c r="E366" t="s">
        <v>42</v>
      </c>
      <c r="F366" t="s">
        <v>34</v>
      </c>
      <c r="G366" t="s">
        <v>24</v>
      </c>
      <c r="H366" t="s">
        <v>30</v>
      </c>
      <c r="I366" t="s">
        <v>26</v>
      </c>
      <c r="J366">
        <v>15</v>
      </c>
      <c r="K366">
        <v>50401</v>
      </c>
      <c r="L366">
        <f>Tabla24[[#This Row],[Precio_Unitario]]*Tabla24[[#This Row],[Unidades_Vendidas]]</f>
        <v>756015</v>
      </c>
      <c r="M366" t="s">
        <v>16</v>
      </c>
    </row>
    <row r="367" spans="1:13" x14ac:dyDescent="0.25">
      <c r="A367" t="s">
        <v>277</v>
      </c>
      <c r="B367" t="str">
        <f>TEXT(Tabla24[[#This Row],[Fecha]],"dddd")</f>
        <v>miércoles</v>
      </c>
      <c r="C367" t="str">
        <f>TEXT(Tabla24[[#This Row],[Fecha]],"mmmm")</f>
        <v>agosto</v>
      </c>
      <c r="D367" t="str">
        <f>TEXT(Tabla24[[#This Row],[Fecha]],"aaaa")</f>
        <v>2024</v>
      </c>
      <c r="E367" t="s">
        <v>22</v>
      </c>
      <c r="F367" t="s">
        <v>12</v>
      </c>
      <c r="G367" t="s">
        <v>13</v>
      </c>
      <c r="H367" t="s">
        <v>19</v>
      </c>
      <c r="I367" t="s">
        <v>26</v>
      </c>
      <c r="J367">
        <v>18</v>
      </c>
      <c r="K367">
        <v>51147</v>
      </c>
      <c r="L367">
        <f>Tabla24[[#This Row],[Precio_Unitario]]*Tabla24[[#This Row],[Unidades_Vendidas]]</f>
        <v>920646</v>
      </c>
      <c r="M367" t="s">
        <v>36</v>
      </c>
    </row>
    <row r="368" spans="1:13" x14ac:dyDescent="0.25">
      <c r="A368" t="s">
        <v>64</v>
      </c>
      <c r="B368" t="str">
        <f>TEXT(Tabla24[[#This Row],[Fecha]],"dddd")</f>
        <v>martes</v>
      </c>
      <c r="C368" t="str">
        <f>TEXT(Tabla24[[#This Row],[Fecha]],"mmmm")</f>
        <v>octubre</v>
      </c>
      <c r="D368" t="str">
        <f>TEXT(Tabla24[[#This Row],[Fecha]],"aaaa")</f>
        <v>2024</v>
      </c>
      <c r="E368" t="s">
        <v>33</v>
      </c>
      <c r="F368" t="s">
        <v>34</v>
      </c>
      <c r="G368" t="s">
        <v>48</v>
      </c>
      <c r="H368" t="s">
        <v>19</v>
      </c>
      <c r="I368" t="s">
        <v>40</v>
      </c>
      <c r="J368">
        <v>14</v>
      </c>
      <c r="K368">
        <v>54276</v>
      </c>
      <c r="L368">
        <f>Tabla24[[#This Row],[Precio_Unitario]]*Tabla24[[#This Row],[Unidades_Vendidas]]</f>
        <v>759864</v>
      </c>
      <c r="M368" t="s">
        <v>16</v>
      </c>
    </row>
    <row r="369" spans="1:13" x14ac:dyDescent="0.25">
      <c r="A369" t="s">
        <v>230</v>
      </c>
      <c r="B369" t="str">
        <f>TEXT(Tabla24[[#This Row],[Fecha]],"dddd")</f>
        <v>lunes</v>
      </c>
      <c r="C369" t="str">
        <f>TEXT(Tabla24[[#This Row],[Fecha]],"mmmm")</f>
        <v>marzo</v>
      </c>
      <c r="D369" t="str">
        <f>TEXT(Tabla24[[#This Row],[Fecha]],"aaaa")</f>
        <v>2024</v>
      </c>
      <c r="E369" t="s">
        <v>22</v>
      </c>
      <c r="F369" t="s">
        <v>38</v>
      </c>
      <c r="G369" t="s">
        <v>48</v>
      </c>
      <c r="H369" t="s">
        <v>30</v>
      </c>
      <c r="I369" t="s">
        <v>15</v>
      </c>
      <c r="J369">
        <v>6</v>
      </c>
      <c r="K369">
        <v>36188</v>
      </c>
      <c r="L369">
        <f>Tabla24[[#This Row],[Precio_Unitario]]*Tabla24[[#This Row],[Unidades_Vendidas]]</f>
        <v>217128</v>
      </c>
      <c r="M369" t="s">
        <v>27</v>
      </c>
    </row>
    <row r="370" spans="1:13" x14ac:dyDescent="0.25">
      <c r="A370" t="s">
        <v>75</v>
      </c>
      <c r="B370" t="str">
        <f>TEXT(Tabla24[[#This Row],[Fecha]],"dddd")</f>
        <v>lunes</v>
      </c>
      <c r="C370" t="str">
        <f>TEXT(Tabla24[[#This Row],[Fecha]],"mmmm")</f>
        <v>diciembre</v>
      </c>
      <c r="D370" t="str">
        <f>TEXT(Tabla24[[#This Row],[Fecha]],"aaaa")</f>
        <v>2024</v>
      </c>
      <c r="E370" t="s">
        <v>42</v>
      </c>
      <c r="F370" t="s">
        <v>38</v>
      </c>
      <c r="G370" t="s">
        <v>48</v>
      </c>
      <c r="H370" t="s">
        <v>35</v>
      </c>
      <c r="I370" t="s">
        <v>40</v>
      </c>
      <c r="J370">
        <v>16</v>
      </c>
      <c r="K370">
        <v>49238</v>
      </c>
      <c r="L370">
        <f>Tabla24[[#This Row],[Precio_Unitario]]*Tabla24[[#This Row],[Unidades_Vendidas]]</f>
        <v>787808</v>
      </c>
      <c r="M370" t="s">
        <v>20</v>
      </c>
    </row>
    <row r="371" spans="1:13" x14ac:dyDescent="0.25">
      <c r="A371" t="s">
        <v>228</v>
      </c>
      <c r="B371" t="str">
        <f>TEXT(Tabla24[[#This Row],[Fecha]],"dddd")</f>
        <v>martes</v>
      </c>
      <c r="C371" t="str">
        <f>TEXT(Tabla24[[#This Row],[Fecha]],"mmmm")</f>
        <v>agosto</v>
      </c>
      <c r="D371" t="str">
        <f>TEXT(Tabla24[[#This Row],[Fecha]],"aaaa")</f>
        <v>2024</v>
      </c>
      <c r="E371" t="s">
        <v>33</v>
      </c>
      <c r="F371" t="s">
        <v>23</v>
      </c>
      <c r="G371" t="s">
        <v>13</v>
      </c>
      <c r="H371" t="s">
        <v>25</v>
      </c>
      <c r="I371" t="s">
        <v>26</v>
      </c>
      <c r="J371">
        <v>9</v>
      </c>
      <c r="K371">
        <v>43765</v>
      </c>
      <c r="L371">
        <f>Tabla24[[#This Row],[Precio_Unitario]]*Tabla24[[#This Row],[Unidades_Vendidas]]</f>
        <v>393885</v>
      </c>
      <c r="M371" t="s">
        <v>16</v>
      </c>
    </row>
    <row r="372" spans="1:13" x14ac:dyDescent="0.25">
      <c r="A372" t="s">
        <v>169</v>
      </c>
      <c r="B372" t="str">
        <f>TEXT(Tabla24[[#This Row],[Fecha]],"dddd")</f>
        <v>viernes</v>
      </c>
      <c r="C372" t="str">
        <f>TEXT(Tabla24[[#This Row],[Fecha]],"mmmm")</f>
        <v>febrero</v>
      </c>
      <c r="D372" t="str">
        <f>TEXT(Tabla24[[#This Row],[Fecha]],"aaaa")</f>
        <v>2024</v>
      </c>
      <c r="E372" t="s">
        <v>11</v>
      </c>
      <c r="F372" t="s">
        <v>38</v>
      </c>
      <c r="G372" t="s">
        <v>24</v>
      </c>
      <c r="H372" t="s">
        <v>14</v>
      </c>
      <c r="I372" t="s">
        <v>26</v>
      </c>
      <c r="J372">
        <v>18</v>
      </c>
      <c r="K372">
        <v>25029</v>
      </c>
      <c r="L372">
        <f>Tabla24[[#This Row],[Precio_Unitario]]*Tabla24[[#This Row],[Unidades_Vendidas]]</f>
        <v>450522</v>
      </c>
      <c r="M372" t="s">
        <v>20</v>
      </c>
    </row>
    <row r="373" spans="1:13" x14ac:dyDescent="0.25">
      <c r="A373" t="s">
        <v>278</v>
      </c>
      <c r="B373" t="str">
        <f>TEXT(Tabla24[[#This Row],[Fecha]],"dddd")</f>
        <v>miércoles</v>
      </c>
      <c r="C373" t="str">
        <f>TEXT(Tabla24[[#This Row],[Fecha]],"mmmm")</f>
        <v>julio</v>
      </c>
      <c r="D373" t="str">
        <f>TEXT(Tabla24[[#This Row],[Fecha]],"aaaa")</f>
        <v>2024</v>
      </c>
      <c r="E373" t="s">
        <v>42</v>
      </c>
      <c r="F373" t="s">
        <v>23</v>
      </c>
      <c r="G373" t="s">
        <v>48</v>
      </c>
      <c r="H373" t="s">
        <v>30</v>
      </c>
      <c r="I373" t="s">
        <v>40</v>
      </c>
      <c r="J373">
        <v>13</v>
      </c>
      <c r="K373">
        <v>32288</v>
      </c>
      <c r="L373">
        <f>Tabla24[[#This Row],[Precio_Unitario]]*Tabla24[[#This Row],[Unidades_Vendidas]]</f>
        <v>419744</v>
      </c>
      <c r="M373" t="s">
        <v>36</v>
      </c>
    </row>
    <row r="374" spans="1:13" x14ac:dyDescent="0.25">
      <c r="A374" t="s">
        <v>279</v>
      </c>
      <c r="B374" t="str">
        <f>TEXT(Tabla24[[#This Row],[Fecha]],"dddd")</f>
        <v>miércoles</v>
      </c>
      <c r="C374" t="str">
        <f>TEXT(Tabla24[[#This Row],[Fecha]],"mmmm")</f>
        <v>marzo</v>
      </c>
      <c r="D374" t="str">
        <f>TEXT(Tabla24[[#This Row],[Fecha]],"aaaa")</f>
        <v>2024</v>
      </c>
      <c r="E374" t="s">
        <v>33</v>
      </c>
      <c r="F374" t="s">
        <v>12</v>
      </c>
      <c r="G374" t="s">
        <v>44</v>
      </c>
      <c r="H374" t="s">
        <v>25</v>
      </c>
      <c r="I374" t="s">
        <v>40</v>
      </c>
      <c r="J374">
        <v>3</v>
      </c>
      <c r="K374">
        <v>57307</v>
      </c>
      <c r="L374">
        <f>Tabla24[[#This Row],[Precio_Unitario]]*Tabla24[[#This Row],[Unidades_Vendidas]]</f>
        <v>171921</v>
      </c>
      <c r="M374" t="s">
        <v>16</v>
      </c>
    </row>
    <row r="375" spans="1:13" x14ac:dyDescent="0.25">
      <c r="A375" t="s">
        <v>280</v>
      </c>
      <c r="B375" t="str">
        <f>TEXT(Tabla24[[#This Row],[Fecha]],"dddd")</f>
        <v>martes</v>
      </c>
      <c r="C375" t="str">
        <f>TEXT(Tabla24[[#This Row],[Fecha]],"mmmm")</f>
        <v>septiembre</v>
      </c>
      <c r="D375" t="str">
        <f>TEXT(Tabla24[[#This Row],[Fecha]],"aaaa")</f>
        <v>2024</v>
      </c>
      <c r="E375" t="s">
        <v>42</v>
      </c>
      <c r="F375" t="s">
        <v>34</v>
      </c>
      <c r="G375" t="s">
        <v>48</v>
      </c>
      <c r="H375" t="s">
        <v>14</v>
      </c>
      <c r="I375" t="s">
        <v>40</v>
      </c>
      <c r="J375">
        <v>15</v>
      </c>
      <c r="K375">
        <v>55662</v>
      </c>
      <c r="L375">
        <f>Tabla24[[#This Row],[Precio_Unitario]]*Tabla24[[#This Row],[Unidades_Vendidas]]</f>
        <v>834930</v>
      </c>
      <c r="M375" t="s">
        <v>27</v>
      </c>
    </row>
    <row r="376" spans="1:13" x14ac:dyDescent="0.25">
      <c r="A376" t="s">
        <v>225</v>
      </c>
      <c r="B376" t="str">
        <f>TEXT(Tabla24[[#This Row],[Fecha]],"dddd")</f>
        <v>miércoles</v>
      </c>
      <c r="C376" t="str">
        <f>TEXT(Tabla24[[#This Row],[Fecha]],"mmmm")</f>
        <v>marzo</v>
      </c>
      <c r="D376" t="str">
        <f>TEXT(Tabla24[[#This Row],[Fecha]],"aaaa")</f>
        <v>2024</v>
      </c>
      <c r="E376" t="s">
        <v>11</v>
      </c>
      <c r="F376" t="s">
        <v>34</v>
      </c>
      <c r="G376" t="s">
        <v>13</v>
      </c>
      <c r="H376" t="s">
        <v>14</v>
      </c>
      <c r="I376" t="s">
        <v>40</v>
      </c>
      <c r="J376">
        <v>10</v>
      </c>
      <c r="K376">
        <v>29366</v>
      </c>
      <c r="L376">
        <f>Tabla24[[#This Row],[Precio_Unitario]]*Tabla24[[#This Row],[Unidades_Vendidas]]</f>
        <v>293660</v>
      </c>
      <c r="M376" t="s">
        <v>20</v>
      </c>
    </row>
    <row r="377" spans="1:13" x14ac:dyDescent="0.25">
      <c r="A377" t="s">
        <v>211</v>
      </c>
      <c r="B377" t="str">
        <f>TEXT(Tabla24[[#This Row],[Fecha]],"dddd")</f>
        <v>domingo</v>
      </c>
      <c r="C377" t="str">
        <f>TEXT(Tabla24[[#This Row],[Fecha]],"mmmm")</f>
        <v>marzo</v>
      </c>
      <c r="D377" t="str">
        <f>TEXT(Tabla24[[#This Row],[Fecha]],"aaaa")</f>
        <v>2024</v>
      </c>
      <c r="E377" t="s">
        <v>33</v>
      </c>
      <c r="F377" t="s">
        <v>29</v>
      </c>
      <c r="G377" t="s">
        <v>13</v>
      </c>
      <c r="H377" t="s">
        <v>35</v>
      </c>
      <c r="I377" t="s">
        <v>15</v>
      </c>
      <c r="J377">
        <v>2</v>
      </c>
      <c r="K377">
        <v>41638</v>
      </c>
      <c r="L377">
        <f>Tabla24[[#This Row],[Precio_Unitario]]*Tabla24[[#This Row],[Unidades_Vendidas]]</f>
        <v>83276</v>
      </c>
      <c r="M377" t="s">
        <v>36</v>
      </c>
    </row>
    <row r="378" spans="1:13" x14ac:dyDescent="0.25">
      <c r="A378" t="s">
        <v>281</v>
      </c>
      <c r="B378" t="str">
        <f>TEXT(Tabla24[[#This Row],[Fecha]],"dddd")</f>
        <v>sábado</v>
      </c>
      <c r="C378" t="str">
        <f>TEXT(Tabla24[[#This Row],[Fecha]],"mmmm")</f>
        <v>enero</v>
      </c>
      <c r="D378" t="str">
        <f>TEXT(Tabla24[[#This Row],[Fecha]],"aaaa")</f>
        <v>2024</v>
      </c>
      <c r="E378" t="s">
        <v>18</v>
      </c>
      <c r="F378" t="s">
        <v>29</v>
      </c>
      <c r="G378" t="s">
        <v>13</v>
      </c>
      <c r="H378" t="s">
        <v>35</v>
      </c>
      <c r="I378" t="s">
        <v>26</v>
      </c>
      <c r="J378">
        <v>18</v>
      </c>
      <c r="K378">
        <v>28688</v>
      </c>
      <c r="L378">
        <f>Tabla24[[#This Row],[Precio_Unitario]]*Tabla24[[#This Row],[Unidades_Vendidas]]</f>
        <v>516384</v>
      </c>
      <c r="M378" t="s">
        <v>20</v>
      </c>
    </row>
    <row r="379" spans="1:13" x14ac:dyDescent="0.25">
      <c r="A379" t="s">
        <v>261</v>
      </c>
      <c r="B379" t="str">
        <f>TEXT(Tabla24[[#This Row],[Fecha]],"dddd")</f>
        <v>domingo</v>
      </c>
      <c r="C379" t="str">
        <f>TEXT(Tabla24[[#This Row],[Fecha]],"mmmm")</f>
        <v>diciembre</v>
      </c>
      <c r="D379" t="str">
        <f>TEXT(Tabla24[[#This Row],[Fecha]],"aaaa")</f>
        <v>2024</v>
      </c>
      <c r="E379" t="s">
        <v>33</v>
      </c>
      <c r="F379" t="s">
        <v>23</v>
      </c>
      <c r="G379" t="s">
        <v>44</v>
      </c>
      <c r="H379" t="s">
        <v>30</v>
      </c>
      <c r="I379" t="s">
        <v>15</v>
      </c>
      <c r="J379">
        <v>19</v>
      </c>
      <c r="K379">
        <v>32385</v>
      </c>
      <c r="L379">
        <f>Tabla24[[#This Row],[Precio_Unitario]]*Tabla24[[#This Row],[Unidades_Vendidas]]</f>
        <v>615315</v>
      </c>
      <c r="M379" t="s">
        <v>36</v>
      </c>
    </row>
    <row r="380" spans="1:13" x14ac:dyDescent="0.25">
      <c r="A380" t="s">
        <v>244</v>
      </c>
      <c r="B380" t="str">
        <f>TEXT(Tabla24[[#This Row],[Fecha]],"dddd")</f>
        <v>domingo</v>
      </c>
      <c r="C380" t="str">
        <f>TEXT(Tabla24[[#This Row],[Fecha]],"mmmm")</f>
        <v>mayo</v>
      </c>
      <c r="D380" t="str">
        <f>TEXT(Tabla24[[#This Row],[Fecha]],"aaaa")</f>
        <v>2024</v>
      </c>
      <c r="E380" t="s">
        <v>33</v>
      </c>
      <c r="F380" t="s">
        <v>12</v>
      </c>
      <c r="G380" t="s">
        <v>13</v>
      </c>
      <c r="H380" t="s">
        <v>25</v>
      </c>
      <c r="I380" t="s">
        <v>26</v>
      </c>
      <c r="J380">
        <v>8</v>
      </c>
      <c r="K380">
        <v>33998</v>
      </c>
      <c r="L380">
        <f>Tabla24[[#This Row],[Precio_Unitario]]*Tabla24[[#This Row],[Unidades_Vendidas]]</f>
        <v>271984</v>
      </c>
      <c r="M380" t="s">
        <v>27</v>
      </c>
    </row>
    <row r="381" spans="1:13" x14ac:dyDescent="0.25">
      <c r="A381" t="s">
        <v>282</v>
      </c>
      <c r="B381" t="str">
        <f>TEXT(Tabla24[[#This Row],[Fecha]],"dddd")</f>
        <v>domingo</v>
      </c>
      <c r="C381" t="str">
        <f>TEXT(Tabla24[[#This Row],[Fecha]],"mmmm")</f>
        <v>junio</v>
      </c>
      <c r="D381" t="str">
        <f>TEXT(Tabla24[[#This Row],[Fecha]],"aaaa")</f>
        <v>2024</v>
      </c>
      <c r="E381" t="s">
        <v>22</v>
      </c>
      <c r="F381" t="s">
        <v>12</v>
      </c>
      <c r="G381" t="s">
        <v>48</v>
      </c>
      <c r="H381" t="s">
        <v>30</v>
      </c>
      <c r="I381" t="s">
        <v>26</v>
      </c>
      <c r="J381">
        <v>7</v>
      </c>
      <c r="K381">
        <v>51615</v>
      </c>
      <c r="L381">
        <f>Tabla24[[#This Row],[Precio_Unitario]]*Tabla24[[#This Row],[Unidades_Vendidas]]</f>
        <v>361305</v>
      </c>
      <c r="M381" t="s">
        <v>20</v>
      </c>
    </row>
    <row r="382" spans="1:13" x14ac:dyDescent="0.25">
      <c r="A382" t="s">
        <v>283</v>
      </c>
      <c r="B382" t="str">
        <f>TEXT(Tabla24[[#This Row],[Fecha]],"dddd")</f>
        <v>martes</v>
      </c>
      <c r="C382" t="str">
        <f>TEXT(Tabla24[[#This Row],[Fecha]],"mmmm")</f>
        <v>enero</v>
      </c>
      <c r="D382" t="str">
        <f>TEXT(Tabla24[[#This Row],[Fecha]],"aaaa")</f>
        <v>2024</v>
      </c>
      <c r="E382" t="s">
        <v>33</v>
      </c>
      <c r="F382" t="s">
        <v>38</v>
      </c>
      <c r="G382" t="s">
        <v>48</v>
      </c>
      <c r="H382" t="s">
        <v>30</v>
      </c>
      <c r="I382" t="s">
        <v>40</v>
      </c>
      <c r="J382">
        <v>8</v>
      </c>
      <c r="K382">
        <v>30784</v>
      </c>
      <c r="L382">
        <f>Tabla24[[#This Row],[Precio_Unitario]]*Tabla24[[#This Row],[Unidades_Vendidas]]</f>
        <v>246272</v>
      </c>
      <c r="M382" t="s">
        <v>27</v>
      </c>
    </row>
    <row r="383" spans="1:13" x14ac:dyDescent="0.25">
      <c r="A383" t="s">
        <v>126</v>
      </c>
      <c r="B383" t="str">
        <f>TEXT(Tabla24[[#This Row],[Fecha]],"dddd")</f>
        <v>lunes</v>
      </c>
      <c r="C383" t="str">
        <f>TEXT(Tabla24[[#This Row],[Fecha]],"mmmm")</f>
        <v>noviembre</v>
      </c>
      <c r="D383" t="str">
        <f>TEXT(Tabla24[[#This Row],[Fecha]],"aaaa")</f>
        <v>2024</v>
      </c>
      <c r="E383" t="s">
        <v>18</v>
      </c>
      <c r="F383" t="s">
        <v>23</v>
      </c>
      <c r="G383" t="s">
        <v>24</v>
      </c>
      <c r="H383" t="s">
        <v>14</v>
      </c>
      <c r="I383" t="s">
        <v>26</v>
      </c>
      <c r="J383">
        <v>8</v>
      </c>
      <c r="K383">
        <v>22989</v>
      </c>
      <c r="L383">
        <f>Tabla24[[#This Row],[Precio_Unitario]]*Tabla24[[#This Row],[Unidades_Vendidas]]</f>
        <v>183912</v>
      </c>
      <c r="M383" t="s">
        <v>16</v>
      </c>
    </row>
    <row r="384" spans="1:13" x14ac:dyDescent="0.25">
      <c r="A384" t="s">
        <v>81</v>
      </c>
      <c r="B384" t="str">
        <f>TEXT(Tabla24[[#This Row],[Fecha]],"dddd")</f>
        <v>sábado</v>
      </c>
      <c r="C384" t="str">
        <f>TEXT(Tabla24[[#This Row],[Fecha]],"mmmm")</f>
        <v>diciembre</v>
      </c>
      <c r="D384" t="str">
        <f>TEXT(Tabla24[[#This Row],[Fecha]],"aaaa")</f>
        <v>2024</v>
      </c>
      <c r="E384" t="s">
        <v>33</v>
      </c>
      <c r="F384" t="s">
        <v>23</v>
      </c>
      <c r="G384" t="s">
        <v>48</v>
      </c>
      <c r="H384" t="s">
        <v>14</v>
      </c>
      <c r="I384" t="s">
        <v>40</v>
      </c>
      <c r="J384">
        <v>17</v>
      </c>
      <c r="K384">
        <v>53553</v>
      </c>
      <c r="L384">
        <f>Tabla24[[#This Row],[Precio_Unitario]]*Tabla24[[#This Row],[Unidades_Vendidas]]</f>
        <v>910401</v>
      </c>
      <c r="M384" t="s">
        <v>20</v>
      </c>
    </row>
    <row r="385" spans="1:13" x14ac:dyDescent="0.25">
      <c r="A385" t="s">
        <v>105</v>
      </c>
      <c r="B385" t="str">
        <f>TEXT(Tabla24[[#This Row],[Fecha]],"dddd")</f>
        <v>martes</v>
      </c>
      <c r="C385" t="str">
        <f>TEXT(Tabla24[[#This Row],[Fecha]],"mmmm")</f>
        <v>enero</v>
      </c>
      <c r="D385" t="str">
        <f>TEXT(Tabla24[[#This Row],[Fecha]],"aaaa")</f>
        <v>2024</v>
      </c>
      <c r="E385" t="s">
        <v>42</v>
      </c>
      <c r="F385" t="s">
        <v>29</v>
      </c>
      <c r="G385" t="s">
        <v>39</v>
      </c>
      <c r="H385" t="s">
        <v>14</v>
      </c>
      <c r="I385" t="s">
        <v>40</v>
      </c>
      <c r="J385">
        <v>8</v>
      </c>
      <c r="K385">
        <v>50432</v>
      </c>
      <c r="L385">
        <f>Tabla24[[#This Row],[Precio_Unitario]]*Tabla24[[#This Row],[Unidades_Vendidas]]</f>
        <v>403456</v>
      </c>
      <c r="M385" t="s">
        <v>27</v>
      </c>
    </row>
    <row r="386" spans="1:13" x14ac:dyDescent="0.25">
      <c r="A386" t="s">
        <v>284</v>
      </c>
      <c r="B386" t="str">
        <f>TEXT(Tabla24[[#This Row],[Fecha]],"dddd")</f>
        <v>martes</v>
      </c>
      <c r="C386" t="str">
        <f>TEXT(Tabla24[[#This Row],[Fecha]],"mmmm")</f>
        <v>noviembre</v>
      </c>
      <c r="D386" t="str">
        <f>TEXT(Tabla24[[#This Row],[Fecha]],"aaaa")</f>
        <v>2024</v>
      </c>
      <c r="E386" t="s">
        <v>42</v>
      </c>
      <c r="F386" t="s">
        <v>34</v>
      </c>
      <c r="G386" t="s">
        <v>13</v>
      </c>
      <c r="H386" t="s">
        <v>30</v>
      </c>
      <c r="I386" t="s">
        <v>40</v>
      </c>
      <c r="J386">
        <v>6</v>
      </c>
      <c r="K386">
        <v>32256</v>
      </c>
      <c r="L386">
        <f>Tabla24[[#This Row],[Precio_Unitario]]*Tabla24[[#This Row],[Unidades_Vendidas]]</f>
        <v>193536</v>
      </c>
      <c r="M386" t="s">
        <v>27</v>
      </c>
    </row>
    <row r="387" spans="1:13" x14ac:dyDescent="0.25">
      <c r="A387" t="s">
        <v>91</v>
      </c>
      <c r="B387" t="str">
        <f>TEXT(Tabla24[[#This Row],[Fecha]],"dddd")</f>
        <v>jueves</v>
      </c>
      <c r="C387" t="str">
        <f>TEXT(Tabla24[[#This Row],[Fecha]],"mmmm")</f>
        <v>septiembre</v>
      </c>
      <c r="D387" t="str">
        <f>TEXT(Tabla24[[#This Row],[Fecha]],"aaaa")</f>
        <v>2024</v>
      </c>
      <c r="E387" t="s">
        <v>22</v>
      </c>
      <c r="F387" t="s">
        <v>23</v>
      </c>
      <c r="G387" t="s">
        <v>13</v>
      </c>
      <c r="H387" t="s">
        <v>35</v>
      </c>
      <c r="I387" t="s">
        <v>15</v>
      </c>
      <c r="J387">
        <v>5</v>
      </c>
      <c r="K387">
        <v>26412</v>
      </c>
      <c r="L387">
        <f>Tabla24[[#This Row],[Precio_Unitario]]*Tabla24[[#This Row],[Unidades_Vendidas]]</f>
        <v>132060</v>
      </c>
      <c r="M387" t="s">
        <v>27</v>
      </c>
    </row>
    <row r="388" spans="1:13" x14ac:dyDescent="0.25">
      <c r="A388" t="s">
        <v>53</v>
      </c>
      <c r="B388" t="str">
        <f>TEXT(Tabla24[[#This Row],[Fecha]],"dddd")</f>
        <v>jueves</v>
      </c>
      <c r="C388" t="str">
        <f>TEXT(Tabla24[[#This Row],[Fecha]],"mmmm")</f>
        <v>mayo</v>
      </c>
      <c r="D388" t="str">
        <f>TEXT(Tabla24[[#This Row],[Fecha]],"aaaa")</f>
        <v>2024</v>
      </c>
      <c r="E388" t="s">
        <v>18</v>
      </c>
      <c r="F388" t="s">
        <v>29</v>
      </c>
      <c r="G388" t="s">
        <v>24</v>
      </c>
      <c r="H388" t="s">
        <v>19</v>
      </c>
      <c r="I388" t="s">
        <v>26</v>
      </c>
      <c r="J388">
        <v>13</v>
      </c>
      <c r="K388">
        <v>26787</v>
      </c>
      <c r="L388">
        <f>Tabla24[[#This Row],[Precio_Unitario]]*Tabla24[[#This Row],[Unidades_Vendidas]]</f>
        <v>348231</v>
      </c>
      <c r="M388" t="s">
        <v>16</v>
      </c>
    </row>
    <row r="389" spans="1:13" x14ac:dyDescent="0.25">
      <c r="A389" t="s">
        <v>131</v>
      </c>
      <c r="B389" t="str">
        <f>TEXT(Tabla24[[#This Row],[Fecha]],"dddd")</f>
        <v>lunes</v>
      </c>
      <c r="C389" t="str">
        <f>TEXT(Tabla24[[#This Row],[Fecha]],"mmmm")</f>
        <v>octubre</v>
      </c>
      <c r="D389" t="str">
        <f>TEXT(Tabla24[[#This Row],[Fecha]],"aaaa")</f>
        <v>2024</v>
      </c>
      <c r="E389" t="s">
        <v>42</v>
      </c>
      <c r="F389" t="s">
        <v>38</v>
      </c>
      <c r="G389" t="s">
        <v>39</v>
      </c>
      <c r="H389" t="s">
        <v>19</v>
      </c>
      <c r="I389" t="s">
        <v>26</v>
      </c>
      <c r="J389">
        <v>17</v>
      </c>
      <c r="K389">
        <v>38338</v>
      </c>
      <c r="L389">
        <f>Tabla24[[#This Row],[Precio_Unitario]]*Tabla24[[#This Row],[Unidades_Vendidas]]</f>
        <v>651746</v>
      </c>
      <c r="M389" t="s">
        <v>16</v>
      </c>
    </row>
    <row r="390" spans="1:13" x14ac:dyDescent="0.25">
      <c r="A390" t="s">
        <v>53</v>
      </c>
      <c r="B390" t="str">
        <f>TEXT(Tabla24[[#This Row],[Fecha]],"dddd")</f>
        <v>jueves</v>
      </c>
      <c r="C390" t="str">
        <f>TEXT(Tabla24[[#This Row],[Fecha]],"mmmm")</f>
        <v>mayo</v>
      </c>
      <c r="D390" t="str">
        <f>TEXT(Tabla24[[#This Row],[Fecha]],"aaaa")</f>
        <v>2024</v>
      </c>
      <c r="E390" t="s">
        <v>33</v>
      </c>
      <c r="F390" t="s">
        <v>23</v>
      </c>
      <c r="G390" t="s">
        <v>44</v>
      </c>
      <c r="H390" t="s">
        <v>14</v>
      </c>
      <c r="I390" t="s">
        <v>15</v>
      </c>
      <c r="J390">
        <v>11</v>
      </c>
      <c r="K390">
        <v>36294</v>
      </c>
      <c r="L390">
        <f>Tabla24[[#This Row],[Precio_Unitario]]*Tabla24[[#This Row],[Unidades_Vendidas]]</f>
        <v>399234</v>
      </c>
      <c r="M390" t="s">
        <v>20</v>
      </c>
    </row>
    <row r="391" spans="1:13" x14ac:dyDescent="0.25">
      <c r="A391" t="s">
        <v>285</v>
      </c>
      <c r="B391" t="str">
        <f>TEXT(Tabla24[[#This Row],[Fecha]],"dddd")</f>
        <v>miércoles</v>
      </c>
      <c r="C391" t="str">
        <f>TEXT(Tabla24[[#This Row],[Fecha]],"mmmm")</f>
        <v>octubre</v>
      </c>
      <c r="D391" t="str">
        <f>TEXT(Tabla24[[#This Row],[Fecha]],"aaaa")</f>
        <v>2024</v>
      </c>
      <c r="E391" t="s">
        <v>42</v>
      </c>
      <c r="F391" t="s">
        <v>12</v>
      </c>
      <c r="G391" t="s">
        <v>48</v>
      </c>
      <c r="H391" t="s">
        <v>35</v>
      </c>
      <c r="I391" t="s">
        <v>40</v>
      </c>
      <c r="J391">
        <v>16</v>
      </c>
      <c r="K391">
        <v>39929</v>
      </c>
      <c r="L391">
        <f>Tabla24[[#This Row],[Precio_Unitario]]*Tabla24[[#This Row],[Unidades_Vendidas]]</f>
        <v>638864</v>
      </c>
      <c r="M391" t="s">
        <v>36</v>
      </c>
    </row>
    <row r="392" spans="1:13" x14ac:dyDescent="0.25">
      <c r="A392" t="s">
        <v>255</v>
      </c>
      <c r="B392" t="str">
        <f>TEXT(Tabla24[[#This Row],[Fecha]],"dddd")</f>
        <v>domingo</v>
      </c>
      <c r="C392" t="str">
        <f>TEXT(Tabla24[[#This Row],[Fecha]],"mmmm")</f>
        <v>enero</v>
      </c>
      <c r="D392" t="str">
        <f>TEXT(Tabla24[[#This Row],[Fecha]],"aaaa")</f>
        <v>2024</v>
      </c>
      <c r="E392" t="s">
        <v>42</v>
      </c>
      <c r="F392" t="s">
        <v>38</v>
      </c>
      <c r="G392" t="s">
        <v>13</v>
      </c>
      <c r="H392" t="s">
        <v>35</v>
      </c>
      <c r="I392" t="s">
        <v>26</v>
      </c>
      <c r="J392">
        <v>16</v>
      </c>
      <c r="K392">
        <v>53652</v>
      </c>
      <c r="L392">
        <f>Tabla24[[#This Row],[Precio_Unitario]]*Tabla24[[#This Row],[Unidades_Vendidas]]</f>
        <v>858432</v>
      </c>
      <c r="M392" t="s">
        <v>36</v>
      </c>
    </row>
    <row r="393" spans="1:13" x14ac:dyDescent="0.25">
      <c r="A393" t="s">
        <v>286</v>
      </c>
      <c r="B393" t="str">
        <f>TEXT(Tabla24[[#This Row],[Fecha]],"dddd")</f>
        <v>domingo</v>
      </c>
      <c r="C393" t="str">
        <f>TEXT(Tabla24[[#This Row],[Fecha]],"mmmm")</f>
        <v>agosto</v>
      </c>
      <c r="D393" t="str">
        <f>TEXT(Tabla24[[#This Row],[Fecha]],"aaaa")</f>
        <v>2024</v>
      </c>
      <c r="E393" t="s">
        <v>22</v>
      </c>
      <c r="F393" t="s">
        <v>29</v>
      </c>
      <c r="G393" t="s">
        <v>24</v>
      </c>
      <c r="H393" t="s">
        <v>35</v>
      </c>
      <c r="I393" t="s">
        <v>40</v>
      </c>
      <c r="J393">
        <v>12</v>
      </c>
      <c r="K393">
        <v>53268</v>
      </c>
      <c r="L393">
        <f>Tabla24[[#This Row],[Precio_Unitario]]*Tabla24[[#This Row],[Unidades_Vendidas]]</f>
        <v>639216</v>
      </c>
      <c r="M393" t="s">
        <v>16</v>
      </c>
    </row>
    <row r="394" spans="1:13" x14ac:dyDescent="0.25">
      <c r="A394" t="s">
        <v>287</v>
      </c>
      <c r="B394" t="str">
        <f>TEXT(Tabla24[[#This Row],[Fecha]],"dddd")</f>
        <v>miércoles</v>
      </c>
      <c r="C394" t="str">
        <f>TEXT(Tabla24[[#This Row],[Fecha]],"mmmm")</f>
        <v>febrero</v>
      </c>
      <c r="D394" t="str">
        <f>TEXT(Tabla24[[#This Row],[Fecha]],"aaaa")</f>
        <v>2024</v>
      </c>
      <c r="E394" t="s">
        <v>42</v>
      </c>
      <c r="F394" t="s">
        <v>12</v>
      </c>
      <c r="G394" t="s">
        <v>44</v>
      </c>
      <c r="H394" t="s">
        <v>14</v>
      </c>
      <c r="I394" t="s">
        <v>15</v>
      </c>
      <c r="J394">
        <v>2</v>
      </c>
      <c r="K394">
        <v>21162</v>
      </c>
      <c r="L394">
        <f>Tabla24[[#This Row],[Precio_Unitario]]*Tabla24[[#This Row],[Unidades_Vendidas]]</f>
        <v>42324</v>
      </c>
      <c r="M394" t="s">
        <v>27</v>
      </c>
    </row>
    <row r="395" spans="1:13" x14ac:dyDescent="0.25">
      <c r="A395" t="s">
        <v>288</v>
      </c>
      <c r="B395" t="str">
        <f>TEXT(Tabla24[[#This Row],[Fecha]],"dddd")</f>
        <v>viernes</v>
      </c>
      <c r="C395" t="str">
        <f>TEXT(Tabla24[[#This Row],[Fecha]],"mmmm")</f>
        <v>junio</v>
      </c>
      <c r="D395" t="str">
        <f>TEXT(Tabla24[[#This Row],[Fecha]],"aaaa")</f>
        <v>2024</v>
      </c>
      <c r="E395" t="s">
        <v>18</v>
      </c>
      <c r="F395" t="s">
        <v>34</v>
      </c>
      <c r="G395" t="s">
        <v>24</v>
      </c>
      <c r="H395" t="s">
        <v>30</v>
      </c>
      <c r="I395" t="s">
        <v>40</v>
      </c>
      <c r="J395">
        <v>17</v>
      </c>
      <c r="K395">
        <v>54987</v>
      </c>
      <c r="L395">
        <f>Tabla24[[#This Row],[Precio_Unitario]]*Tabla24[[#This Row],[Unidades_Vendidas]]</f>
        <v>934779</v>
      </c>
      <c r="M395" t="s">
        <v>27</v>
      </c>
    </row>
    <row r="396" spans="1:13" x14ac:dyDescent="0.25">
      <c r="A396" t="s">
        <v>289</v>
      </c>
      <c r="B396" t="str">
        <f>TEXT(Tabla24[[#This Row],[Fecha]],"dddd")</f>
        <v>miércoles</v>
      </c>
      <c r="C396" t="str">
        <f>TEXT(Tabla24[[#This Row],[Fecha]],"mmmm")</f>
        <v>diciembre</v>
      </c>
      <c r="D396" t="str">
        <f>TEXT(Tabla24[[#This Row],[Fecha]],"aaaa")</f>
        <v>2024</v>
      </c>
      <c r="E396" t="s">
        <v>11</v>
      </c>
      <c r="F396" t="s">
        <v>34</v>
      </c>
      <c r="G396" t="s">
        <v>44</v>
      </c>
      <c r="H396" t="s">
        <v>19</v>
      </c>
      <c r="I396" t="s">
        <v>26</v>
      </c>
      <c r="J396">
        <v>7</v>
      </c>
      <c r="K396">
        <v>16691</v>
      </c>
      <c r="L396">
        <f>Tabla24[[#This Row],[Precio_Unitario]]*Tabla24[[#This Row],[Unidades_Vendidas]]</f>
        <v>116837</v>
      </c>
      <c r="M396" t="s">
        <v>36</v>
      </c>
    </row>
    <row r="397" spans="1:13" x14ac:dyDescent="0.25">
      <c r="A397" t="s">
        <v>290</v>
      </c>
      <c r="B397" t="str">
        <f>TEXT(Tabla24[[#This Row],[Fecha]],"dddd")</f>
        <v>miércoles</v>
      </c>
      <c r="C397" t="str">
        <f>TEXT(Tabla24[[#This Row],[Fecha]],"mmmm")</f>
        <v>julio</v>
      </c>
      <c r="D397" t="str">
        <f>TEXT(Tabla24[[#This Row],[Fecha]],"aaaa")</f>
        <v>2024</v>
      </c>
      <c r="E397" t="s">
        <v>42</v>
      </c>
      <c r="F397" t="s">
        <v>34</v>
      </c>
      <c r="G397" t="s">
        <v>48</v>
      </c>
      <c r="H397" t="s">
        <v>30</v>
      </c>
      <c r="I397" t="s">
        <v>40</v>
      </c>
      <c r="J397">
        <v>3</v>
      </c>
      <c r="K397">
        <v>16888</v>
      </c>
      <c r="L397">
        <f>Tabla24[[#This Row],[Precio_Unitario]]*Tabla24[[#This Row],[Unidades_Vendidas]]</f>
        <v>50664</v>
      </c>
      <c r="M397" t="s">
        <v>20</v>
      </c>
    </row>
    <row r="398" spans="1:13" x14ac:dyDescent="0.25">
      <c r="A398" t="s">
        <v>215</v>
      </c>
      <c r="B398" t="str">
        <f>TEXT(Tabla24[[#This Row],[Fecha]],"dddd")</f>
        <v>domingo</v>
      </c>
      <c r="C398" t="str">
        <f>TEXT(Tabla24[[#This Row],[Fecha]],"mmmm")</f>
        <v>mayo</v>
      </c>
      <c r="D398" t="str">
        <f>TEXT(Tabla24[[#This Row],[Fecha]],"aaaa")</f>
        <v>2024</v>
      </c>
      <c r="E398" t="s">
        <v>11</v>
      </c>
      <c r="F398" t="s">
        <v>38</v>
      </c>
      <c r="G398" t="s">
        <v>48</v>
      </c>
      <c r="H398" t="s">
        <v>30</v>
      </c>
      <c r="I398" t="s">
        <v>40</v>
      </c>
      <c r="J398">
        <v>15</v>
      </c>
      <c r="K398">
        <v>27357</v>
      </c>
      <c r="L398">
        <f>Tabla24[[#This Row],[Precio_Unitario]]*Tabla24[[#This Row],[Unidades_Vendidas]]</f>
        <v>410355</v>
      </c>
      <c r="M398" t="s">
        <v>16</v>
      </c>
    </row>
    <row r="399" spans="1:13" x14ac:dyDescent="0.25">
      <c r="A399" t="s">
        <v>291</v>
      </c>
      <c r="B399" t="str">
        <f>TEXT(Tabla24[[#This Row],[Fecha]],"dddd")</f>
        <v>lunes</v>
      </c>
      <c r="C399" t="str">
        <f>TEXT(Tabla24[[#This Row],[Fecha]],"mmmm")</f>
        <v>febrero</v>
      </c>
      <c r="D399" t="str">
        <f>TEXT(Tabla24[[#This Row],[Fecha]],"aaaa")</f>
        <v>2024</v>
      </c>
      <c r="E399" t="s">
        <v>33</v>
      </c>
      <c r="F399" t="s">
        <v>23</v>
      </c>
      <c r="G399" t="s">
        <v>39</v>
      </c>
      <c r="H399" t="s">
        <v>25</v>
      </c>
      <c r="I399" t="s">
        <v>40</v>
      </c>
      <c r="J399">
        <v>8</v>
      </c>
      <c r="K399">
        <v>32428</v>
      </c>
      <c r="L399">
        <f>Tabla24[[#This Row],[Precio_Unitario]]*Tabla24[[#This Row],[Unidades_Vendidas]]</f>
        <v>259424</v>
      </c>
      <c r="M399" t="s">
        <v>27</v>
      </c>
    </row>
    <row r="400" spans="1:13" x14ac:dyDescent="0.25">
      <c r="A400" t="s">
        <v>60</v>
      </c>
      <c r="B400" t="str">
        <f>TEXT(Tabla24[[#This Row],[Fecha]],"dddd")</f>
        <v>lunes</v>
      </c>
      <c r="C400" t="str">
        <f>TEXT(Tabla24[[#This Row],[Fecha]],"mmmm")</f>
        <v>junio</v>
      </c>
      <c r="D400" t="str">
        <f>TEXT(Tabla24[[#This Row],[Fecha]],"aaaa")</f>
        <v>2024</v>
      </c>
      <c r="E400" t="s">
        <v>18</v>
      </c>
      <c r="F400" t="s">
        <v>34</v>
      </c>
      <c r="G400" t="s">
        <v>24</v>
      </c>
      <c r="H400" t="s">
        <v>25</v>
      </c>
      <c r="I400" t="s">
        <v>15</v>
      </c>
      <c r="J400">
        <v>18</v>
      </c>
      <c r="K400">
        <v>54106</v>
      </c>
      <c r="L400">
        <f>Tabla24[[#This Row],[Precio_Unitario]]*Tabla24[[#This Row],[Unidades_Vendidas]]</f>
        <v>973908</v>
      </c>
      <c r="M400" t="s">
        <v>27</v>
      </c>
    </row>
    <row r="401" spans="1:13" x14ac:dyDescent="0.25">
      <c r="A401" t="s">
        <v>71</v>
      </c>
      <c r="B401" t="str">
        <f>TEXT(Tabla24[[#This Row],[Fecha]],"dddd")</f>
        <v>martes</v>
      </c>
      <c r="C401" t="str">
        <f>TEXT(Tabla24[[#This Row],[Fecha]],"mmmm")</f>
        <v>julio</v>
      </c>
      <c r="D401" t="str">
        <f>TEXT(Tabla24[[#This Row],[Fecha]],"aaaa")</f>
        <v>2024</v>
      </c>
      <c r="E401" t="s">
        <v>18</v>
      </c>
      <c r="F401" t="s">
        <v>29</v>
      </c>
      <c r="G401" t="s">
        <v>24</v>
      </c>
      <c r="H401" t="s">
        <v>35</v>
      </c>
      <c r="I401" t="s">
        <v>40</v>
      </c>
      <c r="J401">
        <v>5</v>
      </c>
      <c r="K401">
        <v>51488</v>
      </c>
      <c r="L401">
        <f>Tabla24[[#This Row],[Precio_Unitario]]*Tabla24[[#This Row],[Unidades_Vendidas]]</f>
        <v>257440</v>
      </c>
      <c r="M401" t="s">
        <v>27</v>
      </c>
    </row>
    <row r="402" spans="1:13" x14ac:dyDescent="0.25">
      <c r="A402" t="s">
        <v>90</v>
      </c>
      <c r="B402" t="str">
        <f>TEXT(Tabla24[[#This Row],[Fecha]],"dddd")</f>
        <v>miércoles</v>
      </c>
      <c r="C402" t="str">
        <f>TEXT(Tabla24[[#This Row],[Fecha]],"mmmm")</f>
        <v>enero</v>
      </c>
      <c r="D402" t="str">
        <f>TEXT(Tabla24[[#This Row],[Fecha]],"aaaa")</f>
        <v>2024</v>
      </c>
      <c r="E402" t="s">
        <v>33</v>
      </c>
      <c r="F402" t="s">
        <v>29</v>
      </c>
      <c r="G402" t="s">
        <v>44</v>
      </c>
      <c r="H402" t="s">
        <v>14</v>
      </c>
      <c r="I402" t="s">
        <v>40</v>
      </c>
      <c r="J402">
        <v>11</v>
      </c>
      <c r="K402">
        <v>50594</v>
      </c>
      <c r="L402">
        <f>Tabla24[[#This Row],[Precio_Unitario]]*Tabla24[[#This Row],[Unidades_Vendidas]]</f>
        <v>556534</v>
      </c>
      <c r="M402" t="s">
        <v>36</v>
      </c>
    </row>
    <row r="403" spans="1:13" x14ac:dyDescent="0.25">
      <c r="A403" t="s">
        <v>292</v>
      </c>
      <c r="B403" t="str">
        <f>TEXT(Tabla24[[#This Row],[Fecha]],"dddd")</f>
        <v>sábado</v>
      </c>
      <c r="C403" t="str">
        <f>TEXT(Tabla24[[#This Row],[Fecha]],"mmmm")</f>
        <v>junio</v>
      </c>
      <c r="D403" t="str">
        <f>TEXT(Tabla24[[#This Row],[Fecha]],"aaaa")</f>
        <v>2024</v>
      </c>
      <c r="E403" t="s">
        <v>18</v>
      </c>
      <c r="F403" t="s">
        <v>29</v>
      </c>
      <c r="G403" t="s">
        <v>48</v>
      </c>
      <c r="H403" t="s">
        <v>35</v>
      </c>
      <c r="I403" t="s">
        <v>26</v>
      </c>
      <c r="J403">
        <v>19</v>
      </c>
      <c r="K403">
        <v>36743</v>
      </c>
      <c r="L403">
        <f>Tabla24[[#This Row],[Precio_Unitario]]*Tabla24[[#This Row],[Unidades_Vendidas]]</f>
        <v>698117</v>
      </c>
      <c r="M403" t="s">
        <v>16</v>
      </c>
    </row>
    <row r="404" spans="1:13" x14ac:dyDescent="0.25">
      <c r="A404" t="s">
        <v>65</v>
      </c>
      <c r="B404" t="str">
        <f>TEXT(Tabla24[[#This Row],[Fecha]],"dddd")</f>
        <v>viernes</v>
      </c>
      <c r="C404" t="str">
        <f>TEXT(Tabla24[[#This Row],[Fecha]],"mmmm")</f>
        <v>abril</v>
      </c>
      <c r="D404" t="str">
        <f>TEXT(Tabla24[[#This Row],[Fecha]],"aaaa")</f>
        <v>2024</v>
      </c>
      <c r="E404" t="s">
        <v>42</v>
      </c>
      <c r="F404" t="s">
        <v>23</v>
      </c>
      <c r="G404" t="s">
        <v>13</v>
      </c>
      <c r="H404" t="s">
        <v>30</v>
      </c>
      <c r="I404" t="s">
        <v>40</v>
      </c>
      <c r="J404">
        <v>6</v>
      </c>
      <c r="K404">
        <v>43612</v>
      </c>
      <c r="L404">
        <f>Tabla24[[#This Row],[Precio_Unitario]]*Tabla24[[#This Row],[Unidades_Vendidas]]</f>
        <v>261672</v>
      </c>
      <c r="M404" t="s">
        <v>16</v>
      </c>
    </row>
    <row r="405" spans="1:13" x14ac:dyDescent="0.25">
      <c r="A405" t="s">
        <v>176</v>
      </c>
      <c r="B405" t="str">
        <f>TEXT(Tabla24[[#This Row],[Fecha]],"dddd")</f>
        <v>domingo</v>
      </c>
      <c r="C405" t="str">
        <f>TEXT(Tabla24[[#This Row],[Fecha]],"mmmm")</f>
        <v>septiembre</v>
      </c>
      <c r="D405" t="str">
        <f>TEXT(Tabla24[[#This Row],[Fecha]],"aaaa")</f>
        <v>2024</v>
      </c>
      <c r="E405" t="s">
        <v>22</v>
      </c>
      <c r="F405" t="s">
        <v>34</v>
      </c>
      <c r="G405" t="s">
        <v>44</v>
      </c>
      <c r="H405" t="s">
        <v>35</v>
      </c>
      <c r="I405" t="s">
        <v>40</v>
      </c>
      <c r="J405">
        <v>7</v>
      </c>
      <c r="K405">
        <v>23413</v>
      </c>
      <c r="L405">
        <f>Tabla24[[#This Row],[Precio_Unitario]]*Tabla24[[#This Row],[Unidades_Vendidas]]</f>
        <v>163891</v>
      </c>
      <c r="M405" t="s">
        <v>36</v>
      </c>
    </row>
    <row r="406" spans="1:13" x14ac:dyDescent="0.25">
      <c r="A406" t="s">
        <v>198</v>
      </c>
      <c r="B406" t="str">
        <f>TEXT(Tabla24[[#This Row],[Fecha]],"dddd")</f>
        <v>viernes</v>
      </c>
      <c r="C406" t="str">
        <f>TEXT(Tabla24[[#This Row],[Fecha]],"mmmm")</f>
        <v>marzo</v>
      </c>
      <c r="D406" t="str">
        <f>TEXT(Tabla24[[#This Row],[Fecha]],"aaaa")</f>
        <v>2024</v>
      </c>
      <c r="E406" t="s">
        <v>42</v>
      </c>
      <c r="F406" t="s">
        <v>34</v>
      </c>
      <c r="G406" t="s">
        <v>13</v>
      </c>
      <c r="H406" t="s">
        <v>14</v>
      </c>
      <c r="I406" t="s">
        <v>15</v>
      </c>
      <c r="J406">
        <v>6</v>
      </c>
      <c r="K406">
        <v>31301</v>
      </c>
      <c r="L406">
        <f>Tabla24[[#This Row],[Precio_Unitario]]*Tabla24[[#This Row],[Unidades_Vendidas]]</f>
        <v>187806</v>
      </c>
      <c r="M406" t="s">
        <v>16</v>
      </c>
    </row>
    <row r="407" spans="1:13" x14ac:dyDescent="0.25">
      <c r="A407" t="s">
        <v>267</v>
      </c>
      <c r="B407" t="str">
        <f>TEXT(Tabla24[[#This Row],[Fecha]],"dddd")</f>
        <v>martes</v>
      </c>
      <c r="C407" t="str">
        <f>TEXT(Tabla24[[#This Row],[Fecha]],"mmmm")</f>
        <v>febrero</v>
      </c>
      <c r="D407" t="str">
        <f>TEXT(Tabla24[[#This Row],[Fecha]],"aaaa")</f>
        <v>2024</v>
      </c>
      <c r="E407" t="s">
        <v>22</v>
      </c>
      <c r="F407" t="s">
        <v>23</v>
      </c>
      <c r="G407" t="s">
        <v>39</v>
      </c>
      <c r="H407" t="s">
        <v>30</v>
      </c>
      <c r="I407" t="s">
        <v>40</v>
      </c>
      <c r="J407">
        <v>20</v>
      </c>
      <c r="K407">
        <v>31587</v>
      </c>
      <c r="L407">
        <f>Tabla24[[#This Row],[Precio_Unitario]]*Tabla24[[#This Row],[Unidades_Vendidas]]</f>
        <v>631740</v>
      </c>
      <c r="M407" t="s">
        <v>27</v>
      </c>
    </row>
    <row r="408" spans="1:13" x14ac:dyDescent="0.25">
      <c r="A408" t="s">
        <v>142</v>
      </c>
      <c r="B408" t="str">
        <f>TEXT(Tabla24[[#This Row],[Fecha]],"dddd")</f>
        <v>jueves</v>
      </c>
      <c r="C408" t="str">
        <f>TEXT(Tabla24[[#This Row],[Fecha]],"mmmm")</f>
        <v>julio</v>
      </c>
      <c r="D408" t="str">
        <f>TEXT(Tabla24[[#This Row],[Fecha]],"aaaa")</f>
        <v>2024</v>
      </c>
      <c r="E408" t="s">
        <v>22</v>
      </c>
      <c r="F408" t="s">
        <v>34</v>
      </c>
      <c r="G408" t="s">
        <v>24</v>
      </c>
      <c r="H408" t="s">
        <v>14</v>
      </c>
      <c r="I408" t="s">
        <v>15</v>
      </c>
      <c r="J408">
        <v>7</v>
      </c>
      <c r="K408">
        <v>42733</v>
      </c>
      <c r="L408">
        <f>Tabla24[[#This Row],[Precio_Unitario]]*Tabla24[[#This Row],[Unidades_Vendidas]]</f>
        <v>299131</v>
      </c>
      <c r="M408" t="s">
        <v>20</v>
      </c>
    </row>
    <row r="409" spans="1:13" x14ac:dyDescent="0.25">
      <c r="A409" t="s">
        <v>99</v>
      </c>
      <c r="B409" t="str">
        <f>TEXT(Tabla24[[#This Row],[Fecha]],"dddd")</f>
        <v>martes</v>
      </c>
      <c r="C409" t="str">
        <f>TEXT(Tabla24[[#This Row],[Fecha]],"mmmm")</f>
        <v>abril</v>
      </c>
      <c r="D409" t="str">
        <f>TEXT(Tabla24[[#This Row],[Fecha]],"aaaa")</f>
        <v>2024</v>
      </c>
      <c r="E409" t="s">
        <v>33</v>
      </c>
      <c r="F409" t="s">
        <v>38</v>
      </c>
      <c r="G409" t="s">
        <v>44</v>
      </c>
      <c r="H409" t="s">
        <v>25</v>
      </c>
      <c r="I409" t="s">
        <v>40</v>
      </c>
      <c r="J409">
        <v>9</v>
      </c>
      <c r="K409">
        <v>29502</v>
      </c>
      <c r="L409">
        <f>Tabla24[[#This Row],[Precio_Unitario]]*Tabla24[[#This Row],[Unidades_Vendidas]]</f>
        <v>265518</v>
      </c>
      <c r="M409" t="s">
        <v>20</v>
      </c>
    </row>
    <row r="410" spans="1:13" x14ac:dyDescent="0.25">
      <c r="A410" t="s">
        <v>293</v>
      </c>
      <c r="B410" t="str">
        <f>TEXT(Tabla24[[#This Row],[Fecha]],"dddd")</f>
        <v>jueves</v>
      </c>
      <c r="C410" t="str">
        <f>TEXT(Tabla24[[#This Row],[Fecha]],"mmmm")</f>
        <v>mayo</v>
      </c>
      <c r="D410" t="str">
        <f>TEXT(Tabla24[[#This Row],[Fecha]],"aaaa")</f>
        <v>2024</v>
      </c>
      <c r="E410" t="s">
        <v>22</v>
      </c>
      <c r="F410" t="s">
        <v>12</v>
      </c>
      <c r="G410" t="s">
        <v>39</v>
      </c>
      <c r="H410" t="s">
        <v>35</v>
      </c>
      <c r="I410" t="s">
        <v>15</v>
      </c>
      <c r="J410">
        <v>9</v>
      </c>
      <c r="K410">
        <v>40629</v>
      </c>
      <c r="L410">
        <f>Tabla24[[#This Row],[Precio_Unitario]]*Tabla24[[#This Row],[Unidades_Vendidas]]</f>
        <v>365661</v>
      </c>
      <c r="M410" t="s">
        <v>36</v>
      </c>
    </row>
    <row r="411" spans="1:13" x14ac:dyDescent="0.25">
      <c r="A411" t="s">
        <v>198</v>
      </c>
      <c r="B411" t="str">
        <f>TEXT(Tabla24[[#This Row],[Fecha]],"dddd")</f>
        <v>viernes</v>
      </c>
      <c r="C411" t="str">
        <f>TEXT(Tabla24[[#This Row],[Fecha]],"mmmm")</f>
        <v>marzo</v>
      </c>
      <c r="D411" t="str">
        <f>TEXT(Tabla24[[#This Row],[Fecha]],"aaaa")</f>
        <v>2024</v>
      </c>
      <c r="E411" t="s">
        <v>11</v>
      </c>
      <c r="F411" t="s">
        <v>38</v>
      </c>
      <c r="G411" t="s">
        <v>44</v>
      </c>
      <c r="H411" t="s">
        <v>19</v>
      </c>
      <c r="I411" t="s">
        <v>15</v>
      </c>
      <c r="J411">
        <v>1</v>
      </c>
      <c r="K411">
        <v>33510</v>
      </c>
      <c r="L411">
        <f>Tabla24[[#This Row],[Precio_Unitario]]*Tabla24[[#This Row],[Unidades_Vendidas]]</f>
        <v>33510</v>
      </c>
      <c r="M411" t="s">
        <v>20</v>
      </c>
    </row>
    <row r="412" spans="1:13" x14ac:dyDescent="0.25">
      <c r="A412" t="s">
        <v>294</v>
      </c>
      <c r="B412" t="str">
        <f>TEXT(Tabla24[[#This Row],[Fecha]],"dddd")</f>
        <v>domingo</v>
      </c>
      <c r="C412" t="str">
        <f>TEXT(Tabla24[[#This Row],[Fecha]],"mmmm")</f>
        <v>febrero</v>
      </c>
      <c r="D412" t="str">
        <f>TEXT(Tabla24[[#This Row],[Fecha]],"aaaa")</f>
        <v>2024</v>
      </c>
      <c r="E412" t="s">
        <v>18</v>
      </c>
      <c r="F412" t="s">
        <v>29</v>
      </c>
      <c r="G412" t="s">
        <v>24</v>
      </c>
      <c r="H412" t="s">
        <v>14</v>
      </c>
      <c r="I412" t="s">
        <v>26</v>
      </c>
      <c r="J412">
        <v>16</v>
      </c>
      <c r="K412">
        <v>32262</v>
      </c>
      <c r="L412">
        <f>Tabla24[[#This Row],[Precio_Unitario]]*Tabla24[[#This Row],[Unidades_Vendidas]]</f>
        <v>516192</v>
      </c>
      <c r="M412" t="s">
        <v>20</v>
      </c>
    </row>
    <row r="413" spans="1:13" x14ac:dyDescent="0.25">
      <c r="A413" t="s">
        <v>245</v>
      </c>
      <c r="B413" t="str">
        <f>TEXT(Tabla24[[#This Row],[Fecha]],"dddd")</f>
        <v>domingo</v>
      </c>
      <c r="C413" t="str">
        <f>TEXT(Tabla24[[#This Row],[Fecha]],"mmmm")</f>
        <v>julio</v>
      </c>
      <c r="D413" t="str">
        <f>TEXT(Tabla24[[#This Row],[Fecha]],"aaaa")</f>
        <v>2024</v>
      </c>
      <c r="E413" t="s">
        <v>18</v>
      </c>
      <c r="F413" t="s">
        <v>38</v>
      </c>
      <c r="G413" t="s">
        <v>13</v>
      </c>
      <c r="H413" t="s">
        <v>35</v>
      </c>
      <c r="I413" t="s">
        <v>40</v>
      </c>
      <c r="J413">
        <v>9</v>
      </c>
      <c r="K413">
        <v>50685</v>
      </c>
      <c r="L413">
        <f>Tabla24[[#This Row],[Precio_Unitario]]*Tabla24[[#This Row],[Unidades_Vendidas]]</f>
        <v>456165</v>
      </c>
      <c r="M413" t="s">
        <v>16</v>
      </c>
    </row>
    <row r="414" spans="1:13" x14ac:dyDescent="0.25">
      <c r="A414" t="s">
        <v>69</v>
      </c>
      <c r="B414" t="str">
        <f>TEXT(Tabla24[[#This Row],[Fecha]],"dddd")</f>
        <v>lunes</v>
      </c>
      <c r="C414" t="str">
        <f>TEXT(Tabla24[[#This Row],[Fecha]],"mmmm")</f>
        <v>abril</v>
      </c>
      <c r="D414" t="str">
        <f>TEXT(Tabla24[[#This Row],[Fecha]],"aaaa")</f>
        <v>2024</v>
      </c>
      <c r="E414" t="s">
        <v>22</v>
      </c>
      <c r="F414" t="s">
        <v>12</v>
      </c>
      <c r="G414" t="s">
        <v>44</v>
      </c>
      <c r="H414" t="s">
        <v>19</v>
      </c>
      <c r="I414" t="s">
        <v>15</v>
      </c>
      <c r="J414">
        <v>1</v>
      </c>
      <c r="K414">
        <v>27813</v>
      </c>
      <c r="L414">
        <f>Tabla24[[#This Row],[Precio_Unitario]]*Tabla24[[#This Row],[Unidades_Vendidas]]</f>
        <v>27813</v>
      </c>
      <c r="M414" t="s">
        <v>27</v>
      </c>
    </row>
    <row r="415" spans="1:13" x14ac:dyDescent="0.25">
      <c r="A415" t="s">
        <v>272</v>
      </c>
      <c r="B415" t="str">
        <f>TEXT(Tabla24[[#This Row],[Fecha]],"dddd")</f>
        <v>lunes</v>
      </c>
      <c r="C415" t="str">
        <f>TEXT(Tabla24[[#This Row],[Fecha]],"mmmm")</f>
        <v>abril</v>
      </c>
      <c r="D415" t="str">
        <f>TEXT(Tabla24[[#This Row],[Fecha]],"aaaa")</f>
        <v>2024</v>
      </c>
      <c r="E415" t="s">
        <v>18</v>
      </c>
      <c r="F415" t="s">
        <v>38</v>
      </c>
      <c r="G415" t="s">
        <v>39</v>
      </c>
      <c r="H415" t="s">
        <v>25</v>
      </c>
      <c r="I415" t="s">
        <v>26</v>
      </c>
      <c r="J415">
        <v>20</v>
      </c>
      <c r="K415">
        <v>45540</v>
      </c>
      <c r="L415">
        <f>Tabla24[[#This Row],[Precio_Unitario]]*Tabla24[[#This Row],[Unidades_Vendidas]]</f>
        <v>910800</v>
      </c>
      <c r="M415" t="s">
        <v>16</v>
      </c>
    </row>
    <row r="416" spans="1:13" x14ac:dyDescent="0.25">
      <c r="A416" t="s">
        <v>257</v>
      </c>
      <c r="B416" t="str">
        <f>TEXT(Tabla24[[#This Row],[Fecha]],"dddd")</f>
        <v>viernes</v>
      </c>
      <c r="C416" t="str">
        <f>TEXT(Tabla24[[#This Row],[Fecha]],"mmmm")</f>
        <v>marzo</v>
      </c>
      <c r="D416" t="str">
        <f>TEXT(Tabla24[[#This Row],[Fecha]],"aaaa")</f>
        <v>2024</v>
      </c>
      <c r="E416" t="s">
        <v>18</v>
      </c>
      <c r="F416" t="s">
        <v>23</v>
      </c>
      <c r="G416" t="s">
        <v>48</v>
      </c>
      <c r="H416" t="s">
        <v>25</v>
      </c>
      <c r="I416" t="s">
        <v>26</v>
      </c>
      <c r="J416">
        <v>18</v>
      </c>
      <c r="K416">
        <v>29335</v>
      </c>
      <c r="L416">
        <f>Tabla24[[#This Row],[Precio_Unitario]]*Tabla24[[#This Row],[Unidades_Vendidas]]</f>
        <v>528030</v>
      </c>
      <c r="M416" t="s">
        <v>36</v>
      </c>
    </row>
    <row r="417" spans="1:13" x14ac:dyDescent="0.25">
      <c r="A417" t="s">
        <v>163</v>
      </c>
      <c r="B417" t="str">
        <f>TEXT(Tabla24[[#This Row],[Fecha]],"dddd")</f>
        <v>miércoles</v>
      </c>
      <c r="C417" t="str">
        <f>TEXT(Tabla24[[#This Row],[Fecha]],"mmmm")</f>
        <v>octubre</v>
      </c>
      <c r="D417" t="str">
        <f>TEXT(Tabla24[[#This Row],[Fecha]],"aaaa")</f>
        <v>2024</v>
      </c>
      <c r="E417" t="s">
        <v>11</v>
      </c>
      <c r="F417" t="s">
        <v>23</v>
      </c>
      <c r="G417" t="s">
        <v>48</v>
      </c>
      <c r="H417" t="s">
        <v>35</v>
      </c>
      <c r="I417" t="s">
        <v>40</v>
      </c>
      <c r="J417">
        <v>12</v>
      </c>
      <c r="K417">
        <v>55928</v>
      </c>
      <c r="L417">
        <f>Tabla24[[#This Row],[Precio_Unitario]]*Tabla24[[#This Row],[Unidades_Vendidas]]</f>
        <v>671136</v>
      </c>
      <c r="M417" t="s">
        <v>27</v>
      </c>
    </row>
    <row r="418" spans="1:13" x14ac:dyDescent="0.25">
      <c r="A418" t="s">
        <v>61</v>
      </c>
      <c r="B418" t="str">
        <f>TEXT(Tabla24[[#This Row],[Fecha]],"dddd")</f>
        <v>domingo</v>
      </c>
      <c r="C418" t="str">
        <f>TEXT(Tabla24[[#This Row],[Fecha]],"mmmm")</f>
        <v>abril</v>
      </c>
      <c r="D418" t="str">
        <f>TEXT(Tabla24[[#This Row],[Fecha]],"aaaa")</f>
        <v>2024</v>
      </c>
      <c r="E418" t="s">
        <v>33</v>
      </c>
      <c r="F418" t="s">
        <v>12</v>
      </c>
      <c r="G418" t="s">
        <v>24</v>
      </c>
      <c r="H418" t="s">
        <v>19</v>
      </c>
      <c r="I418" t="s">
        <v>15</v>
      </c>
      <c r="J418">
        <v>8</v>
      </c>
      <c r="K418">
        <v>31309</v>
      </c>
      <c r="L418">
        <f>Tabla24[[#This Row],[Precio_Unitario]]*Tabla24[[#This Row],[Unidades_Vendidas]]</f>
        <v>250472</v>
      </c>
      <c r="M418" t="s">
        <v>36</v>
      </c>
    </row>
    <row r="419" spans="1:13" x14ac:dyDescent="0.25">
      <c r="A419" t="s">
        <v>176</v>
      </c>
      <c r="B419" t="str">
        <f>TEXT(Tabla24[[#This Row],[Fecha]],"dddd")</f>
        <v>domingo</v>
      </c>
      <c r="C419" t="str">
        <f>TEXT(Tabla24[[#This Row],[Fecha]],"mmmm")</f>
        <v>septiembre</v>
      </c>
      <c r="D419" t="str">
        <f>TEXT(Tabla24[[#This Row],[Fecha]],"aaaa")</f>
        <v>2024</v>
      </c>
      <c r="E419" t="s">
        <v>11</v>
      </c>
      <c r="F419" t="s">
        <v>23</v>
      </c>
      <c r="G419" t="s">
        <v>24</v>
      </c>
      <c r="H419" t="s">
        <v>19</v>
      </c>
      <c r="I419" t="s">
        <v>40</v>
      </c>
      <c r="J419">
        <v>2</v>
      </c>
      <c r="K419">
        <v>15437</v>
      </c>
      <c r="L419">
        <f>Tabla24[[#This Row],[Precio_Unitario]]*Tabla24[[#This Row],[Unidades_Vendidas]]</f>
        <v>30874</v>
      </c>
      <c r="M419" t="s">
        <v>27</v>
      </c>
    </row>
    <row r="420" spans="1:13" x14ac:dyDescent="0.25">
      <c r="A420" t="s">
        <v>295</v>
      </c>
      <c r="B420" t="str">
        <f>TEXT(Tabla24[[#This Row],[Fecha]],"dddd")</f>
        <v>domingo</v>
      </c>
      <c r="C420" t="str">
        <f>TEXT(Tabla24[[#This Row],[Fecha]],"mmmm")</f>
        <v>abril</v>
      </c>
      <c r="D420" t="str">
        <f>TEXT(Tabla24[[#This Row],[Fecha]],"aaaa")</f>
        <v>2024</v>
      </c>
      <c r="E420" t="s">
        <v>42</v>
      </c>
      <c r="F420" t="s">
        <v>23</v>
      </c>
      <c r="G420" t="s">
        <v>24</v>
      </c>
      <c r="H420" t="s">
        <v>35</v>
      </c>
      <c r="I420" t="s">
        <v>15</v>
      </c>
      <c r="J420">
        <v>8</v>
      </c>
      <c r="K420">
        <v>46932</v>
      </c>
      <c r="L420">
        <f>Tabla24[[#This Row],[Precio_Unitario]]*Tabla24[[#This Row],[Unidades_Vendidas]]</f>
        <v>375456</v>
      </c>
      <c r="M420" t="s">
        <v>27</v>
      </c>
    </row>
    <row r="421" spans="1:13" x14ac:dyDescent="0.25">
      <c r="A421" t="s">
        <v>132</v>
      </c>
      <c r="B421" t="str">
        <f>TEXT(Tabla24[[#This Row],[Fecha]],"dddd")</f>
        <v>jueves</v>
      </c>
      <c r="C421" t="str">
        <f>TEXT(Tabla24[[#This Row],[Fecha]],"mmmm")</f>
        <v>enero</v>
      </c>
      <c r="D421" t="str">
        <f>TEXT(Tabla24[[#This Row],[Fecha]],"aaaa")</f>
        <v>2024</v>
      </c>
      <c r="E421" t="s">
        <v>33</v>
      </c>
      <c r="F421" t="s">
        <v>34</v>
      </c>
      <c r="G421" t="s">
        <v>24</v>
      </c>
      <c r="H421" t="s">
        <v>35</v>
      </c>
      <c r="I421" t="s">
        <v>15</v>
      </c>
      <c r="J421">
        <v>18</v>
      </c>
      <c r="K421">
        <v>23033</v>
      </c>
      <c r="L421">
        <f>Tabla24[[#This Row],[Precio_Unitario]]*Tabla24[[#This Row],[Unidades_Vendidas]]</f>
        <v>414594</v>
      </c>
      <c r="M421" t="s">
        <v>27</v>
      </c>
    </row>
    <row r="422" spans="1:13" x14ac:dyDescent="0.25">
      <c r="A422" t="s">
        <v>296</v>
      </c>
      <c r="B422" t="str">
        <f>TEXT(Tabla24[[#This Row],[Fecha]],"dddd")</f>
        <v>miércoles</v>
      </c>
      <c r="C422" t="str">
        <f>TEXT(Tabla24[[#This Row],[Fecha]],"mmmm")</f>
        <v>abril</v>
      </c>
      <c r="D422" t="str">
        <f>TEXT(Tabla24[[#This Row],[Fecha]],"aaaa")</f>
        <v>2024</v>
      </c>
      <c r="E422" t="s">
        <v>18</v>
      </c>
      <c r="F422" t="s">
        <v>38</v>
      </c>
      <c r="G422" t="s">
        <v>24</v>
      </c>
      <c r="H422" t="s">
        <v>14</v>
      </c>
      <c r="I422" t="s">
        <v>40</v>
      </c>
      <c r="J422">
        <v>4</v>
      </c>
      <c r="K422">
        <v>37230</v>
      </c>
      <c r="L422">
        <f>Tabla24[[#This Row],[Precio_Unitario]]*Tabla24[[#This Row],[Unidades_Vendidas]]</f>
        <v>148920</v>
      </c>
      <c r="M422" t="s">
        <v>16</v>
      </c>
    </row>
    <row r="423" spans="1:13" x14ac:dyDescent="0.25">
      <c r="A423" t="s">
        <v>285</v>
      </c>
      <c r="B423" t="str">
        <f>TEXT(Tabla24[[#This Row],[Fecha]],"dddd")</f>
        <v>miércoles</v>
      </c>
      <c r="C423" t="str">
        <f>TEXT(Tabla24[[#This Row],[Fecha]],"mmmm")</f>
        <v>octubre</v>
      </c>
      <c r="D423" t="str">
        <f>TEXT(Tabla24[[#This Row],[Fecha]],"aaaa")</f>
        <v>2024</v>
      </c>
      <c r="E423" t="s">
        <v>18</v>
      </c>
      <c r="F423" t="s">
        <v>12</v>
      </c>
      <c r="G423" t="s">
        <v>13</v>
      </c>
      <c r="H423" t="s">
        <v>35</v>
      </c>
      <c r="I423" t="s">
        <v>15</v>
      </c>
      <c r="J423">
        <v>3</v>
      </c>
      <c r="K423">
        <v>16902</v>
      </c>
      <c r="L423">
        <f>Tabla24[[#This Row],[Precio_Unitario]]*Tabla24[[#This Row],[Unidades_Vendidas]]</f>
        <v>50706</v>
      </c>
      <c r="M423" t="s">
        <v>27</v>
      </c>
    </row>
    <row r="424" spans="1:13" x14ac:dyDescent="0.25">
      <c r="A424" t="s">
        <v>297</v>
      </c>
      <c r="B424" t="str">
        <f>TEXT(Tabla24[[#This Row],[Fecha]],"dddd")</f>
        <v>viernes</v>
      </c>
      <c r="C424" t="str">
        <f>TEXT(Tabla24[[#This Row],[Fecha]],"mmmm")</f>
        <v>abril</v>
      </c>
      <c r="D424" t="str">
        <f>TEXT(Tabla24[[#This Row],[Fecha]],"aaaa")</f>
        <v>2024</v>
      </c>
      <c r="E424" t="s">
        <v>33</v>
      </c>
      <c r="F424" t="s">
        <v>29</v>
      </c>
      <c r="G424" t="s">
        <v>48</v>
      </c>
      <c r="H424" t="s">
        <v>35</v>
      </c>
      <c r="I424" t="s">
        <v>15</v>
      </c>
      <c r="J424">
        <v>4</v>
      </c>
      <c r="K424">
        <v>38101</v>
      </c>
      <c r="L424">
        <f>Tabla24[[#This Row],[Precio_Unitario]]*Tabla24[[#This Row],[Unidades_Vendidas]]</f>
        <v>152404</v>
      </c>
      <c r="M424" t="s">
        <v>20</v>
      </c>
    </row>
    <row r="425" spans="1:13" x14ac:dyDescent="0.25">
      <c r="A425" t="s">
        <v>17</v>
      </c>
      <c r="B425" t="str">
        <f>TEXT(Tabla24[[#This Row],[Fecha]],"dddd")</f>
        <v>lunes</v>
      </c>
      <c r="C425" t="str">
        <f>TEXT(Tabla24[[#This Row],[Fecha]],"mmmm")</f>
        <v>septiembre</v>
      </c>
      <c r="D425" t="str">
        <f>TEXT(Tabla24[[#This Row],[Fecha]],"aaaa")</f>
        <v>2024</v>
      </c>
      <c r="E425" t="s">
        <v>33</v>
      </c>
      <c r="F425" t="s">
        <v>29</v>
      </c>
      <c r="G425" t="s">
        <v>13</v>
      </c>
      <c r="H425" t="s">
        <v>30</v>
      </c>
      <c r="I425" t="s">
        <v>15</v>
      </c>
      <c r="J425">
        <v>7</v>
      </c>
      <c r="K425">
        <v>44605</v>
      </c>
      <c r="L425">
        <f>Tabla24[[#This Row],[Precio_Unitario]]*Tabla24[[#This Row],[Unidades_Vendidas]]</f>
        <v>312235</v>
      </c>
      <c r="M425" t="s">
        <v>27</v>
      </c>
    </row>
    <row r="426" spans="1:13" x14ac:dyDescent="0.25">
      <c r="A426" t="s">
        <v>236</v>
      </c>
      <c r="B426" t="str">
        <f>TEXT(Tabla24[[#This Row],[Fecha]],"dddd")</f>
        <v>jueves</v>
      </c>
      <c r="C426" t="str">
        <f>TEXT(Tabla24[[#This Row],[Fecha]],"mmmm")</f>
        <v>marzo</v>
      </c>
      <c r="D426" t="str">
        <f>TEXT(Tabla24[[#This Row],[Fecha]],"aaaa")</f>
        <v>2024</v>
      </c>
      <c r="E426" t="s">
        <v>11</v>
      </c>
      <c r="F426" t="s">
        <v>12</v>
      </c>
      <c r="G426" t="s">
        <v>24</v>
      </c>
      <c r="H426" t="s">
        <v>25</v>
      </c>
      <c r="I426" t="s">
        <v>15</v>
      </c>
      <c r="J426">
        <v>15</v>
      </c>
      <c r="K426">
        <v>33232</v>
      </c>
      <c r="L426">
        <f>Tabla24[[#This Row],[Precio_Unitario]]*Tabla24[[#This Row],[Unidades_Vendidas]]</f>
        <v>498480</v>
      </c>
      <c r="M426" t="s">
        <v>36</v>
      </c>
    </row>
    <row r="427" spans="1:13" x14ac:dyDescent="0.25">
      <c r="A427" t="s">
        <v>298</v>
      </c>
      <c r="B427" t="str">
        <f>TEXT(Tabla24[[#This Row],[Fecha]],"dddd")</f>
        <v>viernes</v>
      </c>
      <c r="C427" t="str">
        <f>TEXT(Tabla24[[#This Row],[Fecha]],"mmmm")</f>
        <v>octubre</v>
      </c>
      <c r="D427" t="str">
        <f>TEXT(Tabla24[[#This Row],[Fecha]],"aaaa")</f>
        <v>2024</v>
      </c>
      <c r="E427" t="s">
        <v>33</v>
      </c>
      <c r="F427" t="s">
        <v>38</v>
      </c>
      <c r="G427" t="s">
        <v>48</v>
      </c>
      <c r="H427" t="s">
        <v>19</v>
      </c>
      <c r="I427" t="s">
        <v>26</v>
      </c>
      <c r="J427">
        <v>18</v>
      </c>
      <c r="K427">
        <v>41634</v>
      </c>
      <c r="L427">
        <f>Tabla24[[#This Row],[Precio_Unitario]]*Tabla24[[#This Row],[Unidades_Vendidas]]</f>
        <v>749412</v>
      </c>
      <c r="M427" t="s">
        <v>36</v>
      </c>
    </row>
    <row r="428" spans="1:13" x14ac:dyDescent="0.25">
      <c r="A428" t="s">
        <v>221</v>
      </c>
      <c r="B428" t="str">
        <f>TEXT(Tabla24[[#This Row],[Fecha]],"dddd")</f>
        <v>viernes</v>
      </c>
      <c r="C428" t="str">
        <f>TEXT(Tabla24[[#This Row],[Fecha]],"mmmm")</f>
        <v>noviembre</v>
      </c>
      <c r="D428" t="str">
        <f>TEXT(Tabla24[[#This Row],[Fecha]],"aaaa")</f>
        <v>2024</v>
      </c>
      <c r="E428" t="s">
        <v>18</v>
      </c>
      <c r="F428" t="s">
        <v>34</v>
      </c>
      <c r="G428" t="s">
        <v>39</v>
      </c>
      <c r="H428" t="s">
        <v>25</v>
      </c>
      <c r="I428" t="s">
        <v>26</v>
      </c>
      <c r="J428">
        <v>16</v>
      </c>
      <c r="K428">
        <v>17422</v>
      </c>
      <c r="L428">
        <f>Tabla24[[#This Row],[Precio_Unitario]]*Tabla24[[#This Row],[Unidades_Vendidas]]</f>
        <v>278752</v>
      </c>
      <c r="M428" t="s">
        <v>20</v>
      </c>
    </row>
    <row r="429" spans="1:13" x14ac:dyDescent="0.25">
      <c r="A429" t="s">
        <v>139</v>
      </c>
      <c r="B429" t="str">
        <f>TEXT(Tabla24[[#This Row],[Fecha]],"dddd")</f>
        <v>jueves</v>
      </c>
      <c r="C429" t="str">
        <f>TEXT(Tabla24[[#This Row],[Fecha]],"mmmm")</f>
        <v>mayo</v>
      </c>
      <c r="D429" t="str">
        <f>TEXT(Tabla24[[#This Row],[Fecha]],"aaaa")</f>
        <v>2024</v>
      </c>
      <c r="E429" t="s">
        <v>42</v>
      </c>
      <c r="F429" t="s">
        <v>23</v>
      </c>
      <c r="G429" t="s">
        <v>13</v>
      </c>
      <c r="H429" t="s">
        <v>14</v>
      </c>
      <c r="I429" t="s">
        <v>26</v>
      </c>
      <c r="J429">
        <v>12</v>
      </c>
      <c r="K429">
        <v>29536</v>
      </c>
      <c r="L429">
        <f>Tabla24[[#This Row],[Precio_Unitario]]*Tabla24[[#This Row],[Unidades_Vendidas]]</f>
        <v>354432</v>
      </c>
      <c r="M429" t="s">
        <v>20</v>
      </c>
    </row>
    <row r="430" spans="1:13" x14ac:dyDescent="0.25">
      <c r="A430" t="s">
        <v>173</v>
      </c>
      <c r="B430" t="str">
        <f>TEXT(Tabla24[[#This Row],[Fecha]],"dddd")</f>
        <v>miércoles</v>
      </c>
      <c r="C430" t="str">
        <f>TEXT(Tabla24[[#This Row],[Fecha]],"mmmm")</f>
        <v>abril</v>
      </c>
      <c r="D430" t="str">
        <f>TEXT(Tabla24[[#This Row],[Fecha]],"aaaa")</f>
        <v>2024</v>
      </c>
      <c r="E430" t="s">
        <v>18</v>
      </c>
      <c r="F430" t="s">
        <v>23</v>
      </c>
      <c r="G430" t="s">
        <v>24</v>
      </c>
      <c r="H430" t="s">
        <v>14</v>
      </c>
      <c r="I430" t="s">
        <v>15</v>
      </c>
      <c r="J430">
        <v>7</v>
      </c>
      <c r="K430">
        <v>26168</v>
      </c>
      <c r="L430">
        <f>Tabla24[[#This Row],[Precio_Unitario]]*Tabla24[[#This Row],[Unidades_Vendidas]]</f>
        <v>183176</v>
      </c>
      <c r="M430" t="s">
        <v>20</v>
      </c>
    </row>
    <row r="431" spans="1:13" x14ac:dyDescent="0.25">
      <c r="A431" t="s">
        <v>299</v>
      </c>
      <c r="B431" t="str">
        <f>TEXT(Tabla24[[#This Row],[Fecha]],"dddd")</f>
        <v>viernes</v>
      </c>
      <c r="C431" t="str">
        <f>TEXT(Tabla24[[#This Row],[Fecha]],"mmmm")</f>
        <v>febrero</v>
      </c>
      <c r="D431" t="str">
        <f>TEXT(Tabla24[[#This Row],[Fecha]],"aaaa")</f>
        <v>2024</v>
      </c>
      <c r="E431" t="s">
        <v>22</v>
      </c>
      <c r="F431" t="s">
        <v>12</v>
      </c>
      <c r="G431" t="s">
        <v>24</v>
      </c>
      <c r="H431" t="s">
        <v>30</v>
      </c>
      <c r="I431" t="s">
        <v>40</v>
      </c>
      <c r="J431">
        <v>11</v>
      </c>
      <c r="K431">
        <v>51037</v>
      </c>
      <c r="L431">
        <f>Tabla24[[#This Row],[Precio_Unitario]]*Tabla24[[#This Row],[Unidades_Vendidas]]</f>
        <v>561407</v>
      </c>
      <c r="M431" t="s">
        <v>27</v>
      </c>
    </row>
    <row r="432" spans="1:13" x14ac:dyDescent="0.25">
      <c r="A432" t="s">
        <v>234</v>
      </c>
      <c r="B432" t="str">
        <f>TEXT(Tabla24[[#This Row],[Fecha]],"dddd")</f>
        <v>lunes</v>
      </c>
      <c r="C432" t="str">
        <f>TEXT(Tabla24[[#This Row],[Fecha]],"mmmm")</f>
        <v>febrero</v>
      </c>
      <c r="D432" t="str">
        <f>TEXT(Tabla24[[#This Row],[Fecha]],"aaaa")</f>
        <v>2024</v>
      </c>
      <c r="E432" t="s">
        <v>11</v>
      </c>
      <c r="F432" t="s">
        <v>34</v>
      </c>
      <c r="G432" t="s">
        <v>39</v>
      </c>
      <c r="H432" t="s">
        <v>25</v>
      </c>
      <c r="I432" t="s">
        <v>26</v>
      </c>
      <c r="J432">
        <v>1</v>
      </c>
      <c r="K432">
        <v>36429</v>
      </c>
      <c r="L432">
        <f>Tabla24[[#This Row],[Precio_Unitario]]*Tabla24[[#This Row],[Unidades_Vendidas]]</f>
        <v>36429</v>
      </c>
      <c r="M432" t="s">
        <v>16</v>
      </c>
    </row>
    <row r="433" spans="1:13" x14ac:dyDescent="0.25">
      <c r="A433" t="s">
        <v>163</v>
      </c>
      <c r="B433" t="str">
        <f>TEXT(Tabla24[[#This Row],[Fecha]],"dddd")</f>
        <v>miércoles</v>
      </c>
      <c r="C433" t="str">
        <f>TEXT(Tabla24[[#This Row],[Fecha]],"mmmm")</f>
        <v>octubre</v>
      </c>
      <c r="D433" t="str">
        <f>TEXT(Tabla24[[#This Row],[Fecha]],"aaaa")</f>
        <v>2024</v>
      </c>
      <c r="E433" t="s">
        <v>33</v>
      </c>
      <c r="F433" t="s">
        <v>12</v>
      </c>
      <c r="G433" t="s">
        <v>24</v>
      </c>
      <c r="H433" t="s">
        <v>30</v>
      </c>
      <c r="I433" t="s">
        <v>26</v>
      </c>
      <c r="J433">
        <v>20</v>
      </c>
      <c r="K433">
        <v>17918</v>
      </c>
      <c r="L433">
        <f>Tabla24[[#This Row],[Precio_Unitario]]*Tabla24[[#This Row],[Unidades_Vendidas]]</f>
        <v>358360</v>
      </c>
      <c r="M433" t="s">
        <v>27</v>
      </c>
    </row>
    <row r="434" spans="1:13" x14ac:dyDescent="0.25">
      <c r="A434" t="s">
        <v>41</v>
      </c>
      <c r="B434" t="str">
        <f>TEXT(Tabla24[[#This Row],[Fecha]],"dddd")</f>
        <v>miércoles</v>
      </c>
      <c r="C434" t="str">
        <f>TEXT(Tabla24[[#This Row],[Fecha]],"mmmm")</f>
        <v>marzo</v>
      </c>
      <c r="D434" t="str">
        <f>TEXT(Tabla24[[#This Row],[Fecha]],"aaaa")</f>
        <v>2024</v>
      </c>
      <c r="E434" t="s">
        <v>22</v>
      </c>
      <c r="F434" t="s">
        <v>38</v>
      </c>
      <c r="G434" t="s">
        <v>48</v>
      </c>
      <c r="H434" t="s">
        <v>35</v>
      </c>
      <c r="I434" t="s">
        <v>40</v>
      </c>
      <c r="J434">
        <v>5</v>
      </c>
      <c r="K434">
        <v>59222</v>
      </c>
      <c r="L434">
        <f>Tabla24[[#This Row],[Precio_Unitario]]*Tabla24[[#This Row],[Unidades_Vendidas]]</f>
        <v>296110</v>
      </c>
      <c r="M434" t="s">
        <v>20</v>
      </c>
    </row>
    <row r="435" spans="1:13" x14ac:dyDescent="0.25">
      <c r="A435" t="s">
        <v>300</v>
      </c>
      <c r="B435" t="str">
        <f>TEXT(Tabla24[[#This Row],[Fecha]],"dddd")</f>
        <v>martes</v>
      </c>
      <c r="C435" t="str">
        <f>TEXT(Tabla24[[#This Row],[Fecha]],"mmmm")</f>
        <v>febrero</v>
      </c>
      <c r="D435" t="str">
        <f>TEXT(Tabla24[[#This Row],[Fecha]],"aaaa")</f>
        <v>2024</v>
      </c>
      <c r="E435" t="s">
        <v>33</v>
      </c>
      <c r="F435" t="s">
        <v>38</v>
      </c>
      <c r="G435" t="s">
        <v>44</v>
      </c>
      <c r="H435" t="s">
        <v>14</v>
      </c>
      <c r="I435" t="s">
        <v>40</v>
      </c>
      <c r="J435">
        <v>3</v>
      </c>
      <c r="K435">
        <v>35198</v>
      </c>
      <c r="L435">
        <f>Tabla24[[#This Row],[Precio_Unitario]]*Tabla24[[#This Row],[Unidades_Vendidas]]</f>
        <v>105594</v>
      </c>
      <c r="M435" t="s">
        <v>16</v>
      </c>
    </row>
    <row r="436" spans="1:13" x14ac:dyDescent="0.25">
      <c r="A436" t="s">
        <v>301</v>
      </c>
      <c r="B436" t="str">
        <f>TEXT(Tabla24[[#This Row],[Fecha]],"dddd")</f>
        <v>lunes</v>
      </c>
      <c r="C436" t="str">
        <f>TEXT(Tabla24[[#This Row],[Fecha]],"mmmm")</f>
        <v>octubre</v>
      </c>
      <c r="D436" t="str">
        <f>TEXT(Tabla24[[#This Row],[Fecha]],"aaaa")</f>
        <v>2024</v>
      </c>
      <c r="E436" t="s">
        <v>22</v>
      </c>
      <c r="F436" t="s">
        <v>38</v>
      </c>
      <c r="G436" t="s">
        <v>13</v>
      </c>
      <c r="H436" t="s">
        <v>30</v>
      </c>
      <c r="I436" t="s">
        <v>26</v>
      </c>
      <c r="J436">
        <v>17</v>
      </c>
      <c r="K436">
        <v>48433</v>
      </c>
      <c r="L436">
        <f>Tabla24[[#This Row],[Precio_Unitario]]*Tabla24[[#This Row],[Unidades_Vendidas]]</f>
        <v>823361</v>
      </c>
      <c r="M436" t="s">
        <v>36</v>
      </c>
    </row>
    <row r="437" spans="1:13" x14ac:dyDescent="0.25">
      <c r="A437" t="s">
        <v>116</v>
      </c>
      <c r="B437" t="str">
        <f>TEXT(Tabla24[[#This Row],[Fecha]],"dddd")</f>
        <v>martes</v>
      </c>
      <c r="C437" t="str">
        <f>TEXT(Tabla24[[#This Row],[Fecha]],"mmmm")</f>
        <v>mayo</v>
      </c>
      <c r="D437" t="str">
        <f>TEXT(Tabla24[[#This Row],[Fecha]],"aaaa")</f>
        <v>2024</v>
      </c>
      <c r="E437" t="s">
        <v>42</v>
      </c>
      <c r="F437" t="s">
        <v>38</v>
      </c>
      <c r="G437" t="s">
        <v>48</v>
      </c>
      <c r="H437" t="s">
        <v>25</v>
      </c>
      <c r="I437" t="s">
        <v>15</v>
      </c>
      <c r="J437">
        <v>19</v>
      </c>
      <c r="K437">
        <v>35131</v>
      </c>
      <c r="L437">
        <f>Tabla24[[#This Row],[Precio_Unitario]]*Tabla24[[#This Row],[Unidades_Vendidas]]</f>
        <v>667489</v>
      </c>
      <c r="M437" t="s">
        <v>16</v>
      </c>
    </row>
    <row r="438" spans="1:13" x14ac:dyDescent="0.25">
      <c r="A438" t="s">
        <v>119</v>
      </c>
      <c r="B438" t="str">
        <f>TEXT(Tabla24[[#This Row],[Fecha]],"dddd")</f>
        <v>miércoles</v>
      </c>
      <c r="C438" t="str">
        <f>TEXT(Tabla24[[#This Row],[Fecha]],"mmmm")</f>
        <v>julio</v>
      </c>
      <c r="D438" t="str">
        <f>TEXT(Tabla24[[#This Row],[Fecha]],"aaaa")</f>
        <v>2024</v>
      </c>
      <c r="E438" t="s">
        <v>42</v>
      </c>
      <c r="F438" t="s">
        <v>12</v>
      </c>
      <c r="G438" t="s">
        <v>39</v>
      </c>
      <c r="H438" t="s">
        <v>30</v>
      </c>
      <c r="I438" t="s">
        <v>26</v>
      </c>
      <c r="J438">
        <v>16</v>
      </c>
      <c r="K438">
        <v>24792</v>
      </c>
      <c r="L438">
        <f>Tabla24[[#This Row],[Precio_Unitario]]*Tabla24[[#This Row],[Unidades_Vendidas]]</f>
        <v>396672</v>
      </c>
      <c r="M438" t="s">
        <v>20</v>
      </c>
    </row>
    <row r="439" spans="1:13" x14ac:dyDescent="0.25">
      <c r="A439" t="s">
        <v>302</v>
      </c>
      <c r="B439" t="str">
        <f>TEXT(Tabla24[[#This Row],[Fecha]],"dddd")</f>
        <v>viernes</v>
      </c>
      <c r="C439" t="str">
        <f>TEXT(Tabla24[[#This Row],[Fecha]],"mmmm")</f>
        <v>diciembre</v>
      </c>
      <c r="D439" t="str">
        <f>TEXT(Tabla24[[#This Row],[Fecha]],"aaaa")</f>
        <v>2024</v>
      </c>
      <c r="E439" t="s">
        <v>22</v>
      </c>
      <c r="F439" t="s">
        <v>38</v>
      </c>
      <c r="G439" t="s">
        <v>44</v>
      </c>
      <c r="H439" t="s">
        <v>25</v>
      </c>
      <c r="I439" t="s">
        <v>40</v>
      </c>
      <c r="J439">
        <v>16</v>
      </c>
      <c r="K439">
        <v>29258</v>
      </c>
      <c r="L439">
        <f>Tabla24[[#This Row],[Precio_Unitario]]*Tabla24[[#This Row],[Unidades_Vendidas]]</f>
        <v>468128</v>
      </c>
      <c r="M439" t="s">
        <v>27</v>
      </c>
    </row>
    <row r="440" spans="1:13" x14ac:dyDescent="0.25">
      <c r="A440" t="s">
        <v>303</v>
      </c>
      <c r="B440" t="str">
        <f>TEXT(Tabla24[[#This Row],[Fecha]],"dddd")</f>
        <v>miércoles</v>
      </c>
      <c r="C440" t="str">
        <f>TEXT(Tabla24[[#This Row],[Fecha]],"mmmm")</f>
        <v>octubre</v>
      </c>
      <c r="D440" t="str">
        <f>TEXT(Tabla24[[#This Row],[Fecha]],"aaaa")</f>
        <v>2024</v>
      </c>
      <c r="E440" t="s">
        <v>11</v>
      </c>
      <c r="F440" t="s">
        <v>38</v>
      </c>
      <c r="G440" t="s">
        <v>24</v>
      </c>
      <c r="H440" t="s">
        <v>30</v>
      </c>
      <c r="I440" t="s">
        <v>40</v>
      </c>
      <c r="J440">
        <v>16</v>
      </c>
      <c r="K440">
        <v>53142</v>
      </c>
      <c r="L440">
        <f>Tabla24[[#This Row],[Precio_Unitario]]*Tabla24[[#This Row],[Unidades_Vendidas]]</f>
        <v>850272</v>
      </c>
      <c r="M440" t="s">
        <v>36</v>
      </c>
    </row>
    <row r="441" spans="1:13" x14ac:dyDescent="0.25">
      <c r="A441" t="s">
        <v>58</v>
      </c>
      <c r="B441" t="str">
        <f>TEXT(Tabla24[[#This Row],[Fecha]],"dddd")</f>
        <v>lunes</v>
      </c>
      <c r="C441" t="str">
        <f>TEXT(Tabla24[[#This Row],[Fecha]],"mmmm")</f>
        <v>octubre</v>
      </c>
      <c r="D441" t="str">
        <f>TEXT(Tabla24[[#This Row],[Fecha]],"aaaa")</f>
        <v>2024</v>
      </c>
      <c r="E441" t="s">
        <v>42</v>
      </c>
      <c r="F441" t="s">
        <v>12</v>
      </c>
      <c r="G441" t="s">
        <v>39</v>
      </c>
      <c r="H441" t="s">
        <v>14</v>
      </c>
      <c r="I441" t="s">
        <v>26</v>
      </c>
      <c r="J441">
        <v>8</v>
      </c>
      <c r="K441">
        <v>47112</v>
      </c>
      <c r="L441">
        <f>Tabla24[[#This Row],[Precio_Unitario]]*Tabla24[[#This Row],[Unidades_Vendidas]]</f>
        <v>376896</v>
      </c>
      <c r="M441" t="s">
        <v>27</v>
      </c>
    </row>
    <row r="442" spans="1:13" x14ac:dyDescent="0.25">
      <c r="A442" t="s">
        <v>171</v>
      </c>
      <c r="B442" t="str">
        <f>TEXT(Tabla24[[#This Row],[Fecha]],"dddd")</f>
        <v>miércoles</v>
      </c>
      <c r="C442" t="str">
        <f>TEXT(Tabla24[[#This Row],[Fecha]],"mmmm")</f>
        <v>noviembre</v>
      </c>
      <c r="D442" t="str">
        <f>TEXT(Tabla24[[#This Row],[Fecha]],"aaaa")</f>
        <v>2024</v>
      </c>
      <c r="E442" t="s">
        <v>22</v>
      </c>
      <c r="F442" t="s">
        <v>29</v>
      </c>
      <c r="G442" t="s">
        <v>39</v>
      </c>
      <c r="H442" t="s">
        <v>35</v>
      </c>
      <c r="I442" t="s">
        <v>15</v>
      </c>
      <c r="J442">
        <v>1</v>
      </c>
      <c r="K442">
        <v>27734</v>
      </c>
      <c r="L442">
        <f>Tabla24[[#This Row],[Precio_Unitario]]*Tabla24[[#This Row],[Unidades_Vendidas]]</f>
        <v>27734</v>
      </c>
      <c r="M442" t="s">
        <v>20</v>
      </c>
    </row>
    <row r="443" spans="1:13" x14ac:dyDescent="0.25">
      <c r="A443" t="s">
        <v>237</v>
      </c>
      <c r="B443" t="str">
        <f>TEXT(Tabla24[[#This Row],[Fecha]],"dddd")</f>
        <v>domingo</v>
      </c>
      <c r="C443" t="str">
        <f>TEXT(Tabla24[[#This Row],[Fecha]],"mmmm")</f>
        <v>noviembre</v>
      </c>
      <c r="D443" t="str">
        <f>TEXT(Tabla24[[#This Row],[Fecha]],"aaaa")</f>
        <v>2024</v>
      </c>
      <c r="E443" t="s">
        <v>18</v>
      </c>
      <c r="F443" t="s">
        <v>23</v>
      </c>
      <c r="G443" t="s">
        <v>13</v>
      </c>
      <c r="H443" t="s">
        <v>35</v>
      </c>
      <c r="I443" t="s">
        <v>40</v>
      </c>
      <c r="J443">
        <v>8</v>
      </c>
      <c r="K443">
        <v>38486</v>
      </c>
      <c r="L443">
        <f>Tabla24[[#This Row],[Precio_Unitario]]*Tabla24[[#This Row],[Unidades_Vendidas]]</f>
        <v>307888</v>
      </c>
      <c r="M443" t="s">
        <v>27</v>
      </c>
    </row>
    <row r="444" spans="1:13" x14ac:dyDescent="0.25">
      <c r="A444" t="s">
        <v>216</v>
      </c>
      <c r="B444" t="str">
        <f>TEXT(Tabla24[[#This Row],[Fecha]],"dddd")</f>
        <v>martes</v>
      </c>
      <c r="C444" t="str">
        <f>TEXT(Tabla24[[#This Row],[Fecha]],"mmmm")</f>
        <v>mayo</v>
      </c>
      <c r="D444" t="str">
        <f>TEXT(Tabla24[[#This Row],[Fecha]],"aaaa")</f>
        <v>2024</v>
      </c>
      <c r="E444" t="s">
        <v>33</v>
      </c>
      <c r="F444" t="s">
        <v>12</v>
      </c>
      <c r="G444" t="s">
        <v>44</v>
      </c>
      <c r="H444" t="s">
        <v>30</v>
      </c>
      <c r="I444" t="s">
        <v>26</v>
      </c>
      <c r="J444">
        <v>16</v>
      </c>
      <c r="K444">
        <v>40071</v>
      </c>
      <c r="L444">
        <f>Tabla24[[#This Row],[Precio_Unitario]]*Tabla24[[#This Row],[Unidades_Vendidas]]</f>
        <v>641136</v>
      </c>
      <c r="M444" t="s">
        <v>20</v>
      </c>
    </row>
    <row r="445" spans="1:13" x14ac:dyDescent="0.25">
      <c r="A445" t="s">
        <v>304</v>
      </c>
      <c r="B445" t="str">
        <f>TEXT(Tabla24[[#This Row],[Fecha]],"dddd")</f>
        <v>martes</v>
      </c>
      <c r="C445" t="str">
        <f>TEXT(Tabla24[[#This Row],[Fecha]],"mmmm")</f>
        <v>agosto</v>
      </c>
      <c r="D445" t="str">
        <f>TEXT(Tabla24[[#This Row],[Fecha]],"aaaa")</f>
        <v>2024</v>
      </c>
      <c r="E445" t="s">
        <v>22</v>
      </c>
      <c r="F445" t="s">
        <v>34</v>
      </c>
      <c r="G445" t="s">
        <v>39</v>
      </c>
      <c r="H445" t="s">
        <v>19</v>
      </c>
      <c r="I445" t="s">
        <v>26</v>
      </c>
      <c r="J445">
        <v>11</v>
      </c>
      <c r="K445">
        <v>44374</v>
      </c>
      <c r="L445">
        <f>Tabla24[[#This Row],[Precio_Unitario]]*Tabla24[[#This Row],[Unidades_Vendidas]]</f>
        <v>488114</v>
      </c>
      <c r="M445" t="s">
        <v>16</v>
      </c>
    </row>
    <row r="446" spans="1:13" x14ac:dyDescent="0.25">
      <c r="A446" t="s">
        <v>271</v>
      </c>
      <c r="B446" t="str">
        <f>TEXT(Tabla24[[#This Row],[Fecha]],"dddd")</f>
        <v>martes</v>
      </c>
      <c r="C446" t="str">
        <f>TEXT(Tabla24[[#This Row],[Fecha]],"mmmm")</f>
        <v>junio</v>
      </c>
      <c r="D446" t="str">
        <f>TEXT(Tabla24[[#This Row],[Fecha]],"aaaa")</f>
        <v>2024</v>
      </c>
      <c r="E446" t="s">
        <v>22</v>
      </c>
      <c r="F446" t="s">
        <v>12</v>
      </c>
      <c r="G446" t="s">
        <v>48</v>
      </c>
      <c r="H446" t="s">
        <v>14</v>
      </c>
      <c r="I446" t="s">
        <v>40</v>
      </c>
      <c r="J446">
        <v>6</v>
      </c>
      <c r="K446">
        <v>44139</v>
      </c>
      <c r="L446">
        <f>Tabla24[[#This Row],[Precio_Unitario]]*Tabla24[[#This Row],[Unidades_Vendidas]]</f>
        <v>264834</v>
      </c>
      <c r="M446" t="s">
        <v>20</v>
      </c>
    </row>
    <row r="447" spans="1:13" x14ac:dyDescent="0.25">
      <c r="A447" t="s">
        <v>193</v>
      </c>
      <c r="B447" t="str">
        <f>TEXT(Tabla24[[#This Row],[Fecha]],"dddd")</f>
        <v>miércoles</v>
      </c>
      <c r="C447" t="str">
        <f>TEXT(Tabla24[[#This Row],[Fecha]],"mmmm")</f>
        <v>junio</v>
      </c>
      <c r="D447" t="str">
        <f>TEXT(Tabla24[[#This Row],[Fecha]],"aaaa")</f>
        <v>2024</v>
      </c>
      <c r="E447" t="s">
        <v>42</v>
      </c>
      <c r="F447" t="s">
        <v>38</v>
      </c>
      <c r="G447" t="s">
        <v>39</v>
      </c>
      <c r="H447" t="s">
        <v>25</v>
      </c>
      <c r="I447" t="s">
        <v>26</v>
      </c>
      <c r="J447">
        <v>17</v>
      </c>
      <c r="K447">
        <v>29974</v>
      </c>
      <c r="L447">
        <f>Tabla24[[#This Row],[Precio_Unitario]]*Tabla24[[#This Row],[Unidades_Vendidas]]</f>
        <v>509558</v>
      </c>
      <c r="M447" t="s">
        <v>16</v>
      </c>
    </row>
    <row r="448" spans="1:13" x14ac:dyDescent="0.25">
      <c r="A448" t="s">
        <v>305</v>
      </c>
      <c r="B448" t="str">
        <f>TEXT(Tabla24[[#This Row],[Fecha]],"dddd")</f>
        <v>viernes</v>
      </c>
      <c r="C448" t="str">
        <f>TEXT(Tabla24[[#This Row],[Fecha]],"mmmm")</f>
        <v>septiembre</v>
      </c>
      <c r="D448" t="str">
        <f>TEXT(Tabla24[[#This Row],[Fecha]],"aaaa")</f>
        <v>2024</v>
      </c>
      <c r="E448" t="s">
        <v>18</v>
      </c>
      <c r="F448" t="s">
        <v>38</v>
      </c>
      <c r="G448" t="s">
        <v>24</v>
      </c>
      <c r="H448" t="s">
        <v>30</v>
      </c>
      <c r="I448" t="s">
        <v>40</v>
      </c>
      <c r="J448">
        <v>11</v>
      </c>
      <c r="K448">
        <v>21320</v>
      </c>
      <c r="L448">
        <f>Tabla24[[#This Row],[Precio_Unitario]]*Tabla24[[#This Row],[Unidades_Vendidas]]</f>
        <v>234520</v>
      </c>
      <c r="M448" t="s">
        <v>16</v>
      </c>
    </row>
    <row r="449" spans="1:13" x14ac:dyDescent="0.25">
      <c r="A449" t="s">
        <v>306</v>
      </c>
      <c r="B449" t="str">
        <f>TEXT(Tabla24[[#This Row],[Fecha]],"dddd")</f>
        <v>domingo</v>
      </c>
      <c r="C449" t="str">
        <f>TEXT(Tabla24[[#This Row],[Fecha]],"mmmm")</f>
        <v>junio</v>
      </c>
      <c r="D449" t="str">
        <f>TEXT(Tabla24[[#This Row],[Fecha]],"aaaa")</f>
        <v>2024</v>
      </c>
      <c r="E449" t="s">
        <v>33</v>
      </c>
      <c r="F449" t="s">
        <v>12</v>
      </c>
      <c r="G449" t="s">
        <v>39</v>
      </c>
      <c r="H449" t="s">
        <v>30</v>
      </c>
      <c r="I449" t="s">
        <v>40</v>
      </c>
      <c r="J449">
        <v>18</v>
      </c>
      <c r="K449">
        <v>37355</v>
      </c>
      <c r="L449">
        <f>Tabla24[[#This Row],[Precio_Unitario]]*Tabla24[[#This Row],[Unidades_Vendidas]]</f>
        <v>672390</v>
      </c>
      <c r="M449" t="s">
        <v>36</v>
      </c>
    </row>
    <row r="450" spans="1:13" x14ac:dyDescent="0.25">
      <c r="A450" t="s">
        <v>178</v>
      </c>
      <c r="B450" t="str">
        <f>TEXT(Tabla24[[#This Row],[Fecha]],"dddd")</f>
        <v>jueves</v>
      </c>
      <c r="C450" t="str">
        <f>TEXT(Tabla24[[#This Row],[Fecha]],"mmmm")</f>
        <v>julio</v>
      </c>
      <c r="D450" t="str">
        <f>TEXT(Tabla24[[#This Row],[Fecha]],"aaaa")</f>
        <v>2024</v>
      </c>
      <c r="E450" t="s">
        <v>22</v>
      </c>
      <c r="F450" t="s">
        <v>34</v>
      </c>
      <c r="G450" t="s">
        <v>39</v>
      </c>
      <c r="H450" t="s">
        <v>30</v>
      </c>
      <c r="I450" t="s">
        <v>26</v>
      </c>
      <c r="J450">
        <v>3</v>
      </c>
      <c r="K450">
        <v>59887</v>
      </c>
      <c r="L450">
        <f>Tabla24[[#This Row],[Precio_Unitario]]*Tabla24[[#This Row],[Unidades_Vendidas]]</f>
        <v>179661</v>
      </c>
      <c r="M450" t="s">
        <v>20</v>
      </c>
    </row>
    <row r="451" spans="1:13" x14ac:dyDescent="0.25">
      <c r="A451" t="s">
        <v>154</v>
      </c>
      <c r="B451" t="str">
        <f>TEXT(Tabla24[[#This Row],[Fecha]],"dddd")</f>
        <v>sábado</v>
      </c>
      <c r="C451" t="str">
        <f>TEXT(Tabla24[[#This Row],[Fecha]],"mmmm")</f>
        <v>noviembre</v>
      </c>
      <c r="D451" t="str">
        <f>TEXT(Tabla24[[#This Row],[Fecha]],"aaaa")</f>
        <v>2024</v>
      </c>
      <c r="E451" t="s">
        <v>11</v>
      </c>
      <c r="F451" t="s">
        <v>23</v>
      </c>
      <c r="G451" t="s">
        <v>13</v>
      </c>
      <c r="H451" t="s">
        <v>35</v>
      </c>
      <c r="I451" t="s">
        <v>15</v>
      </c>
      <c r="J451">
        <v>17</v>
      </c>
      <c r="K451">
        <v>48507</v>
      </c>
      <c r="L451">
        <f>Tabla24[[#This Row],[Precio_Unitario]]*Tabla24[[#This Row],[Unidades_Vendidas]]</f>
        <v>824619</v>
      </c>
      <c r="M451" t="s">
        <v>27</v>
      </c>
    </row>
    <row r="452" spans="1:13" x14ac:dyDescent="0.25">
      <c r="A452" t="s">
        <v>108</v>
      </c>
      <c r="B452" t="str">
        <f>TEXT(Tabla24[[#This Row],[Fecha]],"dddd")</f>
        <v>viernes</v>
      </c>
      <c r="C452" t="str">
        <f>TEXT(Tabla24[[#This Row],[Fecha]],"mmmm")</f>
        <v>marzo</v>
      </c>
      <c r="D452" t="str">
        <f>TEXT(Tabla24[[#This Row],[Fecha]],"aaaa")</f>
        <v>2024</v>
      </c>
      <c r="E452" t="s">
        <v>18</v>
      </c>
      <c r="F452" t="s">
        <v>34</v>
      </c>
      <c r="G452" t="s">
        <v>39</v>
      </c>
      <c r="H452" t="s">
        <v>19</v>
      </c>
      <c r="I452" t="s">
        <v>26</v>
      </c>
      <c r="J452">
        <v>8</v>
      </c>
      <c r="K452">
        <v>24403</v>
      </c>
      <c r="L452">
        <f>Tabla24[[#This Row],[Precio_Unitario]]*Tabla24[[#This Row],[Unidades_Vendidas]]</f>
        <v>195224</v>
      </c>
      <c r="M452" t="s">
        <v>36</v>
      </c>
    </row>
    <row r="453" spans="1:13" x14ac:dyDescent="0.25">
      <c r="A453" t="s">
        <v>307</v>
      </c>
      <c r="B453" t="str">
        <f>TEXT(Tabla24[[#This Row],[Fecha]],"dddd")</f>
        <v>jueves</v>
      </c>
      <c r="C453" t="str">
        <f>TEXT(Tabla24[[#This Row],[Fecha]],"mmmm")</f>
        <v>septiembre</v>
      </c>
      <c r="D453" t="str">
        <f>TEXT(Tabla24[[#This Row],[Fecha]],"aaaa")</f>
        <v>2024</v>
      </c>
      <c r="E453" t="s">
        <v>11</v>
      </c>
      <c r="F453" t="s">
        <v>34</v>
      </c>
      <c r="G453" t="s">
        <v>44</v>
      </c>
      <c r="H453" t="s">
        <v>19</v>
      </c>
      <c r="I453" t="s">
        <v>40</v>
      </c>
      <c r="J453">
        <v>3</v>
      </c>
      <c r="K453">
        <v>42340</v>
      </c>
      <c r="L453">
        <f>Tabla24[[#This Row],[Precio_Unitario]]*Tabla24[[#This Row],[Unidades_Vendidas]]</f>
        <v>127020</v>
      </c>
      <c r="M453" t="s">
        <v>20</v>
      </c>
    </row>
    <row r="454" spans="1:13" x14ac:dyDescent="0.25">
      <c r="A454" t="s">
        <v>308</v>
      </c>
      <c r="B454" t="str">
        <f>TEXT(Tabla24[[#This Row],[Fecha]],"dddd")</f>
        <v>martes</v>
      </c>
      <c r="C454" t="str">
        <f>TEXT(Tabla24[[#This Row],[Fecha]],"mmmm")</f>
        <v>agosto</v>
      </c>
      <c r="D454" t="str">
        <f>TEXT(Tabla24[[#This Row],[Fecha]],"aaaa")</f>
        <v>2024</v>
      </c>
      <c r="E454" t="s">
        <v>22</v>
      </c>
      <c r="F454" t="s">
        <v>29</v>
      </c>
      <c r="G454" t="s">
        <v>48</v>
      </c>
      <c r="H454" t="s">
        <v>35</v>
      </c>
      <c r="I454" t="s">
        <v>15</v>
      </c>
      <c r="J454">
        <v>2</v>
      </c>
      <c r="K454">
        <v>42044</v>
      </c>
      <c r="L454">
        <f>Tabla24[[#This Row],[Precio_Unitario]]*Tabla24[[#This Row],[Unidades_Vendidas]]</f>
        <v>84088</v>
      </c>
      <c r="M454" t="s">
        <v>27</v>
      </c>
    </row>
    <row r="455" spans="1:13" x14ac:dyDescent="0.25">
      <c r="A455" t="s">
        <v>176</v>
      </c>
      <c r="B455" t="str">
        <f>TEXT(Tabla24[[#This Row],[Fecha]],"dddd")</f>
        <v>domingo</v>
      </c>
      <c r="C455" t="str">
        <f>TEXT(Tabla24[[#This Row],[Fecha]],"mmmm")</f>
        <v>septiembre</v>
      </c>
      <c r="D455" t="str">
        <f>TEXT(Tabla24[[#This Row],[Fecha]],"aaaa")</f>
        <v>2024</v>
      </c>
      <c r="E455" t="s">
        <v>22</v>
      </c>
      <c r="F455" t="s">
        <v>38</v>
      </c>
      <c r="G455" t="s">
        <v>44</v>
      </c>
      <c r="H455" t="s">
        <v>30</v>
      </c>
      <c r="I455" t="s">
        <v>40</v>
      </c>
      <c r="J455">
        <v>18</v>
      </c>
      <c r="K455">
        <v>23035</v>
      </c>
      <c r="L455">
        <f>Tabla24[[#This Row],[Precio_Unitario]]*Tabla24[[#This Row],[Unidades_Vendidas]]</f>
        <v>414630</v>
      </c>
      <c r="M455" t="s">
        <v>20</v>
      </c>
    </row>
    <row r="456" spans="1:13" x14ac:dyDescent="0.25">
      <c r="A456" t="s">
        <v>99</v>
      </c>
      <c r="B456" t="str">
        <f>TEXT(Tabla24[[#This Row],[Fecha]],"dddd")</f>
        <v>martes</v>
      </c>
      <c r="C456" t="str">
        <f>TEXT(Tabla24[[#This Row],[Fecha]],"mmmm")</f>
        <v>abril</v>
      </c>
      <c r="D456" t="str">
        <f>TEXT(Tabla24[[#This Row],[Fecha]],"aaaa")</f>
        <v>2024</v>
      </c>
      <c r="E456" t="s">
        <v>22</v>
      </c>
      <c r="F456" t="s">
        <v>34</v>
      </c>
      <c r="G456" t="s">
        <v>44</v>
      </c>
      <c r="H456" t="s">
        <v>19</v>
      </c>
      <c r="I456" t="s">
        <v>40</v>
      </c>
      <c r="J456">
        <v>7</v>
      </c>
      <c r="K456">
        <v>28363</v>
      </c>
      <c r="L456">
        <f>Tabla24[[#This Row],[Precio_Unitario]]*Tabla24[[#This Row],[Unidades_Vendidas]]</f>
        <v>198541</v>
      </c>
      <c r="M456" t="s">
        <v>20</v>
      </c>
    </row>
    <row r="457" spans="1:13" x14ac:dyDescent="0.25">
      <c r="A457" t="s">
        <v>246</v>
      </c>
      <c r="B457" t="str">
        <f>TEXT(Tabla24[[#This Row],[Fecha]],"dddd")</f>
        <v>martes</v>
      </c>
      <c r="C457" t="str">
        <f>TEXT(Tabla24[[#This Row],[Fecha]],"mmmm")</f>
        <v>noviembre</v>
      </c>
      <c r="D457" t="str">
        <f>TEXT(Tabla24[[#This Row],[Fecha]],"aaaa")</f>
        <v>2024</v>
      </c>
      <c r="E457" t="s">
        <v>33</v>
      </c>
      <c r="F457" t="s">
        <v>34</v>
      </c>
      <c r="G457" t="s">
        <v>24</v>
      </c>
      <c r="H457" t="s">
        <v>35</v>
      </c>
      <c r="I457" t="s">
        <v>40</v>
      </c>
      <c r="J457">
        <v>20</v>
      </c>
      <c r="K457">
        <v>29363</v>
      </c>
      <c r="L457">
        <f>Tabla24[[#This Row],[Precio_Unitario]]*Tabla24[[#This Row],[Unidades_Vendidas]]</f>
        <v>587260</v>
      </c>
      <c r="M457" t="s">
        <v>20</v>
      </c>
    </row>
    <row r="458" spans="1:13" x14ac:dyDescent="0.25">
      <c r="A458" t="s">
        <v>222</v>
      </c>
      <c r="B458" t="str">
        <f>TEXT(Tabla24[[#This Row],[Fecha]],"dddd")</f>
        <v>sábado</v>
      </c>
      <c r="C458" t="str">
        <f>TEXT(Tabla24[[#This Row],[Fecha]],"mmmm")</f>
        <v>febrero</v>
      </c>
      <c r="D458" t="str">
        <f>TEXT(Tabla24[[#This Row],[Fecha]],"aaaa")</f>
        <v>2024</v>
      </c>
      <c r="E458" t="s">
        <v>11</v>
      </c>
      <c r="F458" t="s">
        <v>12</v>
      </c>
      <c r="G458" t="s">
        <v>48</v>
      </c>
      <c r="H458" t="s">
        <v>35</v>
      </c>
      <c r="I458" t="s">
        <v>15</v>
      </c>
      <c r="J458">
        <v>16</v>
      </c>
      <c r="K458">
        <v>18619</v>
      </c>
      <c r="L458">
        <f>Tabla24[[#This Row],[Precio_Unitario]]*Tabla24[[#This Row],[Unidades_Vendidas]]</f>
        <v>297904</v>
      </c>
      <c r="M458" t="s">
        <v>20</v>
      </c>
    </row>
    <row r="459" spans="1:13" x14ac:dyDescent="0.25">
      <c r="A459" t="s">
        <v>156</v>
      </c>
      <c r="B459" t="str">
        <f>TEXT(Tabla24[[#This Row],[Fecha]],"dddd")</f>
        <v>jueves</v>
      </c>
      <c r="C459" t="str">
        <f>TEXT(Tabla24[[#This Row],[Fecha]],"mmmm")</f>
        <v>marzo</v>
      </c>
      <c r="D459" t="str">
        <f>TEXT(Tabla24[[#This Row],[Fecha]],"aaaa")</f>
        <v>2024</v>
      </c>
      <c r="E459" t="s">
        <v>42</v>
      </c>
      <c r="F459" t="s">
        <v>38</v>
      </c>
      <c r="G459" t="s">
        <v>48</v>
      </c>
      <c r="H459" t="s">
        <v>14</v>
      </c>
      <c r="I459" t="s">
        <v>15</v>
      </c>
      <c r="J459">
        <v>8</v>
      </c>
      <c r="K459">
        <v>42567</v>
      </c>
      <c r="L459">
        <f>Tabla24[[#This Row],[Precio_Unitario]]*Tabla24[[#This Row],[Unidades_Vendidas]]</f>
        <v>340536</v>
      </c>
      <c r="M459" t="s">
        <v>16</v>
      </c>
    </row>
    <row r="460" spans="1:13" x14ac:dyDescent="0.25">
      <c r="A460" t="s">
        <v>309</v>
      </c>
      <c r="B460" t="str">
        <f>TEXT(Tabla24[[#This Row],[Fecha]],"dddd")</f>
        <v>domingo</v>
      </c>
      <c r="C460" t="str">
        <f>TEXT(Tabla24[[#This Row],[Fecha]],"mmmm")</f>
        <v>mayo</v>
      </c>
      <c r="D460" t="str">
        <f>TEXT(Tabla24[[#This Row],[Fecha]],"aaaa")</f>
        <v>2024</v>
      </c>
      <c r="E460" t="s">
        <v>33</v>
      </c>
      <c r="F460" t="s">
        <v>23</v>
      </c>
      <c r="G460" t="s">
        <v>24</v>
      </c>
      <c r="H460" t="s">
        <v>14</v>
      </c>
      <c r="I460" t="s">
        <v>26</v>
      </c>
      <c r="J460">
        <v>17</v>
      </c>
      <c r="K460">
        <v>48855</v>
      </c>
      <c r="L460">
        <f>Tabla24[[#This Row],[Precio_Unitario]]*Tabla24[[#This Row],[Unidades_Vendidas]]</f>
        <v>830535</v>
      </c>
      <c r="M460" t="s">
        <v>20</v>
      </c>
    </row>
    <row r="461" spans="1:13" x14ac:dyDescent="0.25">
      <c r="A461" t="s">
        <v>90</v>
      </c>
      <c r="B461" t="str">
        <f>TEXT(Tabla24[[#This Row],[Fecha]],"dddd")</f>
        <v>miércoles</v>
      </c>
      <c r="C461" t="str">
        <f>TEXT(Tabla24[[#This Row],[Fecha]],"mmmm")</f>
        <v>enero</v>
      </c>
      <c r="D461" t="str">
        <f>TEXT(Tabla24[[#This Row],[Fecha]],"aaaa")</f>
        <v>2024</v>
      </c>
      <c r="E461" t="s">
        <v>11</v>
      </c>
      <c r="F461" t="s">
        <v>29</v>
      </c>
      <c r="G461" t="s">
        <v>44</v>
      </c>
      <c r="H461" t="s">
        <v>19</v>
      </c>
      <c r="I461" t="s">
        <v>15</v>
      </c>
      <c r="J461">
        <v>12</v>
      </c>
      <c r="K461">
        <v>38319</v>
      </c>
      <c r="L461">
        <f>Tabla24[[#This Row],[Precio_Unitario]]*Tabla24[[#This Row],[Unidades_Vendidas]]</f>
        <v>459828</v>
      </c>
      <c r="M461" t="s">
        <v>27</v>
      </c>
    </row>
    <row r="462" spans="1:13" x14ac:dyDescent="0.25">
      <c r="A462" t="s">
        <v>310</v>
      </c>
      <c r="B462" t="str">
        <f>TEXT(Tabla24[[#This Row],[Fecha]],"dddd")</f>
        <v>jueves</v>
      </c>
      <c r="C462" t="str">
        <f>TEXT(Tabla24[[#This Row],[Fecha]],"mmmm")</f>
        <v>julio</v>
      </c>
      <c r="D462" t="str">
        <f>TEXT(Tabla24[[#This Row],[Fecha]],"aaaa")</f>
        <v>2024</v>
      </c>
      <c r="E462" t="s">
        <v>22</v>
      </c>
      <c r="F462" t="s">
        <v>12</v>
      </c>
      <c r="G462" t="s">
        <v>44</v>
      </c>
      <c r="H462" t="s">
        <v>19</v>
      </c>
      <c r="I462" t="s">
        <v>40</v>
      </c>
      <c r="J462">
        <v>1</v>
      </c>
      <c r="K462">
        <v>27894</v>
      </c>
      <c r="L462">
        <f>Tabla24[[#This Row],[Precio_Unitario]]*Tabla24[[#This Row],[Unidades_Vendidas]]</f>
        <v>27894</v>
      </c>
      <c r="M462" t="s">
        <v>16</v>
      </c>
    </row>
    <row r="463" spans="1:13" x14ac:dyDescent="0.25">
      <c r="A463" t="s">
        <v>183</v>
      </c>
      <c r="B463" t="str">
        <f>TEXT(Tabla24[[#This Row],[Fecha]],"dddd")</f>
        <v>sábado</v>
      </c>
      <c r="C463" t="str">
        <f>TEXT(Tabla24[[#This Row],[Fecha]],"mmmm")</f>
        <v>noviembre</v>
      </c>
      <c r="D463" t="str">
        <f>TEXT(Tabla24[[#This Row],[Fecha]],"aaaa")</f>
        <v>2024</v>
      </c>
      <c r="E463" t="s">
        <v>22</v>
      </c>
      <c r="F463" t="s">
        <v>34</v>
      </c>
      <c r="G463" t="s">
        <v>13</v>
      </c>
      <c r="H463" t="s">
        <v>35</v>
      </c>
      <c r="I463" t="s">
        <v>26</v>
      </c>
      <c r="J463">
        <v>9</v>
      </c>
      <c r="K463">
        <v>46863</v>
      </c>
      <c r="L463">
        <f>Tabla24[[#This Row],[Precio_Unitario]]*Tabla24[[#This Row],[Unidades_Vendidas]]</f>
        <v>421767</v>
      </c>
      <c r="M463" t="s">
        <v>27</v>
      </c>
    </row>
    <row r="464" spans="1:13" x14ac:dyDescent="0.25">
      <c r="A464" t="s">
        <v>290</v>
      </c>
      <c r="B464" t="str">
        <f>TEXT(Tabla24[[#This Row],[Fecha]],"dddd")</f>
        <v>miércoles</v>
      </c>
      <c r="C464" t="str">
        <f>TEXT(Tabla24[[#This Row],[Fecha]],"mmmm")</f>
        <v>julio</v>
      </c>
      <c r="D464" t="str">
        <f>TEXT(Tabla24[[#This Row],[Fecha]],"aaaa")</f>
        <v>2024</v>
      </c>
      <c r="E464" t="s">
        <v>11</v>
      </c>
      <c r="F464" t="s">
        <v>38</v>
      </c>
      <c r="G464" t="s">
        <v>24</v>
      </c>
      <c r="H464" t="s">
        <v>19</v>
      </c>
      <c r="I464" t="s">
        <v>15</v>
      </c>
      <c r="J464">
        <v>14</v>
      </c>
      <c r="K464">
        <v>34415</v>
      </c>
      <c r="L464">
        <f>Tabla24[[#This Row],[Precio_Unitario]]*Tabla24[[#This Row],[Unidades_Vendidas]]</f>
        <v>481810</v>
      </c>
      <c r="M464" t="s">
        <v>36</v>
      </c>
    </row>
    <row r="465" spans="1:13" x14ac:dyDescent="0.25">
      <c r="A465" t="s">
        <v>239</v>
      </c>
      <c r="B465" t="str">
        <f>TEXT(Tabla24[[#This Row],[Fecha]],"dddd")</f>
        <v>sábado</v>
      </c>
      <c r="C465" t="str">
        <f>TEXT(Tabla24[[#This Row],[Fecha]],"mmmm")</f>
        <v>marzo</v>
      </c>
      <c r="D465" t="str">
        <f>TEXT(Tabla24[[#This Row],[Fecha]],"aaaa")</f>
        <v>2024</v>
      </c>
      <c r="E465" t="s">
        <v>11</v>
      </c>
      <c r="F465" t="s">
        <v>12</v>
      </c>
      <c r="G465" t="s">
        <v>44</v>
      </c>
      <c r="H465" t="s">
        <v>14</v>
      </c>
      <c r="I465" t="s">
        <v>26</v>
      </c>
      <c r="J465">
        <v>14</v>
      </c>
      <c r="K465">
        <v>28546</v>
      </c>
      <c r="L465">
        <f>Tabla24[[#This Row],[Precio_Unitario]]*Tabla24[[#This Row],[Unidades_Vendidas]]</f>
        <v>399644</v>
      </c>
      <c r="M465" t="s">
        <v>36</v>
      </c>
    </row>
    <row r="466" spans="1:13" x14ac:dyDescent="0.25">
      <c r="A466" t="s">
        <v>145</v>
      </c>
      <c r="B466" t="str">
        <f>TEXT(Tabla24[[#This Row],[Fecha]],"dddd")</f>
        <v>jueves</v>
      </c>
      <c r="C466" t="str">
        <f>TEXT(Tabla24[[#This Row],[Fecha]],"mmmm")</f>
        <v>diciembre</v>
      </c>
      <c r="D466" t="str">
        <f>TEXT(Tabla24[[#This Row],[Fecha]],"aaaa")</f>
        <v>2024</v>
      </c>
      <c r="E466" t="s">
        <v>42</v>
      </c>
      <c r="F466" t="s">
        <v>12</v>
      </c>
      <c r="G466" t="s">
        <v>48</v>
      </c>
      <c r="H466" t="s">
        <v>25</v>
      </c>
      <c r="I466" t="s">
        <v>26</v>
      </c>
      <c r="J466">
        <v>3</v>
      </c>
      <c r="K466">
        <v>50742</v>
      </c>
      <c r="L466">
        <f>Tabla24[[#This Row],[Precio_Unitario]]*Tabla24[[#This Row],[Unidades_Vendidas]]</f>
        <v>152226</v>
      </c>
      <c r="M466" t="s">
        <v>27</v>
      </c>
    </row>
    <row r="467" spans="1:13" x14ac:dyDescent="0.25">
      <c r="A467" t="s">
        <v>107</v>
      </c>
      <c r="B467" t="str">
        <f>TEXT(Tabla24[[#This Row],[Fecha]],"dddd")</f>
        <v>miércoles</v>
      </c>
      <c r="C467" t="str">
        <f>TEXT(Tabla24[[#This Row],[Fecha]],"mmmm")</f>
        <v>diciembre</v>
      </c>
      <c r="D467" t="str">
        <f>TEXT(Tabla24[[#This Row],[Fecha]],"aaaa")</f>
        <v>2024</v>
      </c>
      <c r="E467" t="s">
        <v>42</v>
      </c>
      <c r="F467" t="s">
        <v>34</v>
      </c>
      <c r="G467" t="s">
        <v>24</v>
      </c>
      <c r="H467" t="s">
        <v>14</v>
      </c>
      <c r="I467" t="s">
        <v>26</v>
      </c>
      <c r="J467">
        <v>20</v>
      </c>
      <c r="K467">
        <v>34096</v>
      </c>
      <c r="L467">
        <f>Tabla24[[#This Row],[Precio_Unitario]]*Tabla24[[#This Row],[Unidades_Vendidas]]</f>
        <v>681920</v>
      </c>
      <c r="M467" t="s">
        <v>36</v>
      </c>
    </row>
    <row r="468" spans="1:13" x14ac:dyDescent="0.25">
      <c r="A468" t="s">
        <v>65</v>
      </c>
      <c r="B468" t="str">
        <f>TEXT(Tabla24[[#This Row],[Fecha]],"dddd")</f>
        <v>viernes</v>
      </c>
      <c r="C468" t="str">
        <f>TEXT(Tabla24[[#This Row],[Fecha]],"mmmm")</f>
        <v>abril</v>
      </c>
      <c r="D468" t="str">
        <f>TEXT(Tabla24[[#This Row],[Fecha]],"aaaa")</f>
        <v>2024</v>
      </c>
      <c r="E468" t="s">
        <v>22</v>
      </c>
      <c r="F468" t="s">
        <v>34</v>
      </c>
      <c r="G468" t="s">
        <v>13</v>
      </c>
      <c r="H468" t="s">
        <v>35</v>
      </c>
      <c r="I468" t="s">
        <v>15</v>
      </c>
      <c r="J468">
        <v>16</v>
      </c>
      <c r="K468">
        <v>18379</v>
      </c>
      <c r="L468">
        <f>Tabla24[[#This Row],[Precio_Unitario]]*Tabla24[[#This Row],[Unidades_Vendidas]]</f>
        <v>294064</v>
      </c>
      <c r="M468" t="s">
        <v>27</v>
      </c>
    </row>
    <row r="469" spans="1:13" x14ac:dyDescent="0.25">
      <c r="A469" t="s">
        <v>215</v>
      </c>
      <c r="B469" t="str">
        <f>TEXT(Tabla24[[#This Row],[Fecha]],"dddd")</f>
        <v>domingo</v>
      </c>
      <c r="C469" t="str">
        <f>TEXT(Tabla24[[#This Row],[Fecha]],"mmmm")</f>
        <v>mayo</v>
      </c>
      <c r="D469" t="str">
        <f>TEXT(Tabla24[[#This Row],[Fecha]],"aaaa")</f>
        <v>2024</v>
      </c>
      <c r="E469" t="s">
        <v>11</v>
      </c>
      <c r="F469" t="s">
        <v>29</v>
      </c>
      <c r="G469" t="s">
        <v>48</v>
      </c>
      <c r="H469" t="s">
        <v>14</v>
      </c>
      <c r="I469" t="s">
        <v>26</v>
      </c>
      <c r="J469">
        <v>14</v>
      </c>
      <c r="K469">
        <v>44572</v>
      </c>
      <c r="L469">
        <f>Tabla24[[#This Row],[Precio_Unitario]]*Tabla24[[#This Row],[Unidades_Vendidas]]</f>
        <v>624008</v>
      </c>
      <c r="M469" t="s">
        <v>16</v>
      </c>
    </row>
    <row r="470" spans="1:13" x14ac:dyDescent="0.25">
      <c r="A470" t="s">
        <v>311</v>
      </c>
      <c r="B470" t="str">
        <f>TEXT(Tabla24[[#This Row],[Fecha]],"dddd")</f>
        <v>miércoles</v>
      </c>
      <c r="C470" t="str">
        <f>TEXT(Tabla24[[#This Row],[Fecha]],"mmmm")</f>
        <v>abril</v>
      </c>
      <c r="D470" t="str">
        <f>TEXT(Tabla24[[#This Row],[Fecha]],"aaaa")</f>
        <v>2024</v>
      </c>
      <c r="E470" t="s">
        <v>33</v>
      </c>
      <c r="F470" t="s">
        <v>34</v>
      </c>
      <c r="G470" t="s">
        <v>39</v>
      </c>
      <c r="H470" t="s">
        <v>14</v>
      </c>
      <c r="I470" t="s">
        <v>40</v>
      </c>
      <c r="J470">
        <v>13</v>
      </c>
      <c r="K470">
        <v>20708</v>
      </c>
      <c r="L470">
        <f>Tabla24[[#This Row],[Precio_Unitario]]*Tabla24[[#This Row],[Unidades_Vendidas]]</f>
        <v>269204</v>
      </c>
      <c r="M470" t="s">
        <v>20</v>
      </c>
    </row>
    <row r="471" spans="1:13" x14ac:dyDescent="0.25">
      <c r="A471" t="s">
        <v>277</v>
      </c>
      <c r="B471" t="str">
        <f>TEXT(Tabla24[[#This Row],[Fecha]],"dddd")</f>
        <v>miércoles</v>
      </c>
      <c r="C471" t="str">
        <f>TEXT(Tabla24[[#This Row],[Fecha]],"mmmm")</f>
        <v>agosto</v>
      </c>
      <c r="D471" t="str">
        <f>TEXT(Tabla24[[#This Row],[Fecha]],"aaaa")</f>
        <v>2024</v>
      </c>
      <c r="E471" t="s">
        <v>11</v>
      </c>
      <c r="F471" t="s">
        <v>12</v>
      </c>
      <c r="G471" t="s">
        <v>13</v>
      </c>
      <c r="H471" t="s">
        <v>30</v>
      </c>
      <c r="I471" t="s">
        <v>26</v>
      </c>
      <c r="J471">
        <v>13</v>
      </c>
      <c r="K471">
        <v>51373</v>
      </c>
      <c r="L471">
        <f>Tabla24[[#This Row],[Precio_Unitario]]*Tabla24[[#This Row],[Unidades_Vendidas]]</f>
        <v>667849</v>
      </c>
      <c r="M471" t="s">
        <v>16</v>
      </c>
    </row>
    <row r="472" spans="1:13" x14ac:dyDescent="0.25">
      <c r="A472" t="s">
        <v>312</v>
      </c>
      <c r="B472" t="str">
        <f>TEXT(Tabla24[[#This Row],[Fecha]],"dddd")</f>
        <v>sábado</v>
      </c>
      <c r="C472" t="str">
        <f>TEXT(Tabla24[[#This Row],[Fecha]],"mmmm")</f>
        <v>junio</v>
      </c>
      <c r="D472" t="str">
        <f>TEXT(Tabla24[[#This Row],[Fecha]],"aaaa")</f>
        <v>2024</v>
      </c>
      <c r="E472" t="s">
        <v>18</v>
      </c>
      <c r="F472" t="s">
        <v>38</v>
      </c>
      <c r="G472" t="s">
        <v>13</v>
      </c>
      <c r="H472" t="s">
        <v>35</v>
      </c>
      <c r="I472" t="s">
        <v>40</v>
      </c>
      <c r="J472">
        <v>14</v>
      </c>
      <c r="K472">
        <v>57450</v>
      </c>
      <c r="L472">
        <f>Tabla24[[#This Row],[Precio_Unitario]]*Tabla24[[#This Row],[Unidades_Vendidas]]</f>
        <v>804300</v>
      </c>
      <c r="M472" t="s">
        <v>36</v>
      </c>
    </row>
    <row r="473" spans="1:13" x14ac:dyDescent="0.25">
      <c r="A473" t="s">
        <v>201</v>
      </c>
      <c r="B473" t="str">
        <f>TEXT(Tabla24[[#This Row],[Fecha]],"dddd")</f>
        <v>domingo</v>
      </c>
      <c r="C473" t="str">
        <f>TEXT(Tabla24[[#This Row],[Fecha]],"mmmm")</f>
        <v>octubre</v>
      </c>
      <c r="D473" t="str">
        <f>TEXT(Tabla24[[#This Row],[Fecha]],"aaaa")</f>
        <v>2024</v>
      </c>
      <c r="E473" t="s">
        <v>33</v>
      </c>
      <c r="F473" t="s">
        <v>38</v>
      </c>
      <c r="G473" t="s">
        <v>48</v>
      </c>
      <c r="H473" t="s">
        <v>19</v>
      </c>
      <c r="I473" t="s">
        <v>26</v>
      </c>
      <c r="J473">
        <v>16</v>
      </c>
      <c r="K473">
        <v>33263</v>
      </c>
      <c r="L473">
        <f>Tabla24[[#This Row],[Precio_Unitario]]*Tabla24[[#This Row],[Unidades_Vendidas]]</f>
        <v>532208</v>
      </c>
      <c r="M473" t="s">
        <v>27</v>
      </c>
    </row>
    <row r="474" spans="1:13" x14ac:dyDescent="0.25">
      <c r="A474" t="s">
        <v>59</v>
      </c>
      <c r="B474" t="str">
        <f>TEXT(Tabla24[[#This Row],[Fecha]],"dddd")</f>
        <v>sábado</v>
      </c>
      <c r="C474" t="str">
        <f>TEXT(Tabla24[[#This Row],[Fecha]],"mmmm")</f>
        <v>octubre</v>
      </c>
      <c r="D474" t="str">
        <f>TEXT(Tabla24[[#This Row],[Fecha]],"aaaa")</f>
        <v>2024</v>
      </c>
      <c r="E474" t="s">
        <v>11</v>
      </c>
      <c r="F474" t="s">
        <v>38</v>
      </c>
      <c r="G474" t="s">
        <v>24</v>
      </c>
      <c r="H474" t="s">
        <v>35</v>
      </c>
      <c r="I474" t="s">
        <v>26</v>
      </c>
      <c r="J474">
        <v>6</v>
      </c>
      <c r="K474">
        <v>56806</v>
      </c>
      <c r="L474">
        <f>Tabla24[[#This Row],[Precio_Unitario]]*Tabla24[[#This Row],[Unidades_Vendidas]]</f>
        <v>340836</v>
      </c>
      <c r="M474" t="s">
        <v>36</v>
      </c>
    </row>
    <row r="475" spans="1:13" x14ac:dyDescent="0.25">
      <c r="A475" t="s">
        <v>58</v>
      </c>
      <c r="B475" t="str">
        <f>TEXT(Tabla24[[#This Row],[Fecha]],"dddd")</f>
        <v>lunes</v>
      </c>
      <c r="C475" t="str">
        <f>TEXT(Tabla24[[#This Row],[Fecha]],"mmmm")</f>
        <v>octubre</v>
      </c>
      <c r="D475" t="str">
        <f>TEXT(Tabla24[[#This Row],[Fecha]],"aaaa")</f>
        <v>2024</v>
      </c>
      <c r="E475" t="s">
        <v>33</v>
      </c>
      <c r="F475" t="s">
        <v>12</v>
      </c>
      <c r="G475" t="s">
        <v>44</v>
      </c>
      <c r="H475" t="s">
        <v>25</v>
      </c>
      <c r="I475" t="s">
        <v>26</v>
      </c>
      <c r="J475">
        <v>11</v>
      </c>
      <c r="K475">
        <v>42462</v>
      </c>
      <c r="L475">
        <f>Tabla24[[#This Row],[Precio_Unitario]]*Tabla24[[#This Row],[Unidades_Vendidas]]</f>
        <v>467082</v>
      </c>
      <c r="M475" t="s">
        <v>36</v>
      </c>
    </row>
    <row r="476" spans="1:13" x14ac:dyDescent="0.25">
      <c r="A476" t="s">
        <v>52</v>
      </c>
      <c r="B476" t="str">
        <f>TEXT(Tabla24[[#This Row],[Fecha]],"dddd")</f>
        <v>jueves</v>
      </c>
      <c r="C476" t="str">
        <f>TEXT(Tabla24[[#This Row],[Fecha]],"mmmm")</f>
        <v>diciembre</v>
      </c>
      <c r="D476" t="str">
        <f>TEXT(Tabla24[[#This Row],[Fecha]],"aaaa")</f>
        <v>2024</v>
      </c>
      <c r="E476" t="s">
        <v>18</v>
      </c>
      <c r="F476" t="s">
        <v>34</v>
      </c>
      <c r="G476" t="s">
        <v>48</v>
      </c>
      <c r="H476" t="s">
        <v>35</v>
      </c>
      <c r="I476" t="s">
        <v>26</v>
      </c>
      <c r="J476">
        <v>18</v>
      </c>
      <c r="K476">
        <v>24226</v>
      </c>
      <c r="L476">
        <f>Tabla24[[#This Row],[Precio_Unitario]]*Tabla24[[#This Row],[Unidades_Vendidas]]</f>
        <v>436068</v>
      </c>
      <c r="M476" t="s">
        <v>27</v>
      </c>
    </row>
    <row r="477" spans="1:13" x14ac:dyDescent="0.25">
      <c r="A477" t="s">
        <v>249</v>
      </c>
      <c r="B477" t="str">
        <f>TEXT(Tabla24[[#This Row],[Fecha]],"dddd")</f>
        <v>sábado</v>
      </c>
      <c r="C477" t="str">
        <f>TEXT(Tabla24[[#This Row],[Fecha]],"mmmm")</f>
        <v>mayo</v>
      </c>
      <c r="D477" t="str">
        <f>TEXT(Tabla24[[#This Row],[Fecha]],"aaaa")</f>
        <v>2024</v>
      </c>
      <c r="E477" t="s">
        <v>22</v>
      </c>
      <c r="F477" t="s">
        <v>29</v>
      </c>
      <c r="G477" t="s">
        <v>13</v>
      </c>
      <c r="H477" t="s">
        <v>30</v>
      </c>
      <c r="I477" t="s">
        <v>40</v>
      </c>
      <c r="J477">
        <v>16</v>
      </c>
      <c r="K477">
        <v>36044</v>
      </c>
      <c r="L477">
        <f>Tabla24[[#This Row],[Precio_Unitario]]*Tabla24[[#This Row],[Unidades_Vendidas]]</f>
        <v>576704</v>
      </c>
      <c r="M477" t="s">
        <v>20</v>
      </c>
    </row>
    <row r="478" spans="1:13" x14ac:dyDescent="0.25">
      <c r="A478" t="s">
        <v>220</v>
      </c>
      <c r="B478" t="str">
        <f>TEXT(Tabla24[[#This Row],[Fecha]],"dddd")</f>
        <v>lunes</v>
      </c>
      <c r="C478" t="str">
        <f>TEXT(Tabla24[[#This Row],[Fecha]],"mmmm")</f>
        <v>enero</v>
      </c>
      <c r="D478" t="str">
        <f>TEXT(Tabla24[[#This Row],[Fecha]],"aaaa")</f>
        <v>2024</v>
      </c>
      <c r="E478" t="s">
        <v>33</v>
      </c>
      <c r="F478" t="s">
        <v>23</v>
      </c>
      <c r="G478" t="s">
        <v>24</v>
      </c>
      <c r="H478" t="s">
        <v>19</v>
      </c>
      <c r="I478" t="s">
        <v>26</v>
      </c>
      <c r="J478">
        <v>8</v>
      </c>
      <c r="K478">
        <v>44790</v>
      </c>
      <c r="L478">
        <f>Tabla24[[#This Row],[Precio_Unitario]]*Tabla24[[#This Row],[Unidades_Vendidas]]</f>
        <v>358320</v>
      </c>
      <c r="M478" t="s">
        <v>27</v>
      </c>
    </row>
    <row r="479" spans="1:13" x14ac:dyDescent="0.25">
      <c r="A479" t="s">
        <v>306</v>
      </c>
      <c r="B479" t="str">
        <f>TEXT(Tabla24[[#This Row],[Fecha]],"dddd")</f>
        <v>domingo</v>
      </c>
      <c r="C479" t="str">
        <f>TEXT(Tabla24[[#This Row],[Fecha]],"mmmm")</f>
        <v>junio</v>
      </c>
      <c r="D479" t="str">
        <f>TEXT(Tabla24[[#This Row],[Fecha]],"aaaa")</f>
        <v>2024</v>
      </c>
      <c r="E479" t="s">
        <v>22</v>
      </c>
      <c r="F479" t="s">
        <v>34</v>
      </c>
      <c r="G479" t="s">
        <v>24</v>
      </c>
      <c r="H479" t="s">
        <v>25</v>
      </c>
      <c r="I479" t="s">
        <v>40</v>
      </c>
      <c r="J479">
        <v>9</v>
      </c>
      <c r="K479">
        <v>58463</v>
      </c>
      <c r="L479">
        <f>Tabla24[[#This Row],[Precio_Unitario]]*Tabla24[[#This Row],[Unidades_Vendidas]]</f>
        <v>526167</v>
      </c>
      <c r="M479" t="s">
        <v>16</v>
      </c>
    </row>
    <row r="480" spans="1:13" x14ac:dyDescent="0.25">
      <c r="A480" t="s">
        <v>310</v>
      </c>
      <c r="B480" t="str">
        <f>TEXT(Tabla24[[#This Row],[Fecha]],"dddd")</f>
        <v>jueves</v>
      </c>
      <c r="C480" t="str">
        <f>TEXT(Tabla24[[#This Row],[Fecha]],"mmmm")</f>
        <v>julio</v>
      </c>
      <c r="D480" t="str">
        <f>TEXT(Tabla24[[#This Row],[Fecha]],"aaaa")</f>
        <v>2024</v>
      </c>
      <c r="E480" t="s">
        <v>18</v>
      </c>
      <c r="F480" t="s">
        <v>34</v>
      </c>
      <c r="G480" t="s">
        <v>39</v>
      </c>
      <c r="H480" t="s">
        <v>25</v>
      </c>
      <c r="I480" t="s">
        <v>26</v>
      </c>
      <c r="J480">
        <v>16</v>
      </c>
      <c r="K480">
        <v>40127</v>
      </c>
      <c r="L480">
        <f>Tabla24[[#This Row],[Precio_Unitario]]*Tabla24[[#This Row],[Unidades_Vendidas]]</f>
        <v>642032</v>
      </c>
      <c r="M480" t="s">
        <v>27</v>
      </c>
    </row>
    <row r="481" spans="1:13" x14ac:dyDescent="0.25">
      <c r="A481" t="s">
        <v>47</v>
      </c>
      <c r="B481" t="str">
        <f>TEXT(Tabla24[[#This Row],[Fecha]],"dddd")</f>
        <v>miércoles</v>
      </c>
      <c r="C481" t="str">
        <f>TEXT(Tabla24[[#This Row],[Fecha]],"mmmm")</f>
        <v>septiembre</v>
      </c>
      <c r="D481" t="str">
        <f>TEXT(Tabla24[[#This Row],[Fecha]],"aaaa")</f>
        <v>2024</v>
      </c>
      <c r="E481" t="s">
        <v>33</v>
      </c>
      <c r="F481" t="s">
        <v>29</v>
      </c>
      <c r="G481" t="s">
        <v>48</v>
      </c>
      <c r="H481" t="s">
        <v>30</v>
      </c>
      <c r="I481" t="s">
        <v>26</v>
      </c>
      <c r="J481">
        <v>5</v>
      </c>
      <c r="K481">
        <v>48006</v>
      </c>
      <c r="L481">
        <f>Tabla24[[#This Row],[Precio_Unitario]]*Tabla24[[#This Row],[Unidades_Vendidas]]</f>
        <v>240030</v>
      </c>
      <c r="M481" t="s">
        <v>27</v>
      </c>
    </row>
    <row r="482" spans="1:13" x14ac:dyDescent="0.25">
      <c r="A482" t="s">
        <v>71</v>
      </c>
      <c r="B482" t="str">
        <f>TEXT(Tabla24[[#This Row],[Fecha]],"dddd")</f>
        <v>martes</v>
      </c>
      <c r="C482" t="str">
        <f>TEXT(Tabla24[[#This Row],[Fecha]],"mmmm")</f>
        <v>julio</v>
      </c>
      <c r="D482" t="str">
        <f>TEXT(Tabla24[[#This Row],[Fecha]],"aaaa")</f>
        <v>2024</v>
      </c>
      <c r="E482" t="s">
        <v>42</v>
      </c>
      <c r="F482" t="s">
        <v>29</v>
      </c>
      <c r="G482" t="s">
        <v>24</v>
      </c>
      <c r="H482" t="s">
        <v>19</v>
      </c>
      <c r="I482" t="s">
        <v>26</v>
      </c>
      <c r="J482">
        <v>6</v>
      </c>
      <c r="K482">
        <v>58816</v>
      </c>
      <c r="L482">
        <f>Tabla24[[#This Row],[Precio_Unitario]]*Tabla24[[#This Row],[Unidades_Vendidas]]</f>
        <v>352896</v>
      </c>
      <c r="M482" t="s">
        <v>36</v>
      </c>
    </row>
    <row r="483" spans="1:13" x14ac:dyDescent="0.25">
      <c r="A483" t="s">
        <v>97</v>
      </c>
      <c r="B483" t="str">
        <f>TEXT(Tabla24[[#This Row],[Fecha]],"dddd")</f>
        <v>lunes</v>
      </c>
      <c r="C483" t="str">
        <f>TEXT(Tabla24[[#This Row],[Fecha]],"mmmm")</f>
        <v>julio</v>
      </c>
      <c r="D483" t="str">
        <f>TEXT(Tabla24[[#This Row],[Fecha]],"aaaa")</f>
        <v>2024</v>
      </c>
      <c r="E483" t="s">
        <v>42</v>
      </c>
      <c r="F483" t="s">
        <v>38</v>
      </c>
      <c r="G483" t="s">
        <v>24</v>
      </c>
      <c r="H483" t="s">
        <v>30</v>
      </c>
      <c r="I483" t="s">
        <v>40</v>
      </c>
      <c r="J483">
        <v>19</v>
      </c>
      <c r="K483">
        <v>25707</v>
      </c>
      <c r="L483">
        <f>Tabla24[[#This Row],[Precio_Unitario]]*Tabla24[[#This Row],[Unidades_Vendidas]]</f>
        <v>488433</v>
      </c>
      <c r="M483" t="s">
        <v>27</v>
      </c>
    </row>
    <row r="484" spans="1:13" x14ac:dyDescent="0.25">
      <c r="A484" t="s">
        <v>301</v>
      </c>
      <c r="B484" t="str">
        <f>TEXT(Tabla24[[#This Row],[Fecha]],"dddd")</f>
        <v>lunes</v>
      </c>
      <c r="C484" t="str">
        <f>TEXT(Tabla24[[#This Row],[Fecha]],"mmmm")</f>
        <v>octubre</v>
      </c>
      <c r="D484" t="str">
        <f>TEXT(Tabla24[[#This Row],[Fecha]],"aaaa")</f>
        <v>2024</v>
      </c>
      <c r="E484" t="s">
        <v>11</v>
      </c>
      <c r="F484" t="s">
        <v>29</v>
      </c>
      <c r="G484" t="s">
        <v>39</v>
      </c>
      <c r="H484" t="s">
        <v>25</v>
      </c>
      <c r="I484" t="s">
        <v>26</v>
      </c>
      <c r="J484">
        <v>13</v>
      </c>
      <c r="K484">
        <v>46495</v>
      </c>
      <c r="L484">
        <f>Tabla24[[#This Row],[Precio_Unitario]]*Tabla24[[#This Row],[Unidades_Vendidas]]</f>
        <v>604435</v>
      </c>
      <c r="M484" t="s">
        <v>36</v>
      </c>
    </row>
    <row r="485" spans="1:13" x14ac:dyDescent="0.25">
      <c r="A485" t="s">
        <v>286</v>
      </c>
      <c r="B485" t="str">
        <f>TEXT(Tabla24[[#This Row],[Fecha]],"dddd")</f>
        <v>domingo</v>
      </c>
      <c r="C485" t="str">
        <f>TEXT(Tabla24[[#This Row],[Fecha]],"mmmm")</f>
        <v>agosto</v>
      </c>
      <c r="D485" t="str">
        <f>TEXT(Tabla24[[#This Row],[Fecha]],"aaaa")</f>
        <v>2024</v>
      </c>
      <c r="E485" t="s">
        <v>18</v>
      </c>
      <c r="F485" t="s">
        <v>29</v>
      </c>
      <c r="G485" t="s">
        <v>13</v>
      </c>
      <c r="H485" t="s">
        <v>25</v>
      </c>
      <c r="I485" t="s">
        <v>15</v>
      </c>
      <c r="J485">
        <v>16</v>
      </c>
      <c r="K485">
        <v>38002</v>
      </c>
      <c r="L485">
        <f>Tabla24[[#This Row],[Precio_Unitario]]*Tabla24[[#This Row],[Unidades_Vendidas]]</f>
        <v>608032</v>
      </c>
      <c r="M485" t="s">
        <v>27</v>
      </c>
    </row>
    <row r="486" spans="1:13" x14ac:dyDescent="0.25">
      <c r="A486" t="s">
        <v>277</v>
      </c>
      <c r="B486" t="str">
        <f>TEXT(Tabla24[[#This Row],[Fecha]],"dddd")</f>
        <v>miércoles</v>
      </c>
      <c r="C486" t="str">
        <f>TEXT(Tabla24[[#This Row],[Fecha]],"mmmm")</f>
        <v>agosto</v>
      </c>
      <c r="D486" t="str">
        <f>TEXT(Tabla24[[#This Row],[Fecha]],"aaaa")</f>
        <v>2024</v>
      </c>
      <c r="E486" t="s">
        <v>22</v>
      </c>
      <c r="F486" t="s">
        <v>12</v>
      </c>
      <c r="G486" t="s">
        <v>24</v>
      </c>
      <c r="H486" t="s">
        <v>25</v>
      </c>
      <c r="I486" t="s">
        <v>26</v>
      </c>
      <c r="J486">
        <v>5</v>
      </c>
      <c r="K486">
        <v>46230</v>
      </c>
      <c r="L486">
        <f>Tabla24[[#This Row],[Precio_Unitario]]*Tabla24[[#This Row],[Unidades_Vendidas]]</f>
        <v>231150</v>
      </c>
      <c r="M486" t="s">
        <v>20</v>
      </c>
    </row>
    <row r="487" spans="1:13" x14ac:dyDescent="0.25">
      <c r="A487" t="s">
        <v>149</v>
      </c>
      <c r="B487" t="str">
        <f>TEXT(Tabla24[[#This Row],[Fecha]],"dddd")</f>
        <v>lunes</v>
      </c>
      <c r="C487" t="str">
        <f>TEXT(Tabla24[[#This Row],[Fecha]],"mmmm")</f>
        <v>julio</v>
      </c>
      <c r="D487" t="str">
        <f>TEXT(Tabla24[[#This Row],[Fecha]],"aaaa")</f>
        <v>2024</v>
      </c>
      <c r="E487" t="s">
        <v>22</v>
      </c>
      <c r="F487" t="s">
        <v>12</v>
      </c>
      <c r="G487" t="s">
        <v>44</v>
      </c>
      <c r="H487" t="s">
        <v>25</v>
      </c>
      <c r="I487" t="s">
        <v>26</v>
      </c>
      <c r="J487">
        <v>19</v>
      </c>
      <c r="K487">
        <v>33229</v>
      </c>
      <c r="L487">
        <f>Tabla24[[#This Row],[Precio_Unitario]]*Tabla24[[#This Row],[Unidades_Vendidas]]</f>
        <v>631351</v>
      </c>
      <c r="M487" t="s">
        <v>36</v>
      </c>
    </row>
    <row r="488" spans="1:13" x14ac:dyDescent="0.25">
      <c r="A488" t="s">
        <v>180</v>
      </c>
      <c r="B488" t="str">
        <f>TEXT(Tabla24[[#This Row],[Fecha]],"dddd")</f>
        <v>viernes</v>
      </c>
      <c r="C488" t="str">
        <f>TEXT(Tabla24[[#This Row],[Fecha]],"mmmm")</f>
        <v>marzo</v>
      </c>
      <c r="D488" t="str">
        <f>TEXT(Tabla24[[#This Row],[Fecha]],"aaaa")</f>
        <v>2024</v>
      </c>
      <c r="E488" t="s">
        <v>22</v>
      </c>
      <c r="F488" t="s">
        <v>23</v>
      </c>
      <c r="G488" t="s">
        <v>24</v>
      </c>
      <c r="H488" t="s">
        <v>35</v>
      </c>
      <c r="I488" t="s">
        <v>15</v>
      </c>
      <c r="J488">
        <v>3</v>
      </c>
      <c r="K488">
        <v>22046</v>
      </c>
      <c r="L488">
        <f>Tabla24[[#This Row],[Precio_Unitario]]*Tabla24[[#This Row],[Unidades_Vendidas]]</f>
        <v>66138</v>
      </c>
      <c r="M488" t="s">
        <v>27</v>
      </c>
    </row>
    <row r="489" spans="1:13" x14ac:dyDescent="0.25">
      <c r="A489" t="s">
        <v>109</v>
      </c>
      <c r="B489" t="str">
        <f>TEXT(Tabla24[[#This Row],[Fecha]],"dddd")</f>
        <v>miércoles</v>
      </c>
      <c r="C489" t="str">
        <f>TEXT(Tabla24[[#This Row],[Fecha]],"mmmm")</f>
        <v>mayo</v>
      </c>
      <c r="D489" t="str">
        <f>TEXT(Tabla24[[#This Row],[Fecha]],"aaaa")</f>
        <v>2024</v>
      </c>
      <c r="E489" t="s">
        <v>18</v>
      </c>
      <c r="F489" t="s">
        <v>23</v>
      </c>
      <c r="G489" t="s">
        <v>44</v>
      </c>
      <c r="H489" t="s">
        <v>25</v>
      </c>
      <c r="I489" t="s">
        <v>40</v>
      </c>
      <c r="J489">
        <v>16</v>
      </c>
      <c r="K489">
        <v>47044</v>
      </c>
      <c r="L489">
        <f>Tabla24[[#This Row],[Precio_Unitario]]*Tabla24[[#This Row],[Unidades_Vendidas]]</f>
        <v>752704</v>
      </c>
      <c r="M489" t="s">
        <v>20</v>
      </c>
    </row>
    <row r="490" spans="1:13" x14ac:dyDescent="0.25">
      <c r="A490" t="s">
        <v>209</v>
      </c>
      <c r="B490" t="str">
        <f>TEXT(Tabla24[[#This Row],[Fecha]],"dddd")</f>
        <v>martes</v>
      </c>
      <c r="C490" t="str">
        <f>TEXT(Tabla24[[#This Row],[Fecha]],"mmmm")</f>
        <v>septiembre</v>
      </c>
      <c r="D490" t="str">
        <f>TEXT(Tabla24[[#This Row],[Fecha]],"aaaa")</f>
        <v>2024</v>
      </c>
      <c r="E490" t="s">
        <v>33</v>
      </c>
      <c r="F490" t="s">
        <v>34</v>
      </c>
      <c r="G490" t="s">
        <v>44</v>
      </c>
      <c r="H490" t="s">
        <v>14</v>
      </c>
      <c r="I490" t="s">
        <v>40</v>
      </c>
      <c r="J490">
        <v>13</v>
      </c>
      <c r="K490">
        <v>53919</v>
      </c>
      <c r="L490">
        <f>Tabla24[[#This Row],[Precio_Unitario]]*Tabla24[[#This Row],[Unidades_Vendidas]]</f>
        <v>700947</v>
      </c>
      <c r="M490" t="s">
        <v>16</v>
      </c>
    </row>
    <row r="491" spans="1:13" x14ac:dyDescent="0.25">
      <c r="A491" t="s">
        <v>313</v>
      </c>
      <c r="B491" t="str">
        <f>TEXT(Tabla24[[#This Row],[Fecha]],"dddd")</f>
        <v>jueves</v>
      </c>
      <c r="C491" t="str">
        <f>TEXT(Tabla24[[#This Row],[Fecha]],"mmmm")</f>
        <v>agosto</v>
      </c>
      <c r="D491" t="str">
        <f>TEXT(Tabla24[[#This Row],[Fecha]],"aaaa")</f>
        <v>2024</v>
      </c>
      <c r="E491" t="s">
        <v>11</v>
      </c>
      <c r="F491" t="s">
        <v>34</v>
      </c>
      <c r="G491" t="s">
        <v>44</v>
      </c>
      <c r="H491" t="s">
        <v>25</v>
      </c>
      <c r="I491" t="s">
        <v>15</v>
      </c>
      <c r="J491">
        <v>20</v>
      </c>
      <c r="K491">
        <v>52298</v>
      </c>
      <c r="L491">
        <f>Tabla24[[#This Row],[Precio_Unitario]]*Tabla24[[#This Row],[Unidades_Vendidas]]</f>
        <v>1045960</v>
      </c>
      <c r="M491" t="s">
        <v>20</v>
      </c>
    </row>
    <row r="492" spans="1:13" x14ac:dyDescent="0.25">
      <c r="A492" t="s">
        <v>168</v>
      </c>
      <c r="B492" t="str">
        <f>TEXT(Tabla24[[#This Row],[Fecha]],"dddd")</f>
        <v>martes</v>
      </c>
      <c r="C492" t="str">
        <f>TEXT(Tabla24[[#This Row],[Fecha]],"mmmm")</f>
        <v>enero</v>
      </c>
      <c r="D492" t="str">
        <f>TEXT(Tabla24[[#This Row],[Fecha]],"aaaa")</f>
        <v>2024</v>
      </c>
      <c r="E492" t="s">
        <v>18</v>
      </c>
      <c r="F492" t="s">
        <v>12</v>
      </c>
      <c r="G492" t="s">
        <v>48</v>
      </c>
      <c r="H492" t="s">
        <v>19</v>
      </c>
      <c r="I492" t="s">
        <v>15</v>
      </c>
      <c r="J492">
        <v>5</v>
      </c>
      <c r="K492">
        <v>17300</v>
      </c>
      <c r="L492">
        <f>Tabla24[[#This Row],[Precio_Unitario]]*Tabla24[[#This Row],[Unidades_Vendidas]]</f>
        <v>86500</v>
      </c>
      <c r="M492" t="s">
        <v>20</v>
      </c>
    </row>
    <row r="493" spans="1:13" x14ac:dyDescent="0.25">
      <c r="A493" t="s">
        <v>64</v>
      </c>
      <c r="B493" t="str">
        <f>TEXT(Tabla24[[#This Row],[Fecha]],"dddd")</f>
        <v>martes</v>
      </c>
      <c r="C493" t="str">
        <f>TEXT(Tabla24[[#This Row],[Fecha]],"mmmm")</f>
        <v>octubre</v>
      </c>
      <c r="D493" t="str">
        <f>TEXT(Tabla24[[#This Row],[Fecha]],"aaaa")</f>
        <v>2024</v>
      </c>
      <c r="E493" t="s">
        <v>11</v>
      </c>
      <c r="F493" t="s">
        <v>12</v>
      </c>
      <c r="G493" t="s">
        <v>48</v>
      </c>
      <c r="H493" t="s">
        <v>14</v>
      </c>
      <c r="I493" t="s">
        <v>26</v>
      </c>
      <c r="J493">
        <v>20</v>
      </c>
      <c r="K493">
        <v>44833</v>
      </c>
      <c r="L493">
        <f>Tabla24[[#This Row],[Precio_Unitario]]*Tabla24[[#This Row],[Unidades_Vendidas]]</f>
        <v>896660</v>
      </c>
      <c r="M493" t="s">
        <v>16</v>
      </c>
    </row>
    <row r="494" spans="1:13" x14ac:dyDescent="0.25">
      <c r="A494" t="s">
        <v>41</v>
      </c>
      <c r="B494" t="str">
        <f>TEXT(Tabla24[[#This Row],[Fecha]],"dddd")</f>
        <v>miércoles</v>
      </c>
      <c r="C494" t="str">
        <f>TEXT(Tabla24[[#This Row],[Fecha]],"mmmm")</f>
        <v>marzo</v>
      </c>
      <c r="D494" t="str">
        <f>TEXT(Tabla24[[#This Row],[Fecha]],"aaaa")</f>
        <v>2024</v>
      </c>
      <c r="E494" t="s">
        <v>18</v>
      </c>
      <c r="F494" t="s">
        <v>34</v>
      </c>
      <c r="G494" t="s">
        <v>13</v>
      </c>
      <c r="H494" t="s">
        <v>35</v>
      </c>
      <c r="I494" t="s">
        <v>40</v>
      </c>
      <c r="J494">
        <v>20</v>
      </c>
      <c r="K494">
        <v>22560</v>
      </c>
      <c r="L494">
        <f>Tabla24[[#This Row],[Precio_Unitario]]*Tabla24[[#This Row],[Unidades_Vendidas]]</f>
        <v>451200</v>
      </c>
      <c r="M494" t="s">
        <v>16</v>
      </c>
    </row>
    <row r="495" spans="1:13" x14ac:dyDescent="0.25">
      <c r="A495" t="s">
        <v>276</v>
      </c>
      <c r="B495" t="str">
        <f>TEXT(Tabla24[[#This Row],[Fecha]],"dddd")</f>
        <v>domingo</v>
      </c>
      <c r="C495" t="str">
        <f>TEXT(Tabla24[[#This Row],[Fecha]],"mmmm")</f>
        <v>marzo</v>
      </c>
      <c r="D495" t="str">
        <f>TEXT(Tabla24[[#This Row],[Fecha]],"aaaa")</f>
        <v>2024</v>
      </c>
      <c r="E495" t="s">
        <v>22</v>
      </c>
      <c r="F495" t="s">
        <v>12</v>
      </c>
      <c r="G495" t="s">
        <v>48</v>
      </c>
      <c r="H495" t="s">
        <v>25</v>
      </c>
      <c r="I495" t="s">
        <v>15</v>
      </c>
      <c r="J495">
        <v>3</v>
      </c>
      <c r="K495">
        <v>27104</v>
      </c>
      <c r="L495">
        <f>Tabla24[[#This Row],[Precio_Unitario]]*Tabla24[[#This Row],[Unidades_Vendidas]]</f>
        <v>81312</v>
      </c>
      <c r="M495" t="s">
        <v>36</v>
      </c>
    </row>
    <row r="496" spans="1:13" x14ac:dyDescent="0.25">
      <c r="A496" t="s">
        <v>74</v>
      </c>
      <c r="B496" t="str">
        <f>TEXT(Tabla24[[#This Row],[Fecha]],"dddd")</f>
        <v>viernes</v>
      </c>
      <c r="C496" t="str">
        <f>TEXT(Tabla24[[#This Row],[Fecha]],"mmmm")</f>
        <v>enero</v>
      </c>
      <c r="D496" t="str">
        <f>TEXT(Tabla24[[#This Row],[Fecha]],"aaaa")</f>
        <v>2024</v>
      </c>
      <c r="E496" t="s">
        <v>22</v>
      </c>
      <c r="F496" t="s">
        <v>29</v>
      </c>
      <c r="G496" t="s">
        <v>39</v>
      </c>
      <c r="H496" t="s">
        <v>30</v>
      </c>
      <c r="I496" t="s">
        <v>26</v>
      </c>
      <c r="J496">
        <v>3</v>
      </c>
      <c r="K496">
        <v>54840</v>
      </c>
      <c r="L496">
        <f>Tabla24[[#This Row],[Precio_Unitario]]*Tabla24[[#This Row],[Unidades_Vendidas]]</f>
        <v>164520</v>
      </c>
      <c r="M496" t="s">
        <v>36</v>
      </c>
    </row>
    <row r="497" spans="1:13" x14ac:dyDescent="0.25">
      <c r="A497" t="s">
        <v>61</v>
      </c>
      <c r="B497" t="str">
        <f>TEXT(Tabla24[[#This Row],[Fecha]],"dddd")</f>
        <v>domingo</v>
      </c>
      <c r="C497" t="str">
        <f>TEXT(Tabla24[[#This Row],[Fecha]],"mmmm")</f>
        <v>abril</v>
      </c>
      <c r="D497" t="str">
        <f>TEXT(Tabla24[[#This Row],[Fecha]],"aaaa")</f>
        <v>2024</v>
      </c>
      <c r="E497" t="s">
        <v>33</v>
      </c>
      <c r="F497" t="s">
        <v>34</v>
      </c>
      <c r="G497" t="s">
        <v>39</v>
      </c>
      <c r="H497" t="s">
        <v>19</v>
      </c>
      <c r="I497" t="s">
        <v>15</v>
      </c>
      <c r="J497">
        <v>1</v>
      </c>
      <c r="K497">
        <v>40372</v>
      </c>
      <c r="L497">
        <f>Tabla24[[#This Row],[Precio_Unitario]]*Tabla24[[#This Row],[Unidades_Vendidas]]</f>
        <v>40372</v>
      </c>
      <c r="M497" t="s">
        <v>20</v>
      </c>
    </row>
    <row r="498" spans="1:13" x14ac:dyDescent="0.25">
      <c r="A498" t="s">
        <v>73</v>
      </c>
      <c r="B498" t="str">
        <f>TEXT(Tabla24[[#This Row],[Fecha]],"dddd")</f>
        <v>jueves</v>
      </c>
      <c r="C498" t="str">
        <f>TEXT(Tabla24[[#This Row],[Fecha]],"mmmm")</f>
        <v>febrero</v>
      </c>
      <c r="D498" t="str">
        <f>TEXT(Tabla24[[#This Row],[Fecha]],"aaaa")</f>
        <v>2024</v>
      </c>
      <c r="E498" t="s">
        <v>33</v>
      </c>
      <c r="F498" t="s">
        <v>12</v>
      </c>
      <c r="G498" t="s">
        <v>39</v>
      </c>
      <c r="H498" t="s">
        <v>35</v>
      </c>
      <c r="I498" t="s">
        <v>40</v>
      </c>
      <c r="J498">
        <v>11</v>
      </c>
      <c r="K498">
        <v>28339</v>
      </c>
      <c r="L498">
        <f>Tabla24[[#This Row],[Precio_Unitario]]*Tabla24[[#This Row],[Unidades_Vendidas]]</f>
        <v>311729</v>
      </c>
      <c r="M498" t="s">
        <v>27</v>
      </c>
    </row>
    <row r="499" spans="1:13" x14ac:dyDescent="0.25">
      <c r="A499" t="s">
        <v>314</v>
      </c>
      <c r="B499" t="str">
        <f>TEXT(Tabla24[[#This Row],[Fecha]],"dddd")</f>
        <v>martes</v>
      </c>
      <c r="C499" t="str">
        <f>TEXT(Tabla24[[#This Row],[Fecha]],"mmmm")</f>
        <v>octubre</v>
      </c>
      <c r="D499" t="str">
        <f>TEXT(Tabla24[[#This Row],[Fecha]],"aaaa")</f>
        <v>2024</v>
      </c>
      <c r="E499" t="s">
        <v>11</v>
      </c>
      <c r="F499" t="s">
        <v>34</v>
      </c>
      <c r="G499" t="s">
        <v>48</v>
      </c>
      <c r="H499" t="s">
        <v>35</v>
      </c>
      <c r="I499" t="s">
        <v>15</v>
      </c>
      <c r="J499">
        <v>13</v>
      </c>
      <c r="K499">
        <v>50717</v>
      </c>
      <c r="L499">
        <f>Tabla24[[#This Row],[Precio_Unitario]]*Tabla24[[#This Row],[Unidades_Vendidas]]</f>
        <v>659321</v>
      </c>
      <c r="M499" t="s">
        <v>27</v>
      </c>
    </row>
    <row r="500" spans="1:13" x14ac:dyDescent="0.25">
      <c r="A500" t="s">
        <v>315</v>
      </c>
      <c r="B500" t="str">
        <f>TEXT(Tabla24[[#This Row],[Fecha]],"dddd")</f>
        <v>domingo</v>
      </c>
      <c r="C500" t="str">
        <f>TEXT(Tabla24[[#This Row],[Fecha]],"mmmm")</f>
        <v>diciembre</v>
      </c>
      <c r="D500" t="str">
        <f>TEXT(Tabla24[[#This Row],[Fecha]],"aaaa")</f>
        <v>2024</v>
      </c>
      <c r="E500" t="s">
        <v>42</v>
      </c>
      <c r="F500" t="s">
        <v>38</v>
      </c>
      <c r="G500" t="s">
        <v>48</v>
      </c>
      <c r="H500" t="s">
        <v>30</v>
      </c>
      <c r="I500" t="s">
        <v>15</v>
      </c>
      <c r="J500">
        <v>13</v>
      </c>
      <c r="K500">
        <v>19254</v>
      </c>
      <c r="L500">
        <f>Tabla24[[#This Row],[Precio_Unitario]]*Tabla24[[#This Row],[Unidades_Vendidas]]</f>
        <v>250302</v>
      </c>
      <c r="M500" t="s">
        <v>36</v>
      </c>
    </row>
    <row r="501" spans="1:13" x14ac:dyDescent="0.25">
      <c r="A501" t="s">
        <v>181</v>
      </c>
      <c r="B501" t="str">
        <f>TEXT(Tabla24[[#This Row],[Fecha]],"dddd")</f>
        <v>viernes</v>
      </c>
      <c r="C501" t="str">
        <f>TEXT(Tabla24[[#This Row],[Fecha]],"mmmm")</f>
        <v>agosto</v>
      </c>
      <c r="D501" t="str">
        <f>TEXT(Tabla24[[#This Row],[Fecha]],"aaaa")</f>
        <v>2024</v>
      </c>
      <c r="E501" t="s">
        <v>33</v>
      </c>
      <c r="F501" t="s">
        <v>23</v>
      </c>
      <c r="G501" t="s">
        <v>39</v>
      </c>
      <c r="H501" t="s">
        <v>35</v>
      </c>
      <c r="I501" t="s">
        <v>40</v>
      </c>
      <c r="J501">
        <v>3</v>
      </c>
      <c r="K501">
        <v>46285</v>
      </c>
      <c r="L501">
        <f>Tabla24[[#This Row],[Precio_Unitario]]*Tabla24[[#This Row],[Unidades_Vendidas]]</f>
        <v>138855</v>
      </c>
      <c r="M501" t="s">
        <v>36</v>
      </c>
    </row>
    <row r="502" spans="1:13" x14ac:dyDescent="0.25">
      <c r="A502" t="s">
        <v>279</v>
      </c>
      <c r="B502" t="str">
        <f>TEXT(Tabla24[[#This Row],[Fecha]],"dddd")</f>
        <v>miércoles</v>
      </c>
      <c r="C502" t="str">
        <f>TEXT(Tabla24[[#This Row],[Fecha]],"mmmm")</f>
        <v>marzo</v>
      </c>
      <c r="D502" t="str">
        <f>TEXT(Tabla24[[#This Row],[Fecha]],"aaaa")</f>
        <v>2024</v>
      </c>
      <c r="E502" t="s">
        <v>11</v>
      </c>
      <c r="F502" t="s">
        <v>38</v>
      </c>
      <c r="G502" t="s">
        <v>13</v>
      </c>
      <c r="H502" t="s">
        <v>19</v>
      </c>
      <c r="I502" t="s">
        <v>26</v>
      </c>
      <c r="J502">
        <v>16</v>
      </c>
      <c r="K502">
        <v>23169</v>
      </c>
      <c r="L502">
        <f>Tabla24[[#This Row],[Precio_Unitario]]*Tabla24[[#This Row],[Unidades_Vendidas]]</f>
        <v>370704</v>
      </c>
      <c r="M502" t="s">
        <v>20</v>
      </c>
    </row>
    <row r="503" spans="1:13" x14ac:dyDescent="0.25">
      <c r="A503" t="s">
        <v>171</v>
      </c>
      <c r="B503" t="str">
        <f>TEXT(Tabla24[[#This Row],[Fecha]],"dddd")</f>
        <v>miércoles</v>
      </c>
      <c r="C503" t="str">
        <f>TEXT(Tabla24[[#This Row],[Fecha]],"mmmm")</f>
        <v>noviembre</v>
      </c>
      <c r="D503" t="str">
        <f>TEXT(Tabla24[[#This Row],[Fecha]],"aaaa")</f>
        <v>2024</v>
      </c>
      <c r="E503" t="s">
        <v>18</v>
      </c>
      <c r="F503" t="s">
        <v>34</v>
      </c>
      <c r="G503" t="s">
        <v>13</v>
      </c>
      <c r="H503" t="s">
        <v>19</v>
      </c>
      <c r="I503" t="s">
        <v>15</v>
      </c>
      <c r="J503">
        <v>12</v>
      </c>
      <c r="K503">
        <v>28788</v>
      </c>
      <c r="L503">
        <f>Tabla24[[#This Row],[Precio_Unitario]]*Tabla24[[#This Row],[Unidades_Vendidas]]</f>
        <v>345456</v>
      </c>
      <c r="M503" t="s">
        <v>36</v>
      </c>
    </row>
    <row r="504" spans="1:13" x14ac:dyDescent="0.25">
      <c r="A504" t="s">
        <v>279</v>
      </c>
      <c r="B504" t="str">
        <f>TEXT(Tabla24[[#This Row],[Fecha]],"dddd")</f>
        <v>miércoles</v>
      </c>
      <c r="C504" t="str">
        <f>TEXT(Tabla24[[#This Row],[Fecha]],"mmmm")</f>
        <v>marzo</v>
      </c>
      <c r="D504" t="str">
        <f>TEXT(Tabla24[[#This Row],[Fecha]],"aaaa")</f>
        <v>2024</v>
      </c>
      <c r="E504" t="s">
        <v>33</v>
      </c>
      <c r="F504" t="s">
        <v>12</v>
      </c>
      <c r="G504" t="s">
        <v>48</v>
      </c>
      <c r="H504" t="s">
        <v>14</v>
      </c>
      <c r="I504" t="s">
        <v>40</v>
      </c>
      <c r="J504">
        <v>8</v>
      </c>
      <c r="K504">
        <v>27423</v>
      </c>
      <c r="L504">
        <f>Tabla24[[#This Row],[Precio_Unitario]]*Tabla24[[#This Row],[Unidades_Vendidas]]</f>
        <v>219384</v>
      </c>
      <c r="M504" t="s">
        <v>27</v>
      </c>
    </row>
    <row r="505" spans="1:13" x14ac:dyDescent="0.25">
      <c r="A505" t="s">
        <v>99</v>
      </c>
      <c r="B505" t="str">
        <f>TEXT(Tabla24[[#This Row],[Fecha]],"dddd")</f>
        <v>martes</v>
      </c>
      <c r="C505" t="str">
        <f>TEXT(Tabla24[[#This Row],[Fecha]],"mmmm")</f>
        <v>abril</v>
      </c>
      <c r="D505" t="str">
        <f>TEXT(Tabla24[[#This Row],[Fecha]],"aaaa")</f>
        <v>2024</v>
      </c>
      <c r="E505" t="s">
        <v>11</v>
      </c>
      <c r="F505" t="s">
        <v>38</v>
      </c>
      <c r="G505" t="s">
        <v>39</v>
      </c>
      <c r="H505" t="s">
        <v>14</v>
      </c>
      <c r="I505" t="s">
        <v>26</v>
      </c>
      <c r="J505">
        <v>4</v>
      </c>
      <c r="K505">
        <v>47200</v>
      </c>
      <c r="L505">
        <f>Tabla24[[#This Row],[Precio_Unitario]]*Tabla24[[#This Row],[Unidades_Vendidas]]</f>
        <v>188800</v>
      </c>
      <c r="M505" t="s">
        <v>27</v>
      </c>
    </row>
    <row r="506" spans="1:13" x14ac:dyDescent="0.25">
      <c r="A506" t="s">
        <v>158</v>
      </c>
      <c r="B506" t="str">
        <f>TEXT(Tabla24[[#This Row],[Fecha]],"dddd")</f>
        <v>viernes</v>
      </c>
      <c r="C506" t="str">
        <f>TEXT(Tabla24[[#This Row],[Fecha]],"mmmm")</f>
        <v>enero</v>
      </c>
      <c r="D506" t="str">
        <f>TEXT(Tabla24[[#This Row],[Fecha]],"aaaa")</f>
        <v>2024</v>
      </c>
      <c r="E506" t="s">
        <v>42</v>
      </c>
      <c r="F506" t="s">
        <v>34</v>
      </c>
      <c r="G506" t="s">
        <v>44</v>
      </c>
      <c r="H506" t="s">
        <v>14</v>
      </c>
      <c r="I506" t="s">
        <v>40</v>
      </c>
      <c r="J506">
        <v>18</v>
      </c>
      <c r="K506">
        <v>21197</v>
      </c>
      <c r="L506">
        <f>Tabla24[[#This Row],[Precio_Unitario]]*Tabla24[[#This Row],[Unidades_Vendidas]]</f>
        <v>381546</v>
      </c>
      <c r="M506" t="s">
        <v>27</v>
      </c>
    </row>
    <row r="507" spans="1:13" x14ac:dyDescent="0.25">
      <c r="A507" t="s">
        <v>50</v>
      </c>
      <c r="B507" t="str">
        <f>TEXT(Tabla24[[#This Row],[Fecha]],"dddd")</f>
        <v>viernes</v>
      </c>
      <c r="C507" t="str">
        <f>TEXT(Tabla24[[#This Row],[Fecha]],"mmmm")</f>
        <v>agosto</v>
      </c>
      <c r="D507" t="str">
        <f>TEXT(Tabla24[[#This Row],[Fecha]],"aaaa")</f>
        <v>2024</v>
      </c>
      <c r="E507" t="s">
        <v>42</v>
      </c>
      <c r="F507" t="s">
        <v>29</v>
      </c>
      <c r="G507" t="s">
        <v>13</v>
      </c>
      <c r="H507" t="s">
        <v>19</v>
      </c>
      <c r="I507" t="s">
        <v>40</v>
      </c>
      <c r="J507">
        <v>8</v>
      </c>
      <c r="K507">
        <v>19579</v>
      </c>
      <c r="L507">
        <f>Tabla24[[#This Row],[Precio_Unitario]]*Tabla24[[#This Row],[Unidades_Vendidas]]</f>
        <v>156632</v>
      </c>
      <c r="M507" t="s">
        <v>16</v>
      </c>
    </row>
    <row r="508" spans="1:13" x14ac:dyDescent="0.25">
      <c r="A508" t="s">
        <v>207</v>
      </c>
      <c r="B508" t="str">
        <f>TEXT(Tabla24[[#This Row],[Fecha]],"dddd")</f>
        <v>sábado</v>
      </c>
      <c r="C508" t="str">
        <f>TEXT(Tabla24[[#This Row],[Fecha]],"mmmm")</f>
        <v>abril</v>
      </c>
      <c r="D508" t="str">
        <f>TEXT(Tabla24[[#This Row],[Fecha]],"aaaa")</f>
        <v>2024</v>
      </c>
      <c r="E508" t="s">
        <v>22</v>
      </c>
      <c r="F508" t="s">
        <v>12</v>
      </c>
      <c r="G508" t="s">
        <v>39</v>
      </c>
      <c r="H508" t="s">
        <v>19</v>
      </c>
      <c r="I508" t="s">
        <v>26</v>
      </c>
      <c r="J508">
        <v>16</v>
      </c>
      <c r="K508">
        <v>55856</v>
      </c>
      <c r="L508">
        <f>Tabla24[[#This Row],[Precio_Unitario]]*Tabla24[[#This Row],[Unidades_Vendidas]]</f>
        <v>893696</v>
      </c>
      <c r="M508" t="s">
        <v>20</v>
      </c>
    </row>
    <row r="509" spans="1:13" x14ac:dyDescent="0.25">
      <c r="A509" t="s">
        <v>90</v>
      </c>
      <c r="B509" t="str">
        <f>TEXT(Tabla24[[#This Row],[Fecha]],"dddd")</f>
        <v>miércoles</v>
      </c>
      <c r="C509" t="str">
        <f>TEXT(Tabla24[[#This Row],[Fecha]],"mmmm")</f>
        <v>enero</v>
      </c>
      <c r="D509" t="str">
        <f>TEXT(Tabla24[[#This Row],[Fecha]],"aaaa")</f>
        <v>2024</v>
      </c>
      <c r="E509" t="s">
        <v>18</v>
      </c>
      <c r="F509" t="s">
        <v>29</v>
      </c>
      <c r="G509" t="s">
        <v>44</v>
      </c>
      <c r="H509" t="s">
        <v>25</v>
      </c>
      <c r="I509" t="s">
        <v>26</v>
      </c>
      <c r="J509">
        <v>18</v>
      </c>
      <c r="K509">
        <v>16509</v>
      </c>
      <c r="L509">
        <f>Tabla24[[#This Row],[Precio_Unitario]]*Tabla24[[#This Row],[Unidades_Vendidas]]</f>
        <v>297162</v>
      </c>
      <c r="M509" t="s">
        <v>36</v>
      </c>
    </row>
    <row r="510" spans="1:13" x14ac:dyDescent="0.25">
      <c r="A510" t="s">
        <v>122</v>
      </c>
      <c r="B510" t="str">
        <f>TEXT(Tabla24[[#This Row],[Fecha]],"dddd")</f>
        <v>viernes</v>
      </c>
      <c r="C510" t="str">
        <f>TEXT(Tabla24[[#This Row],[Fecha]],"mmmm")</f>
        <v>enero</v>
      </c>
      <c r="D510" t="str">
        <f>TEXT(Tabla24[[#This Row],[Fecha]],"aaaa")</f>
        <v>2024</v>
      </c>
      <c r="E510" t="s">
        <v>22</v>
      </c>
      <c r="F510" t="s">
        <v>12</v>
      </c>
      <c r="G510" t="s">
        <v>39</v>
      </c>
      <c r="H510" t="s">
        <v>35</v>
      </c>
      <c r="I510" t="s">
        <v>40</v>
      </c>
      <c r="J510">
        <v>13</v>
      </c>
      <c r="K510">
        <v>17710</v>
      </c>
      <c r="L510">
        <f>Tabla24[[#This Row],[Precio_Unitario]]*Tabla24[[#This Row],[Unidades_Vendidas]]</f>
        <v>230230</v>
      </c>
      <c r="M510" t="s">
        <v>27</v>
      </c>
    </row>
    <row r="511" spans="1:13" x14ac:dyDescent="0.25">
      <c r="A511" t="s">
        <v>316</v>
      </c>
      <c r="B511" t="str">
        <f>TEXT(Tabla24[[#This Row],[Fecha]],"dddd")</f>
        <v>sábado</v>
      </c>
      <c r="C511" t="str">
        <f>TEXT(Tabla24[[#This Row],[Fecha]],"mmmm")</f>
        <v>febrero</v>
      </c>
      <c r="D511" t="str">
        <f>TEXT(Tabla24[[#This Row],[Fecha]],"aaaa")</f>
        <v>2024</v>
      </c>
      <c r="E511" t="s">
        <v>11</v>
      </c>
      <c r="F511" t="s">
        <v>29</v>
      </c>
      <c r="G511" t="s">
        <v>48</v>
      </c>
      <c r="H511" t="s">
        <v>35</v>
      </c>
      <c r="I511" t="s">
        <v>15</v>
      </c>
      <c r="J511">
        <v>7</v>
      </c>
      <c r="K511">
        <v>16119</v>
      </c>
      <c r="L511">
        <f>Tabla24[[#This Row],[Precio_Unitario]]*Tabla24[[#This Row],[Unidades_Vendidas]]</f>
        <v>112833</v>
      </c>
      <c r="M511" t="s">
        <v>27</v>
      </c>
    </row>
    <row r="512" spans="1:13" x14ac:dyDescent="0.25">
      <c r="A512" t="s">
        <v>317</v>
      </c>
      <c r="B512" t="str">
        <f>TEXT(Tabla24[[#This Row],[Fecha]],"dddd")</f>
        <v>viernes</v>
      </c>
      <c r="C512" t="str">
        <f>TEXT(Tabla24[[#This Row],[Fecha]],"mmmm")</f>
        <v>febrero</v>
      </c>
      <c r="D512" t="str">
        <f>TEXT(Tabla24[[#This Row],[Fecha]],"aaaa")</f>
        <v>2024</v>
      </c>
      <c r="E512" t="s">
        <v>22</v>
      </c>
      <c r="F512" t="s">
        <v>38</v>
      </c>
      <c r="G512" t="s">
        <v>48</v>
      </c>
      <c r="H512" t="s">
        <v>19</v>
      </c>
      <c r="I512" t="s">
        <v>40</v>
      </c>
      <c r="J512">
        <v>1</v>
      </c>
      <c r="K512">
        <v>56833</v>
      </c>
      <c r="L512">
        <f>Tabla24[[#This Row],[Precio_Unitario]]*Tabla24[[#This Row],[Unidades_Vendidas]]</f>
        <v>56833</v>
      </c>
      <c r="M512" t="s">
        <v>20</v>
      </c>
    </row>
    <row r="513" spans="1:13" x14ac:dyDescent="0.25">
      <c r="A513" t="s">
        <v>46</v>
      </c>
      <c r="B513" t="str">
        <f>TEXT(Tabla24[[#This Row],[Fecha]],"dddd")</f>
        <v>miércoles</v>
      </c>
      <c r="C513" t="str">
        <f>TEXT(Tabla24[[#This Row],[Fecha]],"mmmm")</f>
        <v>marzo</v>
      </c>
      <c r="D513" t="str">
        <f>TEXT(Tabla24[[#This Row],[Fecha]],"aaaa")</f>
        <v>2024</v>
      </c>
      <c r="E513" t="s">
        <v>42</v>
      </c>
      <c r="F513" t="s">
        <v>38</v>
      </c>
      <c r="G513" t="s">
        <v>24</v>
      </c>
      <c r="H513" t="s">
        <v>25</v>
      </c>
      <c r="I513" t="s">
        <v>26</v>
      </c>
      <c r="J513">
        <v>14</v>
      </c>
      <c r="K513">
        <v>21052</v>
      </c>
      <c r="L513">
        <f>Tabla24[[#This Row],[Precio_Unitario]]*Tabla24[[#This Row],[Unidades_Vendidas]]</f>
        <v>294728</v>
      </c>
      <c r="M513" t="s">
        <v>16</v>
      </c>
    </row>
    <row r="514" spans="1:13" x14ac:dyDescent="0.25">
      <c r="A514" t="s">
        <v>140</v>
      </c>
      <c r="B514" t="str">
        <f>TEXT(Tabla24[[#This Row],[Fecha]],"dddd")</f>
        <v>jueves</v>
      </c>
      <c r="C514" t="str">
        <f>TEXT(Tabla24[[#This Row],[Fecha]],"mmmm")</f>
        <v>octubre</v>
      </c>
      <c r="D514" t="str">
        <f>TEXT(Tabla24[[#This Row],[Fecha]],"aaaa")</f>
        <v>2024</v>
      </c>
      <c r="E514" t="s">
        <v>33</v>
      </c>
      <c r="F514" t="s">
        <v>12</v>
      </c>
      <c r="G514" t="s">
        <v>48</v>
      </c>
      <c r="H514" t="s">
        <v>14</v>
      </c>
      <c r="I514" t="s">
        <v>40</v>
      </c>
      <c r="J514">
        <v>19</v>
      </c>
      <c r="K514">
        <v>17604</v>
      </c>
      <c r="L514">
        <f>Tabla24[[#This Row],[Precio_Unitario]]*Tabla24[[#This Row],[Unidades_Vendidas]]</f>
        <v>334476</v>
      </c>
      <c r="M514" t="s">
        <v>20</v>
      </c>
    </row>
    <row r="515" spans="1:13" x14ac:dyDescent="0.25">
      <c r="A515" t="s">
        <v>132</v>
      </c>
      <c r="B515" t="str">
        <f>TEXT(Tabla24[[#This Row],[Fecha]],"dddd")</f>
        <v>jueves</v>
      </c>
      <c r="C515" t="str">
        <f>TEXT(Tabla24[[#This Row],[Fecha]],"mmmm")</f>
        <v>enero</v>
      </c>
      <c r="D515" t="str">
        <f>TEXT(Tabla24[[#This Row],[Fecha]],"aaaa")</f>
        <v>2024</v>
      </c>
      <c r="E515" t="s">
        <v>33</v>
      </c>
      <c r="F515" t="s">
        <v>23</v>
      </c>
      <c r="G515" t="s">
        <v>13</v>
      </c>
      <c r="H515" t="s">
        <v>35</v>
      </c>
      <c r="I515" t="s">
        <v>15</v>
      </c>
      <c r="J515">
        <v>9</v>
      </c>
      <c r="K515">
        <v>49499</v>
      </c>
      <c r="L515">
        <f>Tabla24[[#This Row],[Precio_Unitario]]*Tabla24[[#This Row],[Unidades_Vendidas]]</f>
        <v>445491</v>
      </c>
      <c r="M515" t="s">
        <v>36</v>
      </c>
    </row>
    <row r="516" spans="1:13" x14ac:dyDescent="0.25">
      <c r="A516" t="s">
        <v>95</v>
      </c>
      <c r="B516" t="str">
        <f>TEXT(Tabla24[[#This Row],[Fecha]],"dddd")</f>
        <v>jueves</v>
      </c>
      <c r="C516" t="str">
        <f>TEXT(Tabla24[[#This Row],[Fecha]],"mmmm")</f>
        <v>abril</v>
      </c>
      <c r="D516" t="str">
        <f>TEXT(Tabla24[[#This Row],[Fecha]],"aaaa")</f>
        <v>2024</v>
      </c>
      <c r="E516" t="s">
        <v>22</v>
      </c>
      <c r="F516" t="s">
        <v>23</v>
      </c>
      <c r="G516" t="s">
        <v>39</v>
      </c>
      <c r="H516" t="s">
        <v>25</v>
      </c>
      <c r="I516" t="s">
        <v>40</v>
      </c>
      <c r="J516">
        <v>13</v>
      </c>
      <c r="K516">
        <v>58644</v>
      </c>
      <c r="L516">
        <f>Tabla24[[#This Row],[Precio_Unitario]]*Tabla24[[#This Row],[Unidades_Vendidas]]</f>
        <v>762372</v>
      </c>
      <c r="M516" t="s">
        <v>20</v>
      </c>
    </row>
    <row r="517" spans="1:13" x14ac:dyDescent="0.25">
      <c r="A517" t="s">
        <v>74</v>
      </c>
      <c r="B517" t="str">
        <f>TEXT(Tabla24[[#This Row],[Fecha]],"dddd")</f>
        <v>viernes</v>
      </c>
      <c r="C517" t="str">
        <f>TEXT(Tabla24[[#This Row],[Fecha]],"mmmm")</f>
        <v>enero</v>
      </c>
      <c r="D517" t="str">
        <f>TEXT(Tabla24[[#This Row],[Fecha]],"aaaa")</f>
        <v>2024</v>
      </c>
      <c r="E517" t="s">
        <v>18</v>
      </c>
      <c r="F517" t="s">
        <v>23</v>
      </c>
      <c r="G517" t="s">
        <v>13</v>
      </c>
      <c r="H517" t="s">
        <v>25</v>
      </c>
      <c r="I517" t="s">
        <v>15</v>
      </c>
      <c r="J517">
        <v>16</v>
      </c>
      <c r="K517">
        <v>40876</v>
      </c>
      <c r="L517">
        <f>Tabla24[[#This Row],[Precio_Unitario]]*Tabla24[[#This Row],[Unidades_Vendidas]]</f>
        <v>654016</v>
      </c>
      <c r="M517" t="s">
        <v>16</v>
      </c>
    </row>
    <row r="518" spans="1:13" x14ac:dyDescent="0.25">
      <c r="A518" t="s">
        <v>257</v>
      </c>
      <c r="B518" t="str">
        <f>TEXT(Tabla24[[#This Row],[Fecha]],"dddd")</f>
        <v>viernes</v>
      </c>
      <c r="C518" t="str">
        <f>TEXT(Tabla24[[#This Row],[Fecha]],"mmmm")</f>
        <v>marzo</v>
      </c>
      <c r="D518" t="str">
        <f>TEXT(Tabla24[[#This Row],[Fecha]],"aaaa")</f>
        <v>2024</v>
      </c>
      <c r="E518" t="s">
        <v>42</v>
      </c>
      <c r="F518" t="s">
        <v>12</v>
      </c>
      <c r="G518" t="s">
        <v>24</v>
      </c>
      <c r="H518" t="s">
        <v>30</v>
      </c>
      <c r="I518" t="s">
        <v>26</v>
      </c>
      <c r="J518">
        <v>11</v>
      </c>
      <c r="K518">
        <v>53883</v>
      </c>
      <c r="L518">
        <f>Tabla24[[#This Row],[Precio_Unitario]]*Tabla24[[#This Row],[Unidades_Vendidas]]</f>
        <v>592713</v>
      </c>
      <c r="M518" t="s">
        <v>20</v>
      </c>
    </row>
    <row r="519" spans="1:13" x14ac:dyDescent="0.25">
      <c r="A519" t="s">
        <v>257</v>
      </c>
      <c r="B519" t="str">
        <f>TEXT(Tabla24[[#This Row],[Fecha]],"dddd")</f>
        <v>viernes</v>
      </c>
      <c r="C519" t="str">
        <f>TEXT(Tabla24[[#This Row],[Fecha]],"mmmm")</f>
        <v>marzo</v>
      </c>
      <c r="D519" t="str">
        <f>TEXT(Tabla24[[#This Row],[Fecha]],"aaaa")</f>
        <v>2024</v>
      </c>
      <c r="E519" t="s">
        <v>22</v>
      </c>
      <c r="F519" t="s">
        <v>12</v>
      </c>
      <c r="G519" t="s">
        <v>13</v>
      </c>
      <c r="H519" t="s">
        <v>25</v>
      </c>
      <c r="I519" t="s">
        <v>26</v>
      </c>
      <c r="J519">
        <v>16</v>
      </c>
      <c r="K519">
        <v>46338</v>
      </c>
      <c r="L519">
        <f>Tabla24[[#This Row],[Precio_Unitario]]*Tabla24[[#This Row],[Unidades_Vendidas]]</f>
        <v>741408</v>
      </c>
      <c r="M519" t="s">
        <v>36</v>
      </c>
    </row>
    <row r="520" spans="1:13" x14ac:dyDescent="0.25">
      <c r="A520" t="s">
        <v>318</v>
      </c>
      <c r="B520" t="str">
        <f>TEXT(Tabla24[[#This Row],[Fecha]],"dddd")</f>
        <v>viernes</v>
      </c>
      <c r="C520" t="str">
        <f>TEXT(Tabla24[[#This Row],[Fecha]],"mmmm")</f>
        <v>noviembre</v>
      </c>
      <c r="D520" t="str">
        <f>TEXT(Tabla24[[#This Row],[Fecha]],"aaaa")</f>
        <v>2024</v>
      </c>
      <c r="E520" t="s">
        <v>11</v>
      </c>
      <c r="F520" t="s">
        <v>23</v>
      </c>
      <c r="G520" t="s">
        <v>44</v>
      </c>
      <c r="H520" t="s">
        <v>14</v>
      </c>
      <c r="I520" t="s">
        <v>15</v>
      </c>
      <c r="J520">
        <v>15</v>
      </c>
      <c r="K520">
        <v>46347</v>
      </c>
      <c r="L520">
        <f>Tabla24[[#This Row],[Precio_Unitario]]*Tabla24[[#This Row],[Unidades_Vendidas]]</f>
        <v>695205</v>
      </c>
      <c r="M520" t="s">
        <v>20</v>
      </c>
    </row>
    <row r="521" spans="1:13" x14ac:dyDescent="0.25">
      <c r="A521" t="s">
        <v>176</v>
      </c>
      <c r="B521" t="str">
        <f>TEXT(Tabla24[[#This Row],[Fecha]],"dddd")</f>
        <v>domingo</v>
      </c>
      <c r="C521" t="str">
        <f>TEXT(Tabla24[[#This Row],[Fecha]],"mmmm")</f>
        <v>septiembre</v>
      </c>
      <c r="D521" t="str">
        <f>TEXT(Tabla24[[#This Row],[Fecha]],"aaaa")</f>
        <v>2024</v>
      </c>
      <c r="E521" t="s">
        <v>42</v>
      </c>
      <c r="F521" t="s">
        <v>12</v>
      </c>
      <c r="G521" t="s">
        <v>24</v>
      </c>
      <c r="H521" t="s">
        <v>25</v>
      </c>
      <c r="I521" t="s">
        <v>40</v>
      </c>
      <c r="J521">
        <v>11</v>
      </c>
      <c r="K521">
        <v>20997</v>
      </c>
      <c r="L521">
        <f>Tabla24[[#This Row],[Precio_Unitario]]*Tabla24[[#This Row],[Unidades_Vendidas]]</f>
        <v>230967</v>
      </c>
      <c r="M521" t="s">
        <v>16</v>
      </c>
    </row>
    <row r="522" spans="1:13" x14ac:dyDescent="0.25">
      <c r="A522" t="s">
        <v>135</v>
      </c>
      <c r="B522" t="str">
        <f>TEXT(Tabla24[[#This Row],[Fecha]],"dddd")</f>
        <v>miércoles</v>
      </c>
      <c r="C522" t="str">
        <f>TEXT(Tabla24[[#This Row],[Fecha]],"mmmm")</f>
        <v>junio</v>
      </c>
      <c r="D522" t="str">
        <f>TEXT(Tabla24[[#This Row],[Fecha]],"aaaa")</f>
        <v>2024</v>
      </c>
      <c r="E522" t="s">
        <v>33</v>
      </c>
      <c r="F522" t="s">
        <v>34</v>
      </c>
      <c r="G522" t="s">
        <v>39</v>
      </c>
      <c r="H522" t="s">
        <v>35</v>
      </c>
      <c r="I522" t="s">
        <v>26</v>
      </c>
      <c r="J522">
        <v>16</v>
      </c>
      <c r="K522">
        <v>22204</v>
      </c>
      <c r="L522">
        <f>Tabla24[[#This Row],[Precio_Unitario]]*Tabla24[[#This Row],[Unidades_Vendidas]]</f>
        <v>355264</v>
      </c>
      <c r="M522" t="s">
        <v>27</v>
      </c>
    </row>
    <row r="523" spans="1:13" x14ac:dyDescent="0.25">
      <c r="A523" t="s">
        <v>53</v>
      </c>
      <c r="B523" t="str">
        <f>TEXT(Tabla24[[#This Row],[Fecha]],"dddd")</f>
        <v>jueves</v>
      </c>
      <c r="C523" t="str">
        <f>TEXT(Tabla24[[#This Row],[Fecha]],"mmmm")</f>
        <v>mayo</v>
      </c>
      <c r="D523" t="str">
        <f>TEXT(Tabla24[[#This Row],[Fecha]],"aaaa")</f>
        <v>2024</v>
      </c>
      <c r="E523" t="s">
        <v>22</v>
      </c>
      <c r="F523" t="s">
        <v>29</v>
      </c>
      <c r="G523" t="s">
        <v>13</v>
      </c>
      <c r="H523" t="s">
        <v>14</v>
      </c>
      <c r="I523" t="s">
        <v>26</v>
      </c>
      <c r="J523">
        <v>5</v>
      </c>
      <c r="K523">
        <v>52688</v>
      </c>
      <c r="L523">
        <f>Tabla24[[#This Row],[Precio_Unitario]]*Tabla24[[#This Row],[Unidades_Vendidas]]</f>
        <v>263440</v>
      </c>
      <c r="M523" t="s">
        <v>20</v>
      </c>
    </row>
    <row r="524" spans="1:13" x14ac:dyDescent="0.25">
      <c r="A524" t="s">
        <v>258</v>
      </c>
      <c r="B524" t="str">
        <f>TEXT(Tabla24[[#This Row],[Fecha]],"dddd")</f>
        <v>martes</v>
      </c>
      <c r="C524" t="str">
        <f>TEXT(Tabla24[[#This Row],[Fecha]],"mmmm")</f>
        <v>marzo</v>
      </c>
      <c r="D524" t="str">
        <f>TEXT(Tabla24[[#This Row],[Fecha]],"aaaa")</f>
        <v>2024</v>
      </c>
      <c r="E524" t="s">
        <v>42</v>
      </c>
      <c r="F524" t="s">
        <v>23</v>
      </c>
      <c r="G524" t="s">
        <v>24</v>
      </c>
      <c r="H524" t="s">
        <v>19</v>
      </c>
      <c r="I524" t="s">
        <v>26</v>
      </c>
      <c r="J524">
        <v>12</v>
      </c>
      <c r="K524">
        <v>37935</v>
      </c>
      <c r="L524">
        <f>Tabla24[[#This Row],[Precio_Unitario]]*Tabla24[[#This Row],[Unidades_Vendidas]]</f>
        <v>455220</v>
      </c>
      <c r="M524" t="s">
        <v>20</v>
      </c>
    </row>
    <row r="525" spans="1:13" x14ac:dyDescent="0.25">
      <c r="A525" t="s">
        <v>104</v>
      </c>
      <c r="B525" t="str">
        <f>TEXT(Tabla24[[#This Row],[Fecha]],"dddd")</f>
        <v>domingo</v>
      </c>
      <c r="C525" t="str">
        <f>TEXT(Tabla24[[#This Row],[Fecha]],"mmmm")</f>
        <v>octubre</v>
      </c>
      <c r="D525" t="str">
        <f>TEXT(Tabla24[[#This Row],[Fecha]],"aaaa")</f>
        <v>2024</v>
      </c>
      <c r="E525" t="s">
        <v>18</v>
      </c>
      <c r="F525" t="s">
        <v>12</v>
      </c>
      <c r="G525" t="s">
        <v>13</v>
      </c>
      <c r="H525" t="s">
        <v>25</v>
      </c>
      <c r="I525" t="s">
        <v>15</v>
      </c>
      <c r="J525">
        <v>18</v>
      </c>
      <c r="K525">
        <v>46603</v>
      </c>
      <c r="L525">
        <f>Tabla24[[#This Row],[Precio_Unitario]]*Tabla24[[#This Row],[Unidades_Vendidas]]</f>
        <v>838854</v>
      </c>
      <c r="M525" t="s">
        <v>36</v>
      </c>
    </row>
    <row r="526" spans="1:13" x14ac:dyDescent="0.25">
      <c r="A526" t="s">
        <v>289</v>
      </c>
      <c r="B526" t="str">
        <f>TEXT(Tabla24[[#This Row],[Fecha]],"dddd")</f>
        <v>miércoles</v>
      </c>
      <c r="C526" t="str">
        <f>TEXT(Tabla24[[#This Row],[Fecha]],"mmmm")</f>
        <v>diciembre</v>
      </c>
      <c r="D526" t="str">
        <f>TEXT(Tabla24[[#This Row],[Fecha]],"aaaa")</f>
        <v>2024</v>
      </c>
      <c r="E526" t="s">
        <v>11</v>
      </c>
      <c r="F526" t="s">
        <v>12</v>
      </c>
      <c r="G526" t="s">
        <v>24</v>
      </c>
      <c r="H526" t="s">
        <v>35</v>
      </c>
      <c r="I526" t="s">
        <v>40</v>
      </c>
      <c r="J526">
        <v>9</v>
      </c>
      <c r="K526">
        <v>41242</v>
      </c>
      <c r="L526">
        <f>Tabla24[[#This Row],[Precio_Unitario]]*Tabla24[[#This Row],[Unidades_Vendidas]]</f>
        <v>371178</v>
      </c>
      <c r="M526" t="s">
        <v>16</v>
      </c>
    </row>
    <row r="527" spans="1:13" x14ac:dyDescent="0.25">
      <c r="A527" t="s">
        <v>132</v>
      </c>
      <c r="B527" t="str">
        <f>TEXT(Tabla24[[#This Row],[Fecha]],"dddd")</f>
        <v>jueves</v>
      </c>
      <c r="C527" t="str">
        <f>TEXT(Tabla24[[#This Row],[Fecha]],"mmmm")</f>
        <v>enero</v>
      </c>
      <c r="D527" t="str">
        <f>TEXT(Tabla24[[#This Row],[Fecha]],"aaaa")</f>
        <v>2024</v>
      </c>
      <c r="E527" t="s">
        <v>22</v>
      </c>
      <c r="F527" t="s">
        <v>29</v>
      </c>
      <c r="G527" t="s">
        <v>44</v>
      </c>
      <c r="H527" t="s">
        <v>25</v>
      </c>
      <c r="I527" t="s">
        <v>26</v>
      </c>
      <c r="J527">
        <v>13</v>
      </c>
      <c r="K527">
        <v>37112</v>
      </c>
      <c r="L527">
        <f>Tabla24[[#This Row],[Precio_Unitario]]*Tabla24[[#This Row],[Unidades_Vendidas]]</f>
        <v>482456</v>
      </c>
      <c r="M527" t="s">
        <v>16</v>
      </c>
    </row>
    <row r="528" spans="1:13" x14ac:dyDescent="0.25">
      <c r="A528" t="s">
        <v>190</v>
      </c>
      <c r="B528" t="str">
        <f>TEXT(Tabla24[[#This Row],[Fecha]],"dddd")</f>
        <v>sábado</v>
      </c>
      <c r="C528" t="str">
        <f>TEXT(Tabla24[[#This Row],[Fecha]],"mmmm")</f>
        <v>agosto</v>
      </c>
      <c r="D528" t="str">
        <f>TEXT(Tabla24[[#This Row],[Fecha]],"aaaa")</f>
        <v>2024</v>
      </c>
      <c r="E528" t="s">
        <v>33</v>
      </c>
      <c r="F528" t="s">
        <v>23</v>
      </c>
      <c r="G528" t="s">
        <v>13</v>
      </c>
      <c r="H528" t="s">
        <v>19</v>
      </c>
      <c r="I528" t="s">
        <v>26</v>
      </c>
      <c r="J528">
        <v>13</v>
      </c>
      <c r="K528">
        <v>36883</v>
      </c>
      <c r="L528">
        <f>Tabla24[[#This Row],[Precio_Unitario]]*Tabla24[[#This Row],[Unidades_Vendidas]]</f>
        <v>479479</v>
      </c>
      <c r="M528" t="s">
        <v>20</v>
      </c>
    </row>
    <row r="529" spans="1:13" x14ac:dyDescent="0.25">
      <c r="A529" t="s">
        <v>319</v>
      </c>
      <c r="B529" t="str">
        <f>TEXT(Tabla24[[#This Row],[Fecha]],"dddd")</f>
        <v>miércoles</v>
      </c>
      <c r="C529" t="str">
        <f>TEXT(Tabla24[[#This Row],[Fecha]],"mmmm")</f>
        <v>agosto</v>
      </c>
      <c r="D529" t="str">
        <f>TEXT(Tabla24[[#This Row],[Fecha]],"aaaa")</f>
        <v>2024</v>
      </c>
      <c r="E529" t="s">
        <v>42</v>
      </c>
      <c r="F529" t="s">
        <v>29</v>
      </c>
      <c r="G529" t="s">
        <v>13</v>
      </c>
      <c r="H529" t="s">
        <v>25</v>
      </c>
      <c r="I529" t="s">
        <v>26</v>
      </c>
      <c r="J529">
        <v>6</v>
      </c>
      <c r="K529">
        <v>16207</v>
      </c>
      <c r="L529">
        <f>Tabla24[[#This Row],[Precio_Unitario]]*Tabla24[[#This Row],[Unidades_Vendidas]]</f>
        <v>97242</v>
      </c>
      <c r="M529" t="s">
        <v>36</v>
      </c>
    </row>
    <row r="530" spans="1:13" x14ac:dyDescent="0.25">
      <c r="A530" t="s">
        <v>278</v>
      </c>
      <c r="B530" t="str">
        <f>TEXT(Tabla24[[#This Row],[Fecha]],"dddd")</f>
        <v>miércoles</v>
      </c>
      <c r="C530" t="str">
        <f>TEXT(Tabla24[[#This Row],[Fecha]],"mmmm")</f>
        <v>julio</v>
      </c>
      <c r="D530" t="str">
        <f>TEXT(Tabla24[[#This Row],[Fecha]],"aaaa")</f>
        <v>2024</v>
      </c>
      <c r="E530" t="s">
        <v>18</v>
      </c>
      <c r="F530" t="s">
        <v>29</v>
      </c>
      <c r="G530" t="s">
        <v>39</v>
      </c>
      <c r="H530" t="s">
        <v>35</v>
      </c>
      <c r="I530" t="s">
        <v>26</v>
      </c>
      <c r="J530">
        <v>10</v>
      </c>
      <c r="K530">
        <v>57164</v>
      </c>
      <c r="L530">
        <f>Tabla24[[#This Row],[Precio_Unitario]]*Tabla24[[#This Row],[Unidades_Vendidas]]</f>
        <v>571640</v>
      </c>
      <c r="M530" t="s">
        <v>16</v>
      </c>
    </row>
    <row r="531" spans="1:13" x14ac:dyDescent="0.25">
      <c r="A531" t="s">
        <v>163</v>
      </c>
      <c r="B531" t="str">
        <f>TEXT(Tabla24[[#This Row],[Fecha]],"dddd")</f>
        <v>miércoles</v>
      </c>
      <c r="C531" t="str">
        <f>TEXT(Tabla24[[#This Row],[Fecha]],"mmmm")</f>
        <v>octubre</v>
      </c>
      <c r="D531" t="str">
        <f>TEXT(Tabla24[[#This Row],[Fecha]],"aaaa")</f>
        <v>2024</v>
      </c>
      <c r="E531" t="s">
        <v>42</v>
      </c>
      <c r="F531" t="s">
        <v>29</v>
      </c>
      <c r="G531" t="s">
        <v>39</v>
      </c>
      <c r="H531" t="s">
        <v>14</v>
      </c>
      <c r="I531" t="s">
        <v>15</v>
      </c>
      <c r="J531">
        <v>3</v>
      </c>
      <c r="K531">
        <v>43505</v>
      </c>
      <c r="L531">
        <f>Tabla24[[#This Row],[Precio_Unitario]]*Tabla24[[#This Row],[Unidades_Vendidas]]</f>
        <v>130515</v>
      </c>
      <c r="M531" t="s">
        <v>16</v>
      </c>
    </row>
    <row r="532" spans="1:13" x14ac:dyDescent="0.25">
      <c r="A532" t="s">
        <v>80</v>
      </c>
      <c r="B532" t="str">
        <f>TEXT(Tabla24[[#This Row],[Fecha]],"dddd")</f>
        <v>miércoles</v>
      </c>
      <c r="C532" t="str">
        <f>TEXT(Tabla24[[#This Row],[Fecha]],"mmmm")</f>
        <v>mayo</v>
      </c>
      <c r="D532" t="str">
        <f>TEXT(Tabla24[[#This Row],[Fecha]],"aaaa")</f>
        <v>2024</v>
      </c>
      <c r="E532" t="s">
        <v>22</v>
      </c>
      <c r="F532" t="s">
        <v>23</v>
      </c>
      <c r="G532" t="s">
        <v>48</v>
      </c>
      <c r="H532" t="s">
        <v>19</v>
      </c>
      <c r="I532" t="s">
        <v>26</v>
      </c>
      <c r="J532">
        <v>8</v>
      </c>
      <c r="K532">
        <v>31915</v>
      </c>
      <c r="L532">
        <f>Tabla24[[#This Row],[Precio_Unitario]]*Tabla24[[#This Row],[Unidades_Vendidas]]</f>
        <v>255320</v>
      </c>
      <c r="M532" t="s">
        <v>27</v>
      </c>
    </row>
    <row r="533" spans="1:13" x14ac:dyDescent="0.25">
      <c r="A533" t="s">
        <v>320</v>
      </c>
      <c r="B533" t="str">
        <f>TEXT(Tabla24[[#This Row],[Fecha]],"dddd")</f>
        <v>viernes</v>
      </c>
      <c r="C533" t="str">
        <f>TEXT(Tabla24[[#This Row],[Fecha]],"mmmm")</f>
        <v>abril</v>
      </c>
      <c r="D533" t="str">
        <f>TEXT(Tabla24[[#This Row],[Fecha]],"aaaa")</f>
        <v>2024</v>
      </c>
      <c r="E533" t="s">
        <v>18</v>
      </c>
      <c r="F533" t="s">
        <v>34</v>
      </c>
      <c r="G533" t="s">
        <v>39</v>
      </c>
      <c r="H533" t="s">
        <v>30</v>
      </c>
      <c r="I533" t="s">
        <v>26</v>
      </c>
      <c r="J533">
        <v>20</v>
      </c>
      <c r="K533">
        <v>21405</v>
      </c>
      <c r="L533">
        <f>Tabla24[[#This Row],[Precio_Unitario]]*Tabla24[[#This Row],[Unidades_Vendidas]]</f>
        <v>428100</v>
      </c>
      <c r="M533" t="s">
        <v>16</v>
      </c>
    </row>
    <row r="534" spans="1:13" x14ac:dyDescent="0.25">
      <c r="A534" t="s">
        <v>200</v>
      </c>
      <c r="B534" t="str">
        <f>TEXT(Tabla24[[#This Row],[Fecha]],"dddd")</f>
        <v>sábado</v>
      </c>
      <c r="C534" t="str">
        <f>TEXT(Tabla24[[#This Row],[Fecha]],"mmmm")</f>
        <v>octubre</v>
      </c>
      <c r="D534" t="str">
        <f>TEXT(Tabla24[[#This Row],[Fecha]],"aaaa")</f>
        <v>2024</v>
      </c>
      <c r="E534" t="s">
        <v>11</v>
      </c>
      <c r="F534" t="s">
        <v>12</v>
      </c>
      <c r="G534" t="s">
        <v>44</v>
      </c>
      <c r="H534" t="s">
        <v>19</v>
      </c>
      <c r="I534" t="s">
        <v>40</v>
      </c>
      <c r="J534">
        <v>20</v>
      </c>
      <c r="K534">
        <v>52162</v>
      </c>
      <c r="L534">
        <f>Tabla24[[#This Row],[Precio_Unitario]]*Tabla24[[#This Row],[Unidades_Vendidas]]</f>
        <v>1043240</v>
      </c>
      <c r="M534" t="s">
        <v>36</v>
      </c>
    </row>
    <row r="535" spans="1:13" x14ac:dyDescent="0.25">
      <c r="A535" t="s">
        <v>96</v>
      </c>
      <c r="B535" t="str">
        <f>TEXT(Tabla24[[#This Row],[Fecha]],"dddd")</f>
        <v>domingo</v>
      </c>
      <c r="C535" t="str">
        <f>TEXT(Tabla24[[#This Row],[Fecha]],"mmmm")</f>
        <v>agosto</v>
      </c>
      <c r="D535" t="str">
        <f>TEXT(Tabla24[[#This Row],[Fecha]],"aaaa")</f>
        <v>2024</v>
      </c>
      <c r="E535" t="s">
        <v>42</v>
      </c>
      <c r="F535" t="s">
        <v>29</v>
      </c>
      <c r="G535" t="s">
        <v>44</v>
      </c>
      <c r="H535" t="s">
        <v>19</v>
      </c>
      <c r="I535" t="s">
        <v>40</v>
      </c>
      <c r="J535">
        <v>15</v>
      </c>
      <c r="K535">
        <v>37080</v>
      </c>
      <c r="L535">
        <f>Tabla24[[#This Row],[Precio_Unitario]]*Tabla24[[#This Row],[Unidades_Vendidas]]</f>
        <v>556200</v>
      </c>
      <c r="M535" t="s">
        <v>36</v>
      </c>
    </row>
    <row r="536" spans="1:13" x14ac:dyDescent="0.25">
      <c r="A536" t="s">
        <v>319</v>
      </c>
      <c r="B536" t="str">
        <f>TEXT(Tabla24[[#This Row],[Fecha]],"dddd")</f>
        <v>miércoles</v>
      </c>
      <c r="C536" t="str">
        <f>TEXT(Tabla24[[#This Row],[Fecha]],"mmmm")</f>
        <v>agosto</v>
      </c>
      <c r="D536" t="str">
        <f>TEXT(Tabla24[[#This Row],[Fecha]],"aaaa")</f>
        <v>2024</v>
      </c>
      <c r="E536" t="s">
        <v>33</v>
      </c>
      <c r="F536" t="s">
        <v>29</v>
      </c>
      <c r="G536" t="s">
        <v>48</v>
      </c>
      <c r="H536" t="s">
        <v>35</v>
      </c>
      <c r="I536" t="s">
        <v>15</v>
      </c>
      <c r="J536">
        <v>9</v>
      </c>
      <c r="K536">
        <v>23259</v>
      </c>
      <c r="L536">
        <f>Tabla24[[#This Row],[Precio_Unitario]]*Tabla24[[#This Row],[Unidades_Vendidas]]</f>
        <v>209331</v>
      </c>
      <c r="M536" t="s">
        <v>16</v>
      </c>
    </row>
    <row r="537" spans="1:13" x14ac:dyDescent="0.25">
      <c r="A537" t="s">
        <v>203</v>
      </c>
      <c r="B537" t="str">
        <f>TEXT(Tabla24[[#This Row],[Fecha]],"dddd")</f>
        <v>martes</v>
      </c>
      <c r="C537" t="str">
        <f>TEXT(Tabla24[[#This Row],[Fecha]],"mmmm")</f>
        <v>junio</v>
      </c>
      <c r="D537" t="str">
        <f>TEXT(Tabla24[[#This Row],[Fecha]],"aaaa")</f>
        <v>2024</v>
      </c>
      <c r="E537" t="s">
        <v>11</v>
      </c>
      <c r="F537" t="s">
        <v>23</v>
      </c>
      <c r="G537" t="s">
        <v>24</v>
      </c>
      <c r="H537" t="s">
        <v>35</v>
      </c>
      <c r="I537" t="s">
        <v>40</v>
      </c>
      <c r="J537">
        <v>12</v>
      </c>
      <c r="K537">
        <v>53568</v>
      </c>
      <c r="L537">
        <f>Tabla24[[#This Row],[Precio_Unitario]]*Tabla24[[#This Row],[Unidades_Vendidas]]</f>
        <v>642816</v>
      </c>
      <c r="M537" t="s">
        <v>36</v>
      </c>
    </row>
    <row r="538" spans="1:13" x14ac:dyDescent="0.25">
      <c r="A538" t="s">
        <v>63</v>
      </c>
      <c r="B538" t="str">
        <f>TEXT(Tabla24[[#This Row],[Fecha]],"dddd")</f>
        <v>lunes</v>
      </c>
      <c r="C538" t="str">
        <f>TEXT(Tabla24[[#This Row],[Fecha]],"mmmm")</f>
        <v>octubre</v>
      </c>
      <c r="D538" t="str">
        <f>TEXT(Tabla24[[#This Row],[Fecha]],"aaaa")</f>
        <v>2024</v>
      </c>
      <c r="E538" t="s">
        <v>11</v>
      </c>
      <c r="F538" t="s">
        <v>38</v>
      </c>
      <c r="G538" t="s">
        <v>48</v>
      </c>
      <c r="H538" t="s">
        <v>35</v>
      </c>
      <c r="I538" t="s">
        <v>15</v>
      </c>
      <c r="J538">
        <v>10</v>
      </c>
      <c r="K538">
        <v>27332</v>
      </c>
      <c r="L538">
        <f>Tabla24[[#This Row],[Precio_Unitario]]*Tabla24[[#This Row],[Unidades_Vendidas]]</f>
        <v>273320</v>
      </c>
      <c r="M538" t="s">
        <v>36</v>
      </c>
    </row>
    <row r="539" spans="1:13" x14ac:dyDescent="0.25">
      <c r="A539" t="s">
        <v>199</v>
      </c>
      <c r="B539" t="str">
        <f>TEXT(Tabla24[[#This Row],[Fecha]],"dddd")</f>
        <v>jueves</v>
      </c>
      <c r="C539" t="str">
        <f>TEXT(Tabla24[[#This Row],[Fecha]],"mmmm")</f>
        <v>junio</v>
      </c>
      <c r="D539" t="str">
        <f>TEXT(Tabla24[[#This Row],[Fecha]],"aaaa")</f>
        <v>2024</v>
      </c>
      <c r="E539" t="s">
        <v>22</v>
      </c>
      <c r="F539" t="s">
        <v>12</v>
      </c>
      <c r="G539" t="s">
        <v>24</v>
      </c>
      <c r="H539" t="s">
        <v>14</v>
      </c>
      <c r="I539" t="s">
        <v>40</v>
      </c>
      <c r="J539">
        <v>4</v>
      </c>
      <c r="K539">
        <v>30529</v>
      </c>
      <c r="L539">
        <f>Tabla24[[#This Row],[Precio_Unitario]]*Tabla24[[#This Row],[Unidades_Vendidas]]</f>
        <v>122116</v>
      </c>
      <c r="M539" t="s">
        <v>27</v>
      </c>
    </row>
    <row r="540" spans="1:13" x14ac:dyDescent="0.25">
      <c r="A540" t="s">
        <v>118</v>
      </c>
      <c r="B540" t="str">
        <f>TEXT(Tabla24[[#This Row],[Fecha]],"dddd")</f>
        <v>jueves</v>
      </c>
      <c r="C540" t="str">
        <f>TEXT(Tabla24[[#This Row],[Fecha]],"mmmm")</f>
        <v>enero</v>
      </c>
      <c r="D540" t="str">
        <f>TEXT(Tabla24[[#This Row],[Fecha]],"aaaa")</f>
        <v>2024</v>
      </c>
      <c r="E540" t="s">
        <v>33</v>
      </c>
      <c r="F540" t="s">
        <v>34</v>
      </c>
      <c r="G540" t="s">
        <v>24</v>
      </c>
      <c r="H540" t="s">
        <v>35</v>
      </c>
      <c r="I540" t="s">
        <v>15</v>
      </c>
      <c r="J540">
        <v>18</v>
      </c>
      <c r="K540">
        <v>50898</v>
      </c>
      <c r="L540">
        <f>Tabla24[[#This Row],[Precio_Unitario]]*Tabla24[[#This Row],[Unidades_Vendidas]]</f>
        <v>916164</v>
      </c>
      <c r="M540" t="s">
        <v>20</v>
      </c>
    </row>
    <row r="541" spans="1:13" x14ac:dyDescent="0.25">
      <c r="A541" t="s">
        <v>187</v>
      </c>
      <c r="B541" t="str">
        <f>TEXT(Tabla24[[#This Row],[Fecha]],"dddd")</f>
        <v>jueves</v>
      </c>
      <c r="C541" t="str">
        <f>TEXT(Tabla24[[#This Row],[Fecha]],"mmmm")</f>
        <v>mayo</v>
      </c>
      <c r="D541" t="str">
        <f>TEXT(Tabla24[[#This Row],[Fecha]],"aaaa")</f>
        <v>2024</v>
      </c>
      <c r="E541" t="s">
        <v>11</v>
      </c>
      <c r="F541" t="s">
        <v>23</v>
      </c>
      <c r="G541" t="s">
        <v>44</v>
      </c>
      <c r="H541" t="s">
        <v>35</v>
      </c>
      <c r="I541" t="s">
        <v>40</v>
      </c>
      <c r="J541">
        <v>15</v>
      </c>
      <c r="K541">
        <v>34591</v>
      </c>
      <c r="L541">
        <f>Tabla24[[#This Row],[Precio_Unitario]]*Tabla24[[#This Row],[Unidades_Vendidas]]</f>
        <v>518865</v>
      </c>
      <c r="M541" t="s">
        <v>36</v>
      </c>
    </row>
    <row r="542" spans="1:13" x14ac:dyDescent="0.25">
      <c r="A542" t="s">
        <v>108</v>
      </c>
      <c r="B542" t="str">
        <f>TEXT(Tabla24[[#This Row],[Fecha]],"dddd")</f>
        <v>viernes</v>
      </c>
      <c r="C542" t="str">
        <f>TEXT(Tabla24[[#This Row],[Fecha]],"mmmm")</f>
        <v>marzo</v>
      </c>
      <c r="D542" t="str">
        <f>TEXT(Tabla24[[#This Row],[Fecha]],"aaaa")</f>
        <v>2024</v>
      </c>
      <c r="E542" t="s">
        <v>42</v>
      </c>
      <c r="F542" t="s">
        <v>34</v>
      </c>
      <c r="G542" t="s">
        <v>39</v>
      </c>
      <c r="H542" t="s">
        <v>25</v>
      </c>
      <c r="I542" t="s">
        <v>15</v>
      </c>
      <c r="J542">
        <v>6</v>
      </c>
      <c r="K542">
        <v>58769</v>
      </c>
      <c r="L542">
        <f>Tabla24[[#This Row],[Precio_Unitario]]*Tabla24[[#This Row],[Unidades_Vendidas]]</f>
        <v>352614</v>
      </c>
      <c r="M542" t="s">
        <v>27</v>
      </c>
    </row>
    <row r="543" spans="1:13" x14ac:dyDescent="0.25">
      <c r="A543" t="s">
        <v>321</v>
      </c>
      <c r="B543" t="str">
        <f>TEXT(Tabla24[[#This Row],[Fecha]],"dddd")</f>
        <v>sábado</v>
      </c>
      <c r="C543" t="str">
        <f>TEXT(Tabla24[[#This Row],[Fecha]],"mmmm")</f>
        <v>noviembre</v>
      </c>
      <c r="D543" t="str">
        <f>TEXT(Tabla24[[#This Row],[Fecha]],"aaaa")</f>
        <v>2024</v>
      </c>
      <c r="E543" t="s">
        <v>42</v>
      </c>
      <c r="F543" t="s">
        <v>38</v>
      </c>
      <c r="G543" t="s">
        <v>48</v>
      </c>
      <c r="H543" t="s">
        <v>30</v>
      </c>
      <c r="I543" t="s">
        <v>15</v>
      </c>
      <c r="J543">
        <v>12</v>
      </c>
      <c r="K543">
        <v>49558</v>
      </c>
      <c r="L543">
        <f>Tabla24[[#This Row],[Precio_Unitario]]*Tabla24[[#This Row],[Unidades_Vendidas]]</f>
        <v>594696</v>
      </c>
      <c r="M543" t="s">
        <v>20</v>
      </c>
    </row>
    <row r="544" spans="1:13" x14ac:dyDescent="0.25">
      <c r="A544" t="s">
        <v>140</v>
      </c>
      <c r="B544" t="str">
        <f>TEXT(Tabla24[[#This Row],[Fecha]],"dddd")</f>
        <v>jueves</v>
      </c>
      <c r="C544" t="str">
        <f>TEXT(Tabla24[[#This Row],[Fecha]],"mmmm")</f>
        <v>octubre</v>
      </c>
      <c r="D544" t="str">
        <f>TEXT(Tabla24[[#This Row],[Fecha]],"aaaa")</f>
        <v>2024</v>
      </c>
      <c r="E544" t="s">
        <v>11</v>
      </c>
      <c r="F544" t="s">
        <v>38</v>
      </c>
      <c r="G544" t="s">
        <v>48</v>
      </c>
      <c r="H544" t="s">
        <v>14</v>
      </c>
      <c r="I544" t="s">
        <v>26</v>
      </c>
      <c r="J544">
        <v>8</v>
      </c>
      <c r="K544">
        <v>49769</v>
      </c>
      <c r="L544">
        <f>Tabla24[[#This Row],[Precio_Unitario]]*Tabla24[[#This Row],[Unidades_Vendidas]]</f>
        <v>398152</v>
      </c>
      <c r="M544" t="s">
        <v>20</v>
      </c>
    </row>
    <row r="545" spans="1:13" x14ac:dyDescent="0.25">
      <c r="A545" t="s">
        <v>191</v>
      </c>
      <c r="B545" t="str">
        <f>TEXT(Tabla24[[#This Row],[Fecha]],"dddd")</f>
        <v>sábado</v>
      </c>
      <c r="C545" t="str">
        <f>TEXT(Tabla24[[#This Row],[Fecha]],"mmmm")</f>
        <v>marzo</v>
      </c>
      <c r="D545" t="str">
        <f>TEXT(Tabla24[[#This Row],[Fecha]],"aaaa")</f>
        <v>2024</v>
      </c>
      <c r="E545" t="s">
        <v>42</v>
      </c>
      <c r="F545" t="s">
        <v>23</v>
      </c>
      <c r="G545" t="s">
        <v>39</v>
      </c>
      <c r="H545" t="s">
        <v>14</v>
      </c>
      <c r="I545" t="s">
        <v>26</v>
      </c>
      <c r="J545">
        <v>20</v>
      </c>
      <c r="K545">
        <v>32403</v>
      </c>
      <c r="L545">
        <f>Tabla24[[#This Row],[Precio_Unitario]]*Tabla24[[#This Row],[Unidades_Vendidas]]</f>
        <v>648060</v>
      </c>
      <c r="M545" t="s">
        <v>20</v>
      </c>
    </row>
    <row r="546" spans="1:13" x14ac:dyDescent="0.25">
      <c r="A546" t="s">
        <v>49</v>
      </c>
      <c r="B546" t="str">
        <f>TEXT(Tabla24[[#This Row],[Fecha]],"dddd")</f>
        <v>lunes</v>
      </c>
      <c r="C546" t="str">
        <f>TEXT(Tabla24[[#This Row],[Fecha]],"mmmm")</f>
        <v>mayo</v>
      </c>
      <c r="D546" t="str">
        <f>TEXT(Tabla24[[#This Row],[Fecha]],"aaaa")</f>
        <v>2024</v>
      </c>
      <c r="E546" t="s">
        <v>33</v>
      </c>
      <c r="F546" t="s">
        <v>38</v>
      </c>
      <c r="G546" t="s">
        <v>39</v>
      </c>
      <c r="H546" t="s">
        <v>25</v>
      </c>
      <c r="I546" t="s">
        <v>40</v>
      </c>
      <c r="J546">
        <v>19</v>
      </c>
      <c r="K546">
        <v>17019</v>
      </c>
      <c r="L546">
        <f>Tabla24[[#This Row],[Precio_Unitario]]*Tabla24[[#This Row],[Unidades_Vendidas]]</f>
        <v>323361</v>
      </c>
      <c r="M546" t="s">
        <v>36</v>
      </c>
    </row>
    <row r="547" spans="1:13" x14ac:dyDescent="0.25">
      <c r="A547" t="s">
        <v>282</v>
      </c>
      <c r="B547" t="str">
        <f>TEXT(Tabla24[[#This Row],[Fecha]],"dddd")</f>
        <v>domingo</v>
      </c>
      <c r="C547" t="str">
        <f>TEXT(Tabla24[[#This Row],[Fecha]],"mmmm")</f>
        <v>junio</v>
      </c>
      <c r="D547" t="str">
        <f>TEXT(Tabla24[[#This Row],[Fecha]],"aaaa")</f>
        <v>2024</v>
      </c>
      <c r="E547" t="s">
        <v>33</v>
      </c>
      <c r="F547" t="s">
        <v>29</v>
      </c>
      <c r="G547" t="s">
        <v>48</v>
      </c>
      <c r="H547" t="s">
        <v>30</v>
      </c>
      <c r="I547" t="s">
        <v>15</v>
      </c>
      <c r="J547">
        <v>8</v>
      </c>
      <c r="K547">
        <v>19172</v>
      </c>
      <c r="L547">
        <f>Tabla24[[#This Row],[Precio_Unitario]]*Tabla24[[#This Row],[Unidades_Vendidas]]</f>
        <v>153376</v>
      </c>
      <c r="M547" t="s">
        <v>16</v>
      </c>
    </row>
    <row r="548" spans="1:13" x14ac:dyDescent="0.25">
      <c r="A548" t="s">
        <v>286</v>
      </c>
      <c r="B548" t="str">
        <f>TEXT(Tabla24[[#This Row],[Fecha]],"dddd")</f>
        <v>domingo</v>
      </c>
      <c r="C548" t="str">
        <f>TEXT(Tabla24[[#This Row],[Fecha]],"mmmm")</f>
        <v>agosto</v>
      </c>
      <c r="D548" t="str">
        <f>TEXT(Tabla24[[#This Row],[Fecha]],"aaaa")</f>
        <v>2024</v>
      </c>
      <c r="E548" t="s">
        <v>22</v>
      </c>
      <c r="F548" t="s">
        <v>38</v>
      </c>
      <c r="G548" t="s">
        <v>24</v>
      </c>
      <c r="H548" t="s">
        <v>14</v>
      </c>
      <c r="I548" t="s">
        <v>40</v>
      </c>
      <c r="J548">
        <v>7</v>
      </c>
      <c r="K548">
        <v>45680</v>
      </c>
      <c r="L548">
        <f>Tabla24[[#This Row],[Precio_Unitario]]*Tabla24[[#This Row],[Unidades_Vendidas]]</f>
        <v>319760</v>
      </c>
      <c r="M548" t="s">
        <v>36</v>
      </c>
    </row>
    <row r="549" spans="1:13" x14ac:dyDescent="0.25">
      <c r="A549" t="s">
        <v>300</v>
      </c>
      <c r="B549" t="str">
        <f>TEXT(Tabla24[[#This Row],[Fecha]],"dddd")</f>
        <v>martes</v>
      </c>
      <c r="C549" t="str">
        <f>TEXT(Tabla24[[#This Row],[Fecha]],"mmmm")</f>
        <v>febrero</v>
      </c>
      <c r="D549" t="str">
        <f>TEXT(Tabla24[[#This Row],[Fecha]],"aaaa")</f>
        <v>2024</v>
      </c>
      <c r="E549" t="s">
        <v>22</v>
      </c>
      <c r="F549" t="s">
        <v>12</v>
      </c>
      <c r="G549" t="s">
        <v>13</v>
      </c>
      <c r="H549" t="s">
        <v>19</v>
      </c>
      <c r="I549" t="s">
        <v>15</v>
      </c>
      <c r="J549">
        <v>3</v>
      </c>
      <c r="K549">
        <v>46211</v>
      </c>
      <c r="L549">
        <f>Tabla24[[#This Row],[Precio_Unitario]]*Tabla24[[#This Row],[Unidades_Vendidas]]</f>
        <v>138633</v>
      </c>
      <c r="M549" t="s">
        <v>20</v>
      </c>
    </row>
    <row r="550" spans="1:13" x14ac:dyDescent="0.25">
      <c r="A550" t="s">
        <v>210</v>
      </c>
      <c r="B550" t="str">
        <f>TEXT(Tabla24[[#This Row],[Fecha]],"dddd")</f>
        <v>sábado</v>
      </c>
      <c r="C550" t="str">
        <f>TEXT(Tabla24[[#This Row],[Fecha]],"mmmm")</f>
        <v>agosto</v>
      </c>
      <c r="D550" t="str">
        <f>TEXT(Tabla24[[#This Row],[Fecha]],"aaaa")</f>
        <v>2024</v>
      </c>
      <c r="E550" t="s">
        <v>11</v>
      </c>
      <c r="F550" t="s">
        <v>29</v>
      </c>
      <c r="G550" t="s">
        <v>44</v>
      </c>
      <c r="H550" t="s">
        <v>35</v>
      </c>
      <c r="I550" t="s">
        <v>40</v>
      </c>
      <c r="J550">
        <v>8</v>
      </c>
      <c r="K550">
        <v>52239</v>
      </c>
      <c r="L550">
        <f>Tabla24[[#This Row],[Precio_Unitario]]*Tabla24[[#This Row],[Unidades_Vendidas]]</f>
        <v>417912</v>
      </c>
      <c r="M550" t="s">
        <v>20</v>
      </c>
    </row>
    <row r="551" spans="1:13" x14ac:dyDescent="0.25">
      <c r="A551" t="s">
        <v>159</v>
      </c>
      <c r="B551" t="str">
        <f>TEXT(Tabla24[[#This Row],[Fecha]],"dddd")</f>
        <v>jueves</v>
      </c>
      <c r="C551" t="str">
        <f>TEXT(Tabla24[[#This Row],[Fecha]],"mmmm")</f>
        <v>febrero</v>
      </c>
      <c r="D551" t="str">
        <f>TEXT(Tabla24[[#This Row],[Fecha]],"aaaa")</f>
        <v>2024</v>
      </c>
      <c r="E551" t="s">
        <v>42</v>
      </c>
      <c r="F551" t="s">
        <v>12</v>
      </c>
      <c r="G551" t="s">
        <v>44</v>
      </c>
      <c r="H551" t="s">
        <v>35</v>
      </c>
      <c r="I551" t="s">
        <v>26</v>
      </c>
      <c r="J551">
        <v>17</v>
      </c>
      <c r="K551">
        <v>15739</v>
      </c>
      <c r="L551">
        <f>Tabla24[[#This Row],[Precio_Unitario]]*Tabla24[[#This Row],[Unidades_Vendidas]]</f>
        <v>267563</v>
      </c>
      <c r="M551" t="s">
        <v>36</v>
      </c>
    </row>
    <row r="552" spans="1:13" x14ac:dyDescent="0.25">
      <c r="A552" t="s">
        <v>209</v>
      </c>
      <c r="B552" t="str">
        <f>TEXT(Tabla24[[#This Row],[Fecha]],"dddd")</f>
        <v>martes</v>
      </c>
      <c r="C552" t="str">
        <f>TEXT(Tabla24[[#This Row],[Fecha]],"mmmm")</f>
        <v>septiembre</v>
      </c>
      <c r="D552" t="str">
        <f>TEXT(Tabla24[[#This Row],[Fecha]],"aaaa")</f>
        <v>2024</v>
      </c>
      <c r="E552" t="s">
        <v>11</v>
      </c>
      <c r="F552" t="s">
        <v>29</v>
      </c>
      <c r="G552" t="s">
        <v>48</v>
      </c>
      <c r="H552" t="s">
        <v>14</v>
      </c>
      <c r="I552" t="s">
        <v>26</v>
      </c>
      <c r="J552">
        <v>5</v>
      </c>
      <c r="K552">
        <v>42232</v>
      </c>
      <c r="L552">
        <f>Tabla24[[#This Row],[Precio_Unitario]]*Tabla24[[#This Row],[Unidades_Vendidas]]</f>
        <v>211160</v>
      </c>
      <c r="M552" t="s">
        <v>20</v>
      </c>
    </row>
    <row r="553" spans="1:13" x14ac:dyDescent="0.25">
      <c r="A553" t="s">
        <v>293</v>
      </c>
      <c r="B553" t="str">
        <f>TEXT(Tabla24[[#This Row],[Fecha]],"dddd")</f>
        <v>jueves</v>
      </c>
      <c r="C553" t="str">
        <f>TEXT(Tabla24[[#This Row],[Fecha]],"mmmm")</f>
        <v>mayo</v>
      </c>
      <c r="D553" t="str">
        <f>TEXT(Tabla24[[#This Row],[Fecha]],"aaaa")</f>
        <v>2024</v>
      </c>
      <c r="E553" t="s">
        <v>33</v>
      </c>
      <c r="F553" t="s">
        <v>23</v>
      </c>
      <c r="G553" t="s">
        <v>24</v>
      </c>
      <c r="H553" t="s">
        <v>25</v>
      </c>
      <c r="I553" t="s">
        <v>40</v>
      </c>
      <c r="J553">
        <v>12</v>
      </c>
      <c r="K553">
        <v>28186</v>
      </c>
      <c r="L553">
        <f>Tabla24[[#This Row],[Precio_Unitario]]*Tabla24[[#This Row],[Unidades_Vendidas]]</f>
        <v>338232</v>
      </c>
      <c r="M553" t="s">
        <v>16</v>
      </c>
    </row>
    <row r="554" spans="1:13" x14ac:dyDescent="0.25">
      <c r="A554" t="s">
        <v>169</v>
      </c>
      <c r="B554" t="str">
        <f>TEXT(Tabla24[[#This Row],[Fecha]],"dddd")</f>
        <v>viernes</v>
      </c>
      <c r="C554" t="str">
        <f>TEXT(Tabla24[[#This Row],[Fecha]],"mmmm")</f>
        <v>febrero</v>
      </c>
      <c r="D554" t="str">
        <f>TEXT(Tabla24[[#This Row],[Fecha]],"aaaa")</f>
        <v>2024</v>
      </c>
      <c r="E554" t="s">
        <v>18</v>
      </c>
      <c r="F554" t="s">
        <v>34</v>
      </c>
      <c r="G554" t="s">
        <v>39</v>
      </c>
      <c r="H554" t="s">
        <v>30</v>
      </c>
      <c r="I554" t="s">
        <v>26</v>
      </c>
      <c r="J554">
        <v>20</v>
      </c>
      <c r="K554">
        <v>20284</v>
      </c>
      <c r="L554">
        <f>Tabla24[[#This Row],[Precio_Unitario]]*Tabla24[[#This Row],[Unidades_Vendidas]]</f>
        <v>405680</v>
      </c>
      <c r="M554" t="s">
        <v>20</v>
      </c>
    </row>
    <row r="555" spans="1:13" x14ac:dyDescent="0.25">
      <c r="A555" t="s">
        <v>145</v>
      </c>
      <c r="B555" t="str">
        <f>TEXT(Tabla24[[#This Row],[Fecha]],"dddd")</f>
        <v>jueves</v>
      </c>
      <c r="C555" t="str">
        <f>TEXT(Tabla24[[#This Row],[Fecha]],"mmmm")</f>
        <v>diciembre</v>
      </c>
      <c r="D555" t="str">
        <f>TEXT(Tabla24[[#This Row],[Fecha]],"aaaa")</f>
        <v>2024</v>
      </c>
      <c r="E555" t="s">
        <v>18</v>
      </c>
      <c r="F555" t="s">
        <v>29</v>
      </c>
      <c r="G555" t="s">
        <v>39</v>
      </c>
      <c r="H555" t="s">
        <v>19</v>
      </c>
      <c r="I555" t="s">
        <v>40</v>
      </c>
      <c r="J555">
        <v>13</v>
      </c>
      <c r="K555">
        <v>28521</v>
      </c>
      <c r="L555">
        <f>Tabla24[[#This Row],[Precio_Unitario]]*Tabla24[[#This Row],[Unidades_Vendidas]]</f>
        <v>370773</v>
      </c>
      <c r="M555" t="s">
        <v>16</v>
      </c>
    </row>
    <row r="556" spans="1:13" x14ac:dyDescent="0.25">
      <c r="A556" t="s">
        <v>74</v>
      </c>
      <c r="B556" t="str">
        <f>TEXT(Tabla24[[#This Row],[Fecha]],"dddd")</f>
        <v>viernes</v>
      </c>
      <c r="C556" t="str">
        <f>TEXT(Tabla24[[#This Row],[Fecha]],"mmmm")</f>
        <v>enero</v>
      </c>
      <c r="D556" t="str">
        <f>TEXT(Tabla24[[#This Row],[Fecha]],"aaaa")</f>
        <v>2024</v>
      </c>
      <c r="E556" t="s">
        <v>22</v>
      </c>
      <c r="F556" t="s">
        <v>29</v>
      </c>
      <c r="G556" t="s">
        <v>44</v>
      </c>
      <c r="H556" t="s">
        <v>35</v>
      </c>
      <c r="I556" t="s">
        <v>15</v>
      </c>
      <c r="J556">
        <v>20</v>
      </c>
      <c r="K556">
        <v>21871</v>
      </c>
      <c r="L556">
        <f>Tabla24[[#This Row],[Precio_Unitario]]*Tabla24[[#This Row],[Unidades_Vendidas]]</f>
        <v>437420</v>
      </c>
      <c r="M556" t="s">
        <v>20</v>
      </c>
    </row>
    <row r="557" spans="1:13" x14ac:dyDescent="0.25">
      <c r="A557" t="s">
        <v>53</v>
      </c>
      <c r="B557" t="str">
        <f>TEXT(Tabla24[[#This Row],[Fecha]],"dddd")</f>
        <v>jueves</v>
      </c>
      <c r="C557" t="str">
        <f>TEXT(Tabla24[[#This Row],[Fecha]],"mmmm")</f>
        <v>mayo</v>
      </c>
      <c r="D557" t="str">
        <f>TEXT(Tabla24[[#This Row],[Fecha]],"aaaa")</f>
        <v>2024</v>
      </c>
      <c r="E557" t="s">
        <v>33</v>
      </c>
      <c r="F557" t="s">
        <v>38</v>
      </c>
      <c r="G557" t="s">
        <v>44</v>
      </c>
      <c r="H557" t="s">
        <v>25</v>
      </c>
      <c r="I557" t="s">
        <v>40</v>
      </c>
      <c r="J557">
        <v>18</v>
      </c>
      <c r="K557">
        <v>52826</v>
      </c>
      <c r="L557">
        <f>Tabla24[[#This Row],[Precio_Unitario]]*Tabla24[[#This Row],[Unidades_Vendidas]]</f>
        <v>950868</v>
      </c>
      <c r="M557" t="s">
        <v>36</v>
      </c>
    </row>
    <row r="558" spans="1:13" x14ac:dyDescent="0.25">
      <c r="A558" t="s">
        <v>218</v>
      </c>
      <c r="B558" t="str">
        <f>TEXT(Tabla24[[#This Row],[Fecha]],"dddd")</f>
        <v>lunes</v>
      </c>
      <c r="C558" t="str">
        <f>TEXT(Tabla24[[#This Row],[Fecha]],"mmmm")</f>
        <v>marzo</v>
      </c>
      <c r="D558" t="str">
        <f>TEXT(Tabla24[[#This Row],[Fecha]],"aaaa")</f>
        <v>2024</v>
      </c>
      <c r="E558" t="s">
        <v>11</v>
      </c>
      <c r="F558" t="s">
        <v>23</v>
      </c>
      <c r="G558" t="s">
        <v>48</v>
      </c>
      <c r="H558" t="s">
        <v>19</v>
      </c>
      <c r="I558" t="s">
        <v>26</v>
      </c>
      <c r="J558">
        <v>18</v>
      </c>
      <c r="K558">
        <v>20846</v>
      </c>
      <c r="L558">
        <f>Tabla24[[#This Row],[Precio_Unitario]]*Tabla24[[#This Row],[Unidades_Vendidas]]</f>
        <v>375228</v>
      </c>
      <c r="M558" t="s">
        <v>27</v>
      </c>
    </row>
    <row r="559" spans="1:13" x14ac:dyDescent="0.25">
      <c r="A559" t="s">
        <v>189</v>
      </c>
      <c r="B559" t="str">
        <f>TEXT(Tabla24[[#This Row],[Fecha]],"dddd")</f>
        <v>sábado</v>
      </c>
      <c r="C559" t="str">
        <f>TEXT(Tabla24[[#This Row],[Fecha]],"mmmm")</f>
        <v>abril</v>
      </c>
      <c r="D559" t="str">
        <f>TEXT(Tabla24[[#This Row],[Fecha]],"aaaa")</f>
        <v>2024</v>
      </c>
      <c r="E559" t="s">
        <v>11</v>
      </c>
      <c r="F559" t="s">
        <v>29</v>
      </c>
      <c r="G559" t="s">
        <v>24</v>
      </c>
      <c r="H559" t="s">
        <v>25</v>
      </c>
      <c r="I559" t="s">
        <v>15</v>
      </c>
      <c r="J559">
        <v>12</v>
      </c>
      <c r="K559">
        <v>40027</v>
      </c>
      <c r="L559">
        <f>Tabla24[[#This Row],[Precio_Unitario]]*Tabla24[[#This Row],[Unidades_Vendidas]]</f>
        <v>480324</v>
      </c>
      <c r="M559" t="s">
        <v>20</v>
      </c>
    </row>
    <row r="560" spans="1:13" x14ac:dyDescent="0.25">
      <c r="A560" t="s">
        <v>218</v>
      </c>
      <c r="B560" t="str">
        <f>TEXT(Tabla24[[#This Row],[Fecha]],"dddd")</f>
        <v>lunes</v>
      </c>
      <c r="C560" t="str">
        <f>TEXT(Tabla24[[#This Row],[Fecha]],"mmmm")</f>
        <v>marzo</v>
      </c>
      <c r="D560" t="str">
        <f>TEXT(Tabla24[[#This Row],[Fecha]],"aaaa")</f>
        <v>2024</v>
      </c>
      <c r="E560" t="s">
        <v>22</v>
      </c>
      <c r="F560" t="s">
        <v>29</v>
      </c>
      <c r="G560" t="s">
        <v>44</v>
      </c>
      <c r="H560" t="s">
        <v>25</v>
      </c>
      <c r="I560" t="s">
        <v>26</v>
      </c>
      <c r="J560">
        <v>16</v>
      </c>
      <c r="K560">
        <v>24876</v>
      </c>
      <c r="L560">
        <f>Tabla24[[#This Row],[Precio_Unitario]]*Tabla24[[#This Row],[Unidades_Vendidas]]</f>
        <v>398016</v>
      </c>
      <c r="M560" t="s">
        <v>20</v>
      </c>
    </row>
    <row r="561" spans="1:13" x14ac:dyDescent="0.25">
      <c r="A561" t="s">
        <v>148</v>
      </c>
      <c r="B561" t="str">
        <f>TEXT(Tabla24[[#This Row],[Fecha]],"dddd")</f>
        <v>lunes</v>
      </c>
      <c r="C561" t="str">
        <f>TEXT(Tabla24[[#This Row],[Fecha]],"mmmm")</f>
        <v>julio</v>
      </c>
      <c r="D561" t="str">
        <f>TEXT(Tabla24[[#This Row],[Fecha]],"aaaa")</f>
        <v>2024</v>
      </c>
      <c r="E561" t="s">
        <v>33</v>
      </c>
      <c r="F561" t="s">
        <v>23</v>
      </c>
      <c r="G561" t="s">
        <v>24</v>
      </c>
      <c r="H561" t="s">
        <v>35</v>
      </c>
      <c r="I561" t="s">
        <v>15</v>
      </c>
      <c r="J561">
        <v>13</v>
      </c>
      <c r="K561">
        <v>45601</v>
      </c>
      <c r="L561">
        <f>Tabla24[[#This Row],[Precio_Unitario]]*Tabla24[[#This Row],[Unidades_Vendidas]]</f>
        <v>592813</v>
      </c>
      <c r="M561" t="s">
        <v>36</v>
      </c>
    </row>
    <row r="562" spans="1:13" x14ac:dyDescent="0.25">
      <c r="A562" t="s">
        <v>261</v>
      </c>
      <c r="B562" t="str">
        <f>TEXT(Tabla24[[#This Row],[Fecha]],"dddd")</f>
        <v>domingo</v>
      </c>
      <c r="C562" t="str">
        <f>TEXT(Tabla24[[#This Row],[Fecha]],"mmmm")</f>
        <v>diciembre</v>
      </c>
      <c r="D562" t="str">
        <f>TEXT(Tabla24[[#This Row],[Fecha]],"aaaa")</f>
        <v>2024</v>
      </c>
      <c r="E562" t="s">
        <v>22</v>
      </c>
      <c r="F562" t="s">
        <v>23</v>
      </c>
      <c r="G562" t="s">
        <v>44</v>
      </c>
      <c r="H562" t="s">
        <v>19</v>
      </c>
      <c r="I562" t="s">
        <v>15</v>
      </c>
      <c r="J562">
        <v>18</v>
      </c>
      <c r="K562">
        <v>32360</v>
      </c>
      <c r="L562">
        <f>Tabla24[[#This Row],[Precio_Unitario]]*Tabla24[[#This Row],[Unidades_Vendidas]]</f>
        <v>582480</v>
      </c>
      <c r="M562" t="s">
        <v>36</v>
      </c>
    </row>
    <row r="563" spans="1:13" x14ac:dyDescent="0.25">
      <c r="A563" t="s">
        <v>322</v>
      </c>
      <c r="B563" t="str">
        <f>TEXT(Tabla24[[#This Row],[Fecha]],"dddd")</f>
        <v>miércoles</v>
      </c>
      <c r="C563" t="str">
        <f>TEXT(Tabla24[[#This Row],[Fecha]],"mmmm")</f>
        <v>septiembre</v>
      </c>
      <c r="D563" t="str">
        <f>TEXT(Tabla24[[#This Row],[Fecha]],"aaaa")</f>
        <v>2024</v>
      </c>
      <c r="E563" t="s">
        <v>33</v>
      </c>
      <c r="F563" t="s">
        <v>29</v>
      </c>
      <c r="G563" t="s">
        <v>24</v>
      </c>
      <c r="H563" t="s">
        <v>35</v>
      </c>
      <c r="I563" t="s">
        <v>40</v>
      </c>
      <c r="J563">
        <v>1</v>
      </c>
      <c r="K563">
        <v>22326</v>
      </c>
      <c r="L563">
        <f>Tabla24[[#This Row],[Precio_Unitario]]*Tabla24[[#This Row],[Unidades_Vendidas]]</f>
        <v>22326</v>
      </c>
      <c r="M563" t="s">
        <v>16</v>
      </c>
    </row>
    <row r="564" spans="1:13" x14ac:dyDescent="0.25">
      <c r="A564" t="s">
        <v>293</v>
      </c>
      <c r="B564" t="str">
        <f>TEXT(Tabla24[[#This Row],[Fecha]],"dddd")</f>
        <v>jueves</v>
      </c>
      <c r="C564" t="str">
        <f>TEXT(Tabla24[[#This Row],[Fecha]],"mmmm")</f>
        <v>mayo</v>
      </c>
      <c r="D564" t="str">
        <f>TEXT(Tabla24[[#This Row],[Fecha]],"aaaa")</f>
        <v>2024</v>
      </c>
      <c r="E564" t="s">
        <v>33</v>
      </c>
      <c r="F564" t="s">
        <v>38</v>
      </c>
      <c r="G564" t="s">
        <v>13</v>
      </c>
      <c r="H564" t="s">
        <v>14</v>
      </c>
      <c r="I564" t="s">
        <v>15</v>
      </c>
      <c r="J564">
        <v>17</v>
      </c>
      <c r="K564">
        <v>31999</v>
      </c>
      <c r="L564">
        <f>Tabla24[[#This Row],[Precio_Unitario]]*Tabla24[[#This Row],[Unidades_Vendidas]]</f>
        <v>543983</v>
      </c>
      <c r="M564" t="s">
        <v>27</v>
      </c>
    </row>
    <row r="565" spans="1:13" x14ac:dyDescent="0.25">
      <c r="A565" t="s">
        <v>275</v>
      </c>
      <c r="B565" t="str">
        <f>TEXT(Tabla24[[#This Row],[Fecha]],"dddd")</f>
        <v>miércoles</v>
      </c>
      <c r="C565" t="str">
        <f>TEXT(Tabla24[[#This Row],[Fecha]],"mmmm")</f>
        <v>julio</v>
      </c>
      <c r="D565" t="str">
        <f>TEXT(Tabla24[[#This Row],[Fecha]],"aaaa")</f>
        <v>2024</v>
      </c>
      <c r="E565" t="s">
        <v>22</v>
      </c>
      <c r="F565" t="s">
        <v>29</v>
      </c>
      <c r="G565" t="s">
        <v>44</v>
      </c>
      <c r="H565" t="s">
        <v>14</v>
      </c>
      <c r="I565" t="s">
        <v>15</v>
      </c>
      <c r="J565">
        <v>4</v>
      </c>
      <c r="K565">
        <v>44443</v>
      </c>
      <c r="L565">
        <f>Tabla24[[#This Row],[Precio_Unitario]]*Tabla24[[#This Row],[Unidades_Vendidas]]</f>
        <v>177772</v>
      </c>
      <c r="M565" t="s">
        <v>20</v>
      </c>
    </row>
    <row r="566" spans="1:13" x14ac:dyDescent="0.25">
      <c r="A566" t="s">
        <v>262</v>
      </c>
      <c r="B566" t="str">
        <f>TEXT(Tabla24[[#This Row],[Fecha]],"dddd")</f>
        <v>viernes</v>
      </c>
      <c r="C566" t="str">
        <f>TEXT(Tabla24[[#This Row],[Fecha]],"mmmm")</f>
        <v>enero</v>
      </c>
      <c r="D566" t="str">
        <f>TEXT(Tabla24[[#This Row],[Fecha]],"aaaa")</f>
        <v>2024</v>
      </c>
      <c r="E566" t="s">
        <v>18</v>
      </c>
      <c r="F566" t="s">
        <v>12</v>
      </c>
      <c r="G566" t="s">
        <v>13</v>
      </c>
      <c r="H566" t="s">
        <v>14</v>
      </c>
      <c r="I566" t="s">
        <v>26</v>
      </c>
      <c r="J566">
        <v>17</v>
      </c>
      <c r="K566">
        <v>45301</v>
      </c>
      <c r="L566">
        <f>Tabla24[[#This Row],[Precio_Unitario]]*Tabla24[[#This Row],[Unidades_Vendidas]]</f>
        <v>770117</v>
      </c>
      <c r="M566" t="s">
        <v>16</v>
      </c>
    </row>
    <row r="567" spans="1:13" x14ac:dyDescent="0.25">
      <c r="A567" t="s">
        <v>312</v>
      </c>
      <c r="B567" t="str">
        <f>TEXT(Tabla24[[#This Row],[Fecha]],"dddd")</f>
        <v>sábado</v>
      </c>
      <c r="C567" t="str">
        <f>TEXT(Tabla24[[#This Row],[Fecha]],"mmmm")</f>
        <v>junio</v>
      </c>
      <c r="D567" t="str">
        <f>TEXT(Tabla24[[#This Row],[Fecha]],"aaaa")</f>
        <v>2024</v>
      </c>
      <c r="E567" t="s">
        <v>18</v>
      </c>
      <c r="F567" t="s">
        <v>12</v>
      </c>
      <c r="G567" t="s">
        <v>48</v>
      </c>
      <c r="H567" t="s">
        <v>35</v>
      </c>
      <c r="I567" t="s">
        <v>40</v>
      </c>
      <c r="J567">
        <v>11</v>
      </c>
      <c r="K567">
        <v>57339</v>
      </c>
      <c r="L567">
        <f>Tabla24[[#This Row],[Precio_Unitario]]*Tabla24[[#This Row],[Unidades_Vendidas]]</f>
        <v>630729</v>
      </c>
      <c r="M567" t="s">
        <v>16</v>
      </c>
    </row>
    <row r="568" spans="1:13" x14ac:dyDescent="0.25">
      <c r="A568" t="s">
        <v>181</v>
      </c>
      <c r="B568" t="str">
        <f>TEXT(Tabla24[[#This Row],[Fecha]],"dddd")</f>
        <v>viernes</v>
      </c>
      <c r="C568" t="str">
        <f>TEXT(Tabla24[[#This Row],[Fecha]],"mmmm")</f>
        <v>agosto</v>
      </c>
      <c r="D568" t="str">
        <f>TEXT(Tabla24[[#This Row],[Fecha]],"aaaa")</f>
        <v>2024</v>
      </c>
      <c r="E568" t="s">
        <v>22</v>
      </c>
      <c r="F568" t="s">
        <v>34</v>
      </c>
      <c r="G568" t="s">
        <v>24</v>
      </c>
      <c r="H568" t="s">
        <v>30</v>
      </c>
      <c r="I568" t="s">
        <v>40</v>
      </c>
      <c r="J568">
        <v>16</v>
      </c>
      <c r="K568">
        <v>33748</v>
      </c>
      <c r="L568">
        <f>Tabla24[[#This Row],[Precio_Unitario]]*Tabla24[[#This Row],[Unidades_Vendidas]]</f>
        <v>539968</v>
      </c>
      <c r="M568" t="s">
        <v>36</v>
      </c>
    </row>
    <row r="569" spans="1:13" x14ac:dyDescent="0.25">
      <c r="A569" t="s">
        <v>255</v>
      </c>
      <c r="B569" t="str">
        <f>TEXT(Tabla24[[#This Row],[Fecha]],"dddd")</f>
        <v>domingo</v>
      </c>
      <c r="C569" t="str">
        <f>TEXT(Tabla24[[#This Row],[Fecha]],"mmmm")</f>
        <v>enero</v>
      </c>
      <c r="D569" t="str">
        <f>TEXT(Tabla24[[#This Row],[Fecha]],"aaaa")</f>
        <v>2024</v>
      </c>
      <c r="E569" t="s">
        <v>22</v>
      </c>
      <c r="F569" t="s">
        <v>34</v>
      </c>
      <c r="G569" t="s">
        <v>48</v>
      </c>
      <c r="H569" t="s">
        <v>19</v>
      </c>
      <c r="I569" t="s">
        <v>40</v>
      </c>
      <c r="J569">
        <v>13</v>
      </c>
      <c r="K569">
        <v>26527</v>
      </c>
      <c r="L569">
        <f>Tabla24[[#This Row],[Precio_Unitario]]*Tabla24[[#This Row],[Unidades_Vendidas]]</f>
        <v>344851</v>
      </c>
      <c r="M569" t="s">
        <v>16</v>
      </c>
    </row>
    <row r="570" spans="1:13" x14ac:dyDescent="0.25">
      <c r="A570" t="s">
        <v>119</v>
      </c>
      <c r="B570" t="str">
        <f>TEXT(Tabla24[[#This Row],[Fecha]],"dddd")</f>
        <v>miércoles</v>
      </c>
      <c r="C570" t="str">
        <f>TEXT(Tabla24[[#This Row],[Fecha]],"mmmm")</f>
        <v>julio</v>
      </c>
      <c r="D570" t="str">
        <f>TEXT(Tabla24[[#This Row],[Fecha]],"aaaa")</f>
        <v>2024</v>
      </c>
      <c r="E570" t="s">
        <v>22</v>
      </c>
      <c r="F570" t="s">
        <v>38</v>
      </c>
      <c r="G570" t="s">
        <v>39</v>
      </c>
      <c r="H570" t="s">
        <v>30</v>
      </c>
      <c r="I570" t="s">
        <v>26</v>
      </c>
      <c r="J570">
        <v>6</v>
      </c>
      <c r="K570">
        <v>58627</v>
      </c>
      <c r="L570">
        <f>Tabla24[[#This Row],[Precio_Unitario]]*Tabla24[[#This Row],[Unidades_Vendidas]]</f>
        <v>351762</v>
      </c>
      <c r="M570" t="s">
        <v>27</v>
      </c>
    </row>
    <row r="571" spans="1:13" x14ac:dyDescent="0.25">
      <c r="A571" t="s">
        <v>169</v>
      </c>
      <c r="B571" t="str">
        <f>TEXT(Tabla24[[#This Row],[Fecha]],"dddd")</f>
        <v>viernes</v>
      </c>
      <c r="C571" t="str">
        <f>TEXT(Tabla24[[#This Row],[Fecha]],"mmmm")</f>
        <v>febrero</v>
      </c>
      <c r="D571" t="str">
        <f>TEXT(Tabla24[[#This Row],[Fecha]],"aaaa")</f>
        <v>2024</v>
      </c>
      <c r="E571" t="s">
        <v>33</v>
      </c>
      <c r="F571" t="s">
        <v>12</v>
      </c>
      <c r="G571" t="s">
        <v>39</v>
      </c>
      <c r="H571" t="s">
        <v>35</v>
      </c>
      <c r="I571" t="s">
        <v>40</v>
      </c>
      <c r="J571">
        <v>20</v>
      </c>
      <c r="K571">
        <v>49899</v>
      </c>
      <c r="L571">
        <f>Tabla24[[#This Row],[Precio_Unitario]]*Tabla24[[#This Row],[Unidades_Vendidas]]</f>
        <v>997980</v>
      </c>
      <c r="M571" t="s">
        <v>27</v>
      </c>
    </row>
    <row r="572" spans="1:13" x14ac:dyDescent="0.25">
      <c r="A572" t="s">
        <v>323</v>
      </c>
      <c r="B572" t="str">
        <f>TEXT(Tabla24[[#This Row],[Fecha]],"dddd")</f>
        <v>domingo</v>
      </c>
      <c r="C572" t="str">
        <f>TEXT(Tabla24[[#This Row],[Fecha]],"mmmm")</f>
        <v>julio</v>
      </c>
      <c r="D572" t="str">
        <f>TEXT(Tabla24[[#This Row],[Fecha]],"aaaa")</f>
        <v>2024</v>
      </c>
      <c r="E572" t="s">
        <v>11</v>
      </c>
      <c r="F572" t="s">
        <v>23</v>
      </c>
      <c r="G572" t="s">
        <v>24</v>
      </c>
      <c r="H572" t="s">
        <v>35</v>
      </c>
      <c r="I572" t="s">
        <v>15</v>
      </c>
      <c r="J572">
        <v>9</v>
      </c>
      <c r="K572">
        <v>52533</v>
      </c>
      <c r="L572">
        <f>Tabla24[[#This Row],[Precio_Unitario]]*Tabla24[[#This Row],[Unidades_Vendidas]]</f>
        <v>472797</v>
      </c>
      <c r="M572" t="s">
        <v>20</v>
      </c>
    </row>
    <row r="573" spans="1:13" x14ac:dyDescent="0.25">
      <c r="A573" t="s">
        <v>324</v>
      </c>
      <c r="B573" t="str">
        <f>TEXT(Tabla24[[#This Row],[Fecha]],"dddd")</f>
        <v>martes</v>
      </c>
      <c r="C573" t="str">
        <f>TEXT(Tabla24[[#This Row],[Fecha]],"mmmm")</f>
        <v>marzo</v>
      </c>
      <c r="D573" t="str">
        <f>TEXT(Tabla24[[#This Row],[Fecha]],"aaaa")</f>
        <v>2024</v>
      </c>
      <c r="E573" t="s">
        <v>42</v>
      </c>
      <c r="F573" t="s">
        <v>29</v>
      </c>
      <c r="G573" t="s">
        <v>48</v>
      </c>
      <c r="H573" t="s">
        <v>30</v>
      </c>
      <c r="I573" t="s">
        <v>40</v>
      </c>
      <c r="J573">
        <v>16</v>
      </c>
      <c r="K573">
        <v>35281</v>
      </c>
      <c r="L573">
        <f>Tabla24[[#This Row],[Precio_Unitario]]*Tabla24[[#This Row],[Unidades_Vendidas]]</f>
        <v>564496</v>
      </c>
      <c r="M573" t="s">
        <v>36</v>
      </c>
    </row>
    <row r="574" spans="1:13" x14ac:dyDescent="0.25">
      <c r="A574" t="s">
        <v>66</v>
      </c>
      <c r="B574" t="str">
        <f>TEXT(Tabla24[[#This Row],[Fecha]],"dddd")</f>
        <v>lunes</v>
      </c>
      <c r="C574" t="str">
        <f>TEXT(Tabla24[[#This Row],[Fecha]],"mmmm")</f>
        <v>mayo</v>
      </c>
      <c r="D574" t="str">
        <f>TEXT(Tabla24[[#This Row],[Fecha]],"aaaa")</f>
        <v>2024</v>
      </c>
      <c r="E574" t="s">
        <v>18</v>
      </c>
      <c r="F574" t="s">
        <v>38</v>
      </c>
      <c r="G574" t="s">
        <v>44</v>
      </c>
      <c r="H574" t="s">
        <v>35</v>
      </c>
      <c r="I574" t="s">
        <v>26</v>
      </c>
      <c r="J574">
        <v>11</v>
      </c>
      <c r="K574">
        <v>52895</v>
      </c>
      <c r="L574">
        <f>Tabla24[[#This Row],[Precio_Unitario]]*Tabla24[[#This Row],[Unidades_Vendidas]]</f>
        <v>581845</v>
      </c>
      <c r="M574" t="s">
        <v>36</v>
      </c>
    </row>
    <row r="575" spans="1:13" x14ac:dyDescent="0.25">
      <c r="A575" t="s">
        <v>165</v>
      </c>
      <c r="B575" t="str">
        <f>TEXT(Tabla24[[#This Row],[Fecha]],"dddd")</f>
        <v>sábado</v>
      </c>
      <c r="C575" t="str">
        <f>TEXT(Tabla24[[#This Row],[Fecha]],"mmmm")</f>
        <v>noviembre</v>
      </c>
      <c r="D575" t="str">
        <f>TEXT(Tabla24[[#This Row],[Fecha]],"aaaa")</f>
        <v>2024</v>
      </c>
      <c r="E575" t="s">
        <v>42</v>
      </c>
      <c r="F575" t="s">
        <v>34</v>
      </c>
      <c r="G575" t="s">
        <v>24</v>
      </c>
      <c r="H575" t="s">
        <v>25</v>
      </c>
      <c r="I575" t="s">
        <v>40</v>
      </c>
      <c r="J575">
        <v>8</v>
      </c>
      <c r="K575">
        <v>47800</v>
      </c>
      <c r="L575">
        <f>Tabla24[[#This Row],[Precio_Unitario]]*Tabla24[[#This Row],[Unidades_Vendidas]]</f>
        <v>382400</v>
      </c>
      <c r="M575" t="s">
        <v>27</v>
      </c>
    </row>
    <row r="576" spans="1:13" x14ac:dyDescent="0.25">
      <c r="A576" t="s">
        <v>325</v>
      </c>
      <c r="B576" t="str">
        <f>TEXT(Tabla24[[#This Row],[Fecha]],"dddd")</f>
        <v>jueves</v>
      </c>
      <c r="C576" t="str">
        <f>TEXT(Tabla24[[#This Row],[Fecha]],"mmmm")</f>
        <v>diciembre</v>
      </c>
      <c r="D576" t="str">
        <f>TEXT(Tabla24[[#This Row],[Fecha]],"aaaa")</f>
        <v>2024</v>
      </c>
      <c r="E576" t="s">
        <v>22</v>
      </c>
      <c r="F576" t="s">
        <v>29</v>
      </c>
      <c r="G576" t="s">
        <v>13</v>
      </c>
      <c r="H576" t="s">
        <v>14</v>
      </c>
      <c r="I576" t="s">
        <v>15</v>
      </c>
      <c r="J576">
        <v>2</v>
      </c>
      <c r="K576">
        <v>59791</v>
      </c>
      <c r="L576">
        <f>Tabla24[[#This Row],[Precio_Unitario]]*Tabla24[[#This Row],[Unidades_Vendidas]]</f>
        <v>119582</v>
      </c>
      <c r="M576" t="s">
        <v>20</v>
      </c>
    </row>
    <row r="577" spans="1:13" x14ac:dyDescent="0.25">
      <c r="A577" t="s">
        <v>326</v>
      </c>
      <c r="B577" t="str">
        <f>TEXT(Tabla24[[#This Row],[Fecha]],"dddd")</f>
        <v>sábado</v>
      </c>
      <c r="C577" t="str">
        <f>TEXT(Tabla24[[#This Row],[Fecha]],"mmmm")</f>
        <v>julio</v>
      </c>
      <c r="D577" t="str">
        <f>TEXT(Tabla24[[#This Row],[Fecha]],"aaaa")</f>
        <v>2024</v>
      </c>
      <c r="E577" t="s">
        <v>42</v>
      </c>
      <c r="F577" t="s">
        <v>34</v>
      </c>
      <c r="G577" t="s">
        <v>13</v>
      </c>
      <c r="H577" t="s">
        <v>35</v>
      </c>
      <c r="I577" t="s">
        <v>15</v>
      </c>
      <c r="J577">
        <v>6</v>
      </c>
      <c r="K577">
        <v>30328</v>
      </c>
      <c r="L577">
        <f>Tabla24[[#This Row],[Precio_Unitario]]*Tabla24[[#This Row],[Unidades_Vendidas]]</f>
        <v>181968</v>
      </c>
      <c r="M577" t="s">
        <v>36</v>
      </c>
    </row>
    <row r="578" spans="1:13" x14ac:dyDescent="0.25">
      <c r="A578" t="s">
        <v>275</v>
      </c>
      <c r="B578" t="str">
        <f>TEXT(Tabla24[[#This Row],[Fecha]],"dddd")</f>
        <v>miércoles</v>
      </c>
      <c r="C578" t="str">
        <f>TEXT(Tabla24[[#This Row],[Fecha]],"mmmm")</f>
        <v>julio</v>
      </c>
      <c r="D578" t="str">
        <f>TEXT(Tabla24[[#This Row],[Fecha]],"aaaa")</f>
        <v>2024</v>
      </c>
      <c r="E578" t="s">
        <v>18</v>
      </c>
      <c r="F578" t="s">
        <v>34</v>
      </c>
      <c r="G578" t="s">
        <v>39</v>
      </c>
      <c r="H578" t="s">
        <v>30</v>
      </c>
      <c r="I578" t="s">
        <v>15</v>
      </c>
      <c r="J578">
        <v>4</v>
      </c>
      <c r="K578">
        <v>24209</v>
      </c>
      <c r="L578">
        <f>Tabla24[[#This Row],[Precio_Unitario]]*Tabla24[[#This Row],[Unidades_Vendidas]]</f>
        <v>96836</v>
      </c>
      <c r="M578" t="s">
        <v>36</v>
      </c>
    </row>
    <row r="579" spans="1:13" x14ac:dyDescent="0.25">
      <c r="A579" t="s">
        <v>67</v>
      </c>
      <c r="B579" t="str">
        <f>TEXT(Tabla24[[#This Row],[Fecha]],"dddd")</f>
        <v>jueves</v>
      </c>
      <c r="C579" t="str">
        <f>TEXT(Tabla24[[#This Row],[Fecha]],"mmmm")</f>
        <v>agosto</v>
      </c>
      <c r="D579" t="str">
        <f>TEXT(Tabla24[[#This Row],[Fecha]],"aaaa")</f>
        <v>2024</v>
      </c>
      <c r="E579" t="s">
        <v>42</v>
      </c>
      <c r="F579" t="s">
        <v>12</v>
      </c>
      <c r="G579" t="s">
        <v>24</v>
      </c>
      <c r="H579" t="s">
        <v>35</v>
      </c>
      <c r="I579" t="s">
        <v>26</v>
      </c>
      <c r="J579">
        <v>3</v>
      </c>
      <c r="K579">
        <v>59375</v>
      </c>
      <c r="L579">
        <f>Tabla24[[#This Row],[Precio_Unitario]]*Tabla24[[#This Row],[Unidades_Vendidas]]</f>
        <v>178125</v>
      </c>
      <c r="M579" t="s">
        <v>16</v>
      </c>
    </row>
    <row r="580" spans="1:13" x14ac:dyDescent="0.25">
      <c r="A580" t="s">
        <v>187</v>
      </c>
      <c r="B580" t="str">
        <f>TEXT(Tabla24[[#This Row],[Fecha]],"dddd")</f>
        <v>jueves</v>
      </c>
      <c r="C580" t="str">
        <f>TEXT(Tabla24[[#This Row],[Fecha]],"mmmm")</f>
        <v>mayo</v>
      </c>
      <c r="D580" t="str">
        <f>TEXT(Tabla24[[#This Row],[Fecha]],"aaaa")</f>
        <v>2024</v>
      </c>
      <c r="E580" t="s">
        <v>33</v>
      </c>
      <c r="F580" t="s">
        <v>29</v>
      </c>
      <c r="G580" t="s">
        <v>39</v>
      </c>
      <c r="H580" t="s">
        <v>30</v>
      </c>
      <c r="I580" t="s">
        <v>15</v>
      </c>
      <c r="J580">
        <v>19</v>
      </c>
      <c r="K580">
        <v>45753</v>
      </c>
      <c r="L580">
        <f>Tabla24[[#This Row],[Precio_Unitario]]*Tabla24[[#This Row],[Unidades_Vendidas]]</f>
        <v>869307</v>
      </c>
      <c r="M580" t="s">
        <v>20</v>
      </c>
    </row>
    <row r="581" spans="1:13" x14ac:dyDescent="0.25">
      <c r="A581" t="s">
        <v>292</v>
      </c>
      <c r="B581" t="str">
        <f>TEXT(Tabla24[[#This Row],[Fecha]],"dddd")</f>
        <v>sábado</v>
      </c>
      <c r="C581" t="str">
        <f>TEXT(Tabla24[[#This Row],[Fecha]],"mmmm")</f>
        <v>junio</v>
      </c>
      <c r="D581" t="str">
        <f>TEXT(Tabla24[[#This Row],[Fecha]],"aaaa")</f>
        <v>2024</v>
      </c>
      <c r="E581" t="s">
        <v>18</v>
      </c>
      <c r="F581" t="s">
        <v>38</v>
      </c>
      <c r="G581" t="s">
        <v>48</v>
      </c>
      <c r="H581" t="s">
        <v>25</v>
      </c>
      <c r="I581" t="s">
        <v>40</v>
      </c>
      <c r="J581">
        <v>11</v>
      </c>
      <c r="K581">
        <v>55089</v>
      </c>
      <c r="L581">
        <f>Tabla24[[#This Row],[Precio_Unitario]]*Tabla24[[#This Row],[Unidades_Vendidas]]</f>
        <v>605979</v>
      </c>
      <c r="M581" t="s">
        <v>27</v>
      </c>
    </row>
    <row r="582" spans="1:13" x14ac:dyDescent="0.25">
      <c r="A582" t="s">
        <v>293</v>
      </c>
      <c r="B582" t="str">
        <f>TEXT(Tabla24[[#This Row],[Fecha]],"dddd")</f>
        <v>jueves</v>
      </c>
      <c r="C582" t="str">
        <f>TEXT(Tabla24[[#This Row],[Fecha]],"mmmm")</f>
        <v>mayo</v>
      </c>
      <c r="D582" t="str">
        <f>TEXT(Tabla24[[#This Row],[Fecha]],"aaaa")</f>
        <v>2024</v>
      </c>
      <c r="E582" t="s">
        <v>11</v>
      </c>
      <c r="F582" t="s">
        <v>29</v>
      </c>
      <c r="G582" t="s">
        <v>39</v>
      </c>
      <c r="H582" t="s">
        <v>14</v>
      </c>
      <c r="I582" t="s">
        <v>26</v>
      </c>
      <c r="J582">
        <v>5</v>
      </c>
      <c r="K582">
        <v>53561</v>
      </c>
      <c r="L582">
        <f>Tabla24[[#This Row],[Precio_Unitario]]*Tabla24[[#This Row],[Unidades_Vendidas]]</f>
        <v>267805</v>
      </c>
      <c r="M582" t="s">
        <v>16</v>
      </c>
    </row>
    <row r="583" spans="1:13" x14ac:dyDescent="0.25">
      <c r="A583" t="s">
        <v>186</v>
      </c>
      <c r="B583" t="str">
        <f>TEXT(Tabla24[[#This Row],[Fecha]],"dddd")</f>
        <v>jueves</v>
      </c>
      <c r="C583" t="str">
        <f>TEXT(Tabla24[[#This Row],[Fecha]],"mmmm")</f>
        <v>marzo</v>
      </c>
      <c r="D583" t="str">
        <f>TEXT(Tabla24[[#This Row],[Fecha]],"aaaa")</f>
        <v>2024</v>
      </c>
      <c r="E583" t="s">
        <v>18</v>
      </c>
      <c r="F583" t="s">
        <v>29</v>
      </c>
      <c r="G583" t="s">
        <v>39</v>
      </c>
      <c r="H583" t="s">
        <v>19</v>
      </c>
      <c r="I583" t="s">
        <v>40</v>
      </c>
      <c r="J583">
        <v>6</v>
      </c>
      <c r="K583">
        <v>26358</v>
      </c>
      <c r="L583">
        <f>Tabla24[[#This Row],[Precio_Unitario]]*Tabla24[[#This Row],[Unidades_Vendidas]]</f>
        <v>158148</v>
      </c>
      <c r="M583" t="s">
        <v>20</v>
      </c>
    </row>
    <row r="584" spans="1:13" x14ac:dyDescent="0.25">
      <c r="A584" t="s">
        <v>232</v>
      </c>
      <c r="B584" t="str">
        <f>TEXT(Tabla24[[#This Row],[Fecha]],"dddd")</f>
        <v>sábado</v>
      </c>
      <c r="C584" t="str">
        <f>TEXT(Tabla24[[#This Row],[Fecha]],"mmmm")</f>
        <v>octubre</v>
      </c>
      <c r="D584" t="str">
        <f>TEXT(Tabla24[[#This Row],[Fecha]],"aaaa")</f>
        <v>2024</v>
      </c>
      <c r="E584" t="s">
        <v>18</v>
      </c>
      <c r="F584" t="s">
        <v>34</v>
      </c>
      <c r="G584" t="s">
        <v>13</v>
      </c>
      <c r="H584" t="s">
        <v>25</v>
      </c>
      <c r="I584" t="s">
        <v>40</v>
      </c>
      <c r="J584">
        <v>8</v>
      </c>
      <c r="K584">
        <v>45263</v>
      </c>
      <c r="L584">
        <f>Tabla24[[#This Row],[Precio_Unitario]]*Tabla24[[#This Row],[Unidades_Vendidas]]</f>
        <v>362104</v>
      </c>
      <c r="M584" t="s">
        <v>36</v>
      </c>
    </row>
    <row r="585" spans="1:13" x14ac:dyDescent="0.25">
      <c r="A585" t="s">
        <v>245</v>
      </c>
      <c r="B585" t="str">
        <f>TEXT(Tabla24[[#This Row],[Fecha]],"dddd")</f>
        <v>domingo</v>
      </c>
      <c r="C585" t="str">
        <f>TEXT(Tabla24[[#This Row],[Fecha]],"mmmm")</f>
        <v>julio</v>
      </c>
      <c r="D585" t="str">
        <f>TEXT(Tabla24[[#This Row],[Fecha]],"aaaa")</f>
        <v>2024</v>
      </c>
      <c r="E585" t="s">
        <v>42</v>
      </c>
      <c r="F585" t="s">
        <v>29</v>
      </c>
      <c r="G585" t="s">
        <v>44</v>
      </c>
      <c r="H585" t="s">
        <v>14</v>
      </c>
      <c r="I585" t="s">
        <v>40</v>
      </c>
      <c r="J585">
        <v>13</v>
      </c>
      <c r="K585">
        <v>29236</v>
      </c>
      <c r="L585">
        <f>Tabla24[[#This Row],[Precio_Unitario]]*Tabla24[[#This Row],[Unidades_Vendidas]]</f>
        <v>380068</v>
      </c>
      <c r="M585" t="s">
        <v>36</v>
      </c>
    </row>
    <row r="586" spans="1:13" x14ac:dyDescent="0.25">
      <c r="A586" t="s">
        <v>319</v>
      </c>
      <c r="B586" t="str">
        <f>TEXT(Tabla24[[#This Row],[Fecha]],"dddd")</f>
        <v>miércoles</v>
      </c>
      <c r="C586" t="str">
        <f>TEXT(Tabla24[[#This Row],[Fecha]],"mmmm")</f>
        <v>agosto</v>
      </c>
      <c r="D586" t="str">
        <f>TEXT(Tabla24[[#This Row],[Fecha]],"aaaa")</f>
        <v>2024</v>
      </c>
      <c r="E586" t="s">
        <v>22</v>
      </c>
      <c r="F586" t="s">
        <v>23</v>
      </c>
      <c r="G586" t="s">
        <v>44</v>
      </c>
      <c r="H586" t="s">
        <v>25</v>
      </c>
      <c r="I586" t="s">
        <v>26</v>
      </c>
      <c r="J586">
        <v>7</v>
      </c>
      <c r="K586">
        <v>56814</v>
      </c>
      <c r="L586">
        <f>Tabla24[[#This Row],[Precio_Unitario]]*Tabla24[[#This Row],[Unidades_Vendidas]]</f>
        <v>397698</v>
      </c>
      <c r="M586" t="s">
        <v>36</v>
      </c>
    </row>
    <row r="587" spans="1:13" x14ac:dyDescent="0.25">
      <c r="A587" t="s">
        <v>327</v>
      </c>
      <c r="B587" t="str">
        <f>TEXT(Tabla24[[#This Row],[Fecha]],"dddd")</f>
        <v>domingo</v>
      </c>
      <c r="C587" t="str">
        <f>TEXT(Tabla24[[#This Row],[Fecha]],"mmmm")</f>
        <v>enero</v>
      </c>
      <c r="D587" t="str">
        <f>TEXT(Tabla24[[#This Row],[Fecha]],"aaaa")</f>
        <v>2024</v>
      </c>
      <c r="E587" t="s">
        <v>33</v>
      </c>
      <c r="F587" t="s">
        <v>38</v>
      </c>
      <c r="G587" t="s">
        <v>24</v>
      </c>
      <c r="H587" t="s">
        <v>25</v>
      </c>
      <c r="I587" t="s">
        <v>15</v>
      </c>
      <c r="J587">
        <v>2</v>
      </c>
      <c r="K587">
        <v>17750</v>
      </c>
      <c r="L587">
        <f>Tabla24[[#This Row],[Precio_Unitario]]*Tabla24[[#This Row],[Unidades_Vendidas]]</f>
        <v>35500</v>
      </c>
      <c r="M587" t="s">
        <v>20</v>
      </c>
    </row>
    <row r="588" spans="1:13" x14ac:dyDescent="0.25">
      <c r="A588" t="s">
        <v>328</v>
      </c>
      <c r="B588" t="str">
        <f>TEXT(Tabla24[[#This Row],[Fecha]],"dddd")</f>
        <v>viernes</v>
      </c>
      <c r="C588" t="str">
        <f>TEXT(Tabla24[[#This Row],[Fecha]],"mmmm")</f>
        <v>diciembre</v>
      </c>
      <c r="D588" t="str">
        <f>TEXT(Tabla24[[#This Row],[Fecha]],"aaaa")</f>
        <v>2024</v>
      </c>
      <c r="E588" t="s">
        <v>18</v>
      </c>
      <c r="F588" t="s">
        <v>29</v>
      </c>
      <c r="G588" t="s">
        <v>44</v>
      </c>
      <c r="H588" t="s">
        <v>14</v>
      </c>
      <c r="I588" t="s">
        <v>40</v>
      </c>
      <c r="J588">
        <v>1</v>
      </c>
      <c r="K588">
        <v>51799</v>
      </c>
      <c r="L588">
        <f>Tabla24[[#This Row],[Precio_Unitario]]*Tabla24[[#This Row],[Unidades_Vendidas]]</f>
        <v>51799</v>
      </c>
      <c r="M588" t="s">
        <v>16</v>
      </c>
    </row>
    <row r="589" spans="1:13" x14ac:dyDescent="0.25">
      <c r="A589" t="s">
        <v>215</v>
      </c>
      <c r="B589" t="str">
        <f>TEXT(Tabla24[[#This Row],[Fecha]],"dddd")</f>
        <v>domingo</v>
      </c>
      <c r="C589" t="str">
        <f>TEXT(Tabla24[[#This Row],[Fecha]],"mmmm")</f>
        <v>mayo</v>
      </c>
      <c r="D589" t="str">
        <f>TEXT(Tabla24[[#This Row],[Fecha]],"aaaa")</f>
        <v>2024</v>
      </c>
      <c r="E589" t="s">
        <v>42</v>
      </c>
      <c r="F589" t="s">
        <v>29</v>
      </c>
      <c r="G589" t="s">
        <v>24</v>
      </c>
      <c r="H589" t="s">
        <v>14</v>
      </c>
      <c r="I589" t="s">
        <v>26</v>
      </c>
      <c r="J589">
        <v>15</v>
      </c>
      <c r="K589">
        <v>21159</v>
      </c>
      <c r="L589">
        <f>Tabla24[[#This Row],[Precio_Unitario]]*Tabla24[[#This Row],[Unidades_Vendidas]]</f>
        <v>317385</v>
      </c>
      <c r="M589" t="s">
        <v>16</v>
      </c>
    </row>
    <row r="590" spans="1:13" x14ac:dyDescent="0.25">
      <c r="A590" t="s">
        <v>296</v>
      </c>
      <c r="B590" t="str">
        <f>TEXT(Tabla24[[#This Row],[Fecha]],"dddd")</f>
        <v>miércoles</v>
      </c>
      <c r="C590" t="str">
        <f>TEXT(Tabla24[[#This Row],[Fecha]],"mmmm")</f>
        <v>abril</v>
      </c>
      <c r="D590" t="str">
        <f>TEXT(Tabla24[[#This Row],[Fecha]],"aaaa")</f>
        <v>2024</v>
      </c>
      <c r="E590" t="s">
        <v>22</v>
      </c>
      <c r="F590" t="s">
        <v>23</v>
      </c>
      <c r="G590" t="s">
        <v>24</v>
      </c>
      <c r="H590" t="s">
        <v>30</v>
      </c>
      <c r="I590" t="s">
        <v>15</v>
      </c>
      <c r="J590">
        <v>17</v>
      </c>
      <c r="K590">
        <v>30416</v>
      </c>
      <c r="L590">
        <f>Tabla24[[#This Row],[Precio_Unitario]]*Tabla24[[#This Row],[Unidades_Vendidas]]</f>
        <v>517072</v>
      </c>
      <c r="M590" t="s">
        <v>16</v>
      </c>
    </row>
    <row r="591" spans="1:13" x14ac:dyDescent="0.25">
      <c r="A591" t="s">
        <v>194</v>
      </c>
      <c r="B591" t="str">
        <f>TEXT(Tabla24[[#This Row],[Fecha]],"dddd")</f>
        <v>jueves</v>
      </c>
      <c r="C591" t="str">
        <f>TEXT(Tabla24[[#This Row],[Fecha]],"mmmm")</f>
        <v>noviembre</v>
      </c>
      <c r="D591" t="str">
        <f>TEXT(Tabla24[[#This Row],[Fecha]],"aaaa")</f>
        <v>2024</v>
      </c>
      <c r="E591" t="s">
        <v>11</v>
      </c>
      <c r="F591" t="s">
        <v>34</v>
      </c>
      <c r="G591" t="s">
        <v>24</v>
      </c>
      <c r="H591" t="s">
        <v>25</v>
      </c>
      <c r="I591" t="s">
        <v>40</v>
      </c>
      <c r="J591">
        <v>15</v>
      </c>
      <c r="K591">
        <v>59546</v>
      </c>
      <c r="L591">
        <f>Tabla24[[#This Row],[Precio_Unitario]]*Tabla24[[#This Row],[Unidades_Vendidas]]</f>
        <v>893190</v>
      </c>
      <c r="M591" t="s">
        <v>20</v>
      </c>
    </row>
    <row r="592" spans="1:13" x14ac:dyDescent="0.25">
      <c r="A592" t="s">
        <v>295</v>
      </c>
      <c r="B592" t="str">
        <f>TEXT(Tabla24[[#This Row],[Fecha]],"dddd")</f>
        <v>domingo</v>
      </c>
      <c r="C592" t="str">
        <f>TEXT(Tabla24[[#This Row],[Fecha]],"mmmm")</f>
        <v>abril</v>
      </c>
      <c r="D592" t="str">
        <f>TEXT(Tabla24[[#This Row],[Fecha]],"aaaa")</f>
        <v>2024</v>
      </c>
      <c r="E592" t="s">
        <v>42</v>
      </c>
      <c r="F592" t="s">
        <v>23</v>
      </c>
      <c r="G592" t="s">
        <v>13</v>
      </c>
      <c r="H592" t="s">
        <v>19</v>
      </c>
      <c r="I592" t="s">
        <v>40</v>
      </c>
      <c r="J592">
        <v>17</v>
      </c>
      <c r="K592">
        <v>16929</v>
      </c>
      <c r="L592">
        <f>Tabla24[[#This Row],[Precio_Unitario]]*Tabla24[[#This Row],[Unidades_Vendidas]]</f>
        <v>287793</v>
      </c>
      <c r="M592" t="s">
        <v>27</v>
      </c>
    </row>
    <row r="593" spans="1:13" x14ac:dyDescent="0.25">
      <c r="A593" t="s">
        <v>110</v>
      </c>
      <c r="B593" t="str">
        <f>TEXT(Tabla24[[#This Row],[Fecha]],"dddd")</f>
        <v>martes</v>
      </c>
      <c r="C593" t="str">
        <f>TEXT(Tabla24[[#This Row],[Fecha]],"mmmm")</f>
        <v>enero</v>
      </c>
      <c r="D593" t="str">
        <f>TEXT(Tabla24[[#This Row],[Fecha]],"aaaa")</f>
        <v>2024</v>
      </c>
      <c r="E593" t="s">
        <v>33</v>
      </c>
      <c r="F593" t="s">
        <v>38</v>
      </c>
      <c r="G593" t="s">
        <v>44</v>
      </c>
      <c r="H593" t="s">
        <v>35</v>
      </c>
      <c r="I593" t="s">
        <v>15</v>
      </c>
      <c r="J593">
        <v>9</v>
      </c>
      <c r="K593">
        <v>54989</v>
      </c>
      <c r="L593">
        <f>Tabla24[[#This Row],[Precio_Unitario]]*Tabla24[[#This Row],[Unidades_Vendidas]]</f>
        <v>494901</v>
      </c>
      <c r="M593" t="s">
        <v>27</v>
      </c>
    </row>
    <row r="594" spans="1:13" x14ac:dyDescent="0.25">
      <c r="A594" t="s">
        <v>53</v>
      </c>
      <c r="B594" t="str">
        <f>TEXT(Tabla24[[#This Row],[Fecha]],"dddd")</f>
        <v>jueves</v>
      </c>
      <c r="C594" t="str">
        <f>TEXT(Tabla24[[#This Row],[Fecha]],"mmmm")</f>
        <v>mayo</v>
      </c>
      <c r="D594" t="str">
        <f>TEXT(Tabla24[[#This Row],[Fecha]],"aaaa")</f>
        <v>2024</v>
      </c>
      <c r="E594" t="s">
        <v>42</v>
      </c>
      <c r="F594" t="s">
        <v>29</v>
      </c>
      <c r="G594" t="s">
        <v>24</v>
      </c>
      <c r="H594" t="s">
        <v>19</v>
      </c>
      <c r="I594" t="s">
        <v>15</v>
      </c>
      <c r="J594">
        <v>16</v>
      </c>
      <c r="K594">
        <v>52854</v>
      </c>
      <c r="L594">
        <f>Tabla24[[#This Row],[Precio_Unitario]]*Tabla24[[#This Row],[Unidades_Vendidas]]</f>
        <v>845664</v>
      </c>
      <c r="M594" t="s">
        <v>27</v>
      </c>
    </row>
    <row r="595" spans="1:13" x14ac:dyDescent="0.25">
      <c r="A595" t="s">
        <v>162</v>
      </c>
      <c r="B595" t="str">
        <f>TEXT(Tabla24[[#This Row],[Fecha]],"dddd")</f>
        <v>viernes</v>
      </c>
      <c r="C595" t="str">
        <f>TEXT(Tabla24[[#This Row],[Fecha]],"mmmm")</f>
        <v>mayo</v>
      </c>
      <c r="D595" t="str">
        <f>TEXT(Tabla24[[#This Row],[Fecha]],"aaaa")</f>
        <v>2024</v>
      </c>
      <c r="E595" t="s">
        <v>11</v>
      </c>
      <c r="F595" t="s">
        <v>23</v>
      </c>
      <c r="G595" t="s">
        <v>39</v>
      </c>
      <c r="H595" t="s">
        <v>14</v>
      </c>
      <c r="I595" t="s">
        <v>26</v>
      </c>
      <c r="J595">
        <v>1</v>
      </c>
      <c r="K595">
        <v>36236</v>
      </c>
      <c r="L595">
        <f>Tabla24[[#This Row],[Precio_Unitario]]*Tabla24[[#This Row],[Unidades_Vendidas]]</f>
        <v>36236</v>
      </c>
      <c r="M595" t="s">
        <v>16</v>
      </c>
    </row>
    <row r="596" spans="1:13" x14ac:dyDescent="0.25">
      <c r="A596" t="s">
        <v>159</v>
      </c>
      <c r="B596" t="str">
        <f>TEXT(Tabla24[[#This Row],[Fecha]],"dddd")</f>
        <v>jueves</v>
      </c>
      <c r="C596" t="str">
        <f>TEXT(Tabla24[[#This Row],[Fecha]],"mmmm")</f>
        <v>febrero</v>
      </c>
      <c r="D596" t="str">
        <f>TEXT(Tabla24[[#This Row],[Fecha]],"aaaa")</f>
        <v>2024</v>
      </c>
      <c r="E596" t="s">
        <v>11</v>
      </c>
      <c r="F596" t="s">
        <v>23</v>
      </c>
      <c r="G596" t="s">
        <v>13</v>
      </c>
      <c r="H596" t="s">
        <v>14</v>
      </c>
      <c r="I596" t="s">
        <v>15</v>
      </c>
      <c r="J596">
        <v>20</v>
      </c>
      <c r="K596">
        <v>34767</v>
      </c>
      <c r="L596">
        <f>Tabla24[[#This Row],[Precio_Unitario]]*Tabla24[[#This Row],[Unidades_Vendidas]]</f>
        <v>695340</v>
      </c>
      <c r="M596" t="s">
        <v>36</v>
      </c>
    </row>
    <row r="597" spans="1:13" x14ac:dyDescent="0.25">
      <c r="A597" t="s">
        <v>321</v>
      </c>
      <c r="B597" t="str">
        <f>TEXT(Tabla24[[#This Row],[Fecha]],"dddd")</f>
        <v>sábado</v>
      </c>
      <c r="C597" t="str">
        <f>TEXT(Tabla24[[#This Row],[Fecha]],"mmmm")</f>
        <v>noviembre</v>
      </c>
      <c r="D597" t="str">
        <f>TEXT(Tabla24[[#This Row],[Fecha]],"aaaa")</f>
        <v>2024</v>
      </c>
      <c r="E597" t="s">
        <v>11</v>
      </c>
      <c r="F597" t="s">
        <v>29</v>
      </c>
      <c r="G597" t="s">
        <v>24</v>
      </c>
      <c r="H597" t="s">
        <v>19</v>
      </c>
      <c r="I597" t="s">
        <v>15</v>
      </c>
      <c r="J597">
        <v>15</v>
      </c>
      <c r="K597">
        <v>52724</v>
      </c>
      <c r="L597">
        <f>Tabla24[[#This Row],[Precio_Unitario]]*Tabla24[[#This Row],[Unidades_Vendidas]]</f>
        <v>790860</v>
      </c>
      <c r="M597" t="s">
        <v>36</v>
      </c>
    </row>
    <row r="598" spans="1:13" x14ac:dyDescent="0.25">
      <c r="A598" t="s">
        <v>241</v>
      </c>
      <c r="B598" t="str">
        <f>TEXT(Tabla24[[#This Row],[Fecha]],"dddd")</f>
        <v>domingo</v>
      </c>
      <c r="C598" t="str">
        <f>TEXT(Tabla24[[#This Row],[Fecha]],"mmmm")</f>
        <v>febrero</v>
      </c>
      <c r="D598" t="str">
        <f>TEXT(Tabla24[[#This Row],[Fecha]],"aaaa")</f>
        <v>2024</v>
      </c>
      <c r="E598" t="s">
        <v>22</v>
      </c>
      <c r="F598" t="s">
        <v>38</v>
      </c>
      <c r="G598" t="s">
        <v>13</v>
      </c>
      <c r="H598" t="s">
        <v>19</v>
      </c>
      <c r="I598" t="s">
        <v>40</v>
      </c>
      <c r="J598">
        <v>19</v>
      </c>
      <c r="K598">
        <v>25541</v>
      </c>
      <c r="L598">
        <f>Tabla24[[#This Row],[Precio_Unitario]]*Tabla24[[#This Row],[Unidades_Vendidas]]</f>
        <v>485279</v>
      </c>
      <c r="M598" t="s">
        <v>20</v>
      </c>
    </row>
    <row r="599" spans="1:13" x14ac:dyDescent="0.25">
      <c r="A599" t="s">
        <v>104</v>
      </c>
      <c r="B599" t="str">
        <f>TEXT(Tabla24[[#This Row],[Fecha]],"dddd")</f>
        <v>domingo</v>
      </c>
      <c r="C599" t="str">
        <f>TEXT(Tabla24[[#This Row],[Fecha]],"mmmm")</f>
        <v>octubre</v>
      </c>
      <c r="D599" t="str">
        <f>TEXT(Tabla24[[#This Row],[Fecha]],"aaaa")</f>
        <v>2024</v>
      </c>
      <c r="E599" t="s">
        <v>22</v>
      </c>
      <c r="F599" t="s">
        <v>38</v>
      </c>
      <c r="G599" t="s">
        <v>39</v>
      </c>
      <c r="H599" t="s">
        <v>35</v>
      </c>
      <c r="I599" t="s">
        <v>15</v>
      </c>
      <c r="J599">
        <v>15</v>
      </c>
      <c r="K599">
        <v>20631</v>
      </c>
      <c r="L599">
        <f>Tabla24[[#This Row],[Precio_Unitario]]*Tabla24[[#This Row],[Unidades_Vendidas]]</f>
        <v>309465</v>
      </c>
      <c r="M599" t="s">
        <v>27</v>
      </c>
    </row>
    <row r="600" spans="1:13" x14ac:dyDescent="0.25">
      <c r="A600" t="s">
        <v>143</v>
      </c>
      <c r="B600" t="str">
        <f>TEXT(Tabla24[[#This Row],[Fecha]],"dddd")</f>
        <v>domingo</v>
      </c>
      <c r="C600" t="str">
        <f>TEXT(Tabla24[[#This Row],[Fecha]],"mmmm")</f>
        <v>enero</v>
      </c>
      <c r="D600" t="str">
        <f>TEXT(Tabla24[[#This Row],[Fecha]],"aaaa")</f>
        <v>2024</v>
      </c>
      <c r="E600" t="s">
        <v>11</v>
      </c>
      <c r="F600" t="s">
        <v>12</v>
      </c>
      <c r="G600" t="s">
        <v>44</v>
      </c>
      <c r="H600" t="s">
        <v>30</v>
      </c>
      <c r="I600" t="s">
        <v>26</v>
      </c>
      <c r="J600">
        <v>7</v>
      </c>
      <c r="K600">
        <v>35905</v>
      </c>
      <c r="L600">
        <f>Tabla24[[#This Row],[Precio_Unitario]]*Tabla24[[#This Row],[Unidades_Vendidas]]</f>
        <v>251335</v>
      </c>
      <c r="M600" t="s">
        <v>27</v>
      </c>
    </row>
    <row r="601" spans="1:13" x14ac:dyDescent="0.25">
      <c r="A601" t="s">
        <v>104</v>
      </c>
      <c r="B601" t="str">
        <f>TEXT(Tabla24[[#This Row],[Fecha]],"dddd")</f>
        <v>domingo</v>
      </c>
      <c r="C601" t="str">
        <f>TEXT(Tabla24[[#This Row],[Fecha]],"mmmm")</f>
        <v>octubre</v>
      </c>
      <c r="D601" t="str">
        <f>TEXT(Tabla24[[#This Row],[Fecha]],"aaaa")</f>
        <v>2024</v>
      </c>
      <c r="E601" t="s">
        <v>18</v>
      </c>
      <c r="F601" t="s">
        <v>29</v>
      </c>
      <c r="G601" t="s">
        <v>48</v>
      </c>
      <c r="H601" t="s">
        <v>35</v>
      </c>
      <c r="I601" t="s">
        <v>26</v>
      </c>
      <c r="J601">
        <v>16</v>
      </c>
      <c r="K601">
        <v>27005</v>
      </c>
      <c r="L601">
        <f>Tabla24[[#This Row],[Precio_Unitario]]*Tabla24[[#This Row],[Unidades_Vendidas]]</f>
        <v>432080</v>
      </c>
      <c r="M601" t="s">
        <v>16</v>
      </c>
    </row>
    <row r="602" spans="1:13" x14ac:dyDescent="0.25">
      <c r="A602" t="s">
        <v>223</v>
      </c>
      <c r="B602" t="str">
        <f>TEXT(Tabla24[[#This Row],[Fecha]],"dddd")</f>
        <v>viernes</v>
      </c>
      <c r="C602" t="str">
        <f>TEXT(Tabla24[[#This Row],[Fecha]],"mmmm")</f>
        <v>septiembre</v>
      </c>
      <c r="D602" t="str">
        <f>TEXT(Tabla24[[#This Row],[Fecha]],"aaaa")</f>
        <v>2024</v>
      </c>
      <c r="E602" t="s">
        <v>42</v>
      </c>
      <c r="F602" t="s">
        <v>34</v>
      </c>
      <c r="G602" t="s">
        <v>44</v>
      </c>
      <c r="H602" t="s">
        <v>30</v>
      </c>
      <c r="I602" t="s">
        <v>15</v>
      </c>
      <c r="J602">
        <v>15</v>
      </c>
      <c r="K602">
        <v>47531</v>
      </c>
      <c r="L602">
        <f>Tabla24[[#This Row],[Precio_Unitario]]*Tabla24[[#This Row],[Unidades_Vendidas]]</f>
        <v>712965</v>
      </c>
      <c r="M602" t="s">
        <v>20</v>
      </c>
    </row>
    <row r="603" spans="1:13" x14ac:dyDescent="0.25">
      <c r="A603" t="s">
        <v>127</v>
      </c>
      <c r="B603" t="str">
        <f>TEXT(Tabla24[[#This Row],[Fecha]],"dddd")</f>
        <v>sábado</v>
      </c>
      <c r="C603" t="str">
        <f>TEXT(Tabla24[[#This Row],[Fecha]],"mmmm")</f>
        <v>septiembre</v>
      </c>
      <c r="D603" t="str">
        <f>TEXT(Tabla24[[#This Row],[Fecha]],"aaaa")</f>
        <v>2024</v>
      </c>
      <c r="E603" t="s">
        <v>11</v>
      </c>
      <c r="F603" t="s">
        <v>38</v>
      </c>
      <c r="G603" t="s">
        <v>24</v>
      </c>
      <c r="H603" t="s">
        <v>30</v>
      </c>
      <c r="I603" t="s">
        <v>26</v>
      </c>
      <c r="J603">
        <v>10</v>
      </c>
      <c r="K603">
        <v>54528</v>
      </c>
      <c r="L603">
        <f>Tabla24[[#This Row],[Precio_Unitario]]*Tabla24[[#This Row],[Unidades_Vendidas]]</f>
        <v>545280</v>
      </c>
      <c r="M603" t="s">
        <v>36</v>
      </c>
    </row>
    <row r="604" spans="1:13" x14ac:dyDescent="0.25">
      <c r="A604" t="s">
        <v>276</v>
      </c>
      <c r="B604" t="str">
        <f>TEXT(Tabla24[[#This Row],[Fecha]],"dddd")</f>
        <v>domingo</v>
      </c>
      <c r="C604" t="str">
        <f>TEXT(Tabla24[[#This Row],[Fecha]],"mmmm")</f>
        <v>marzo</v>
      </c>
      <c r="D604" t="str">
        <f>TEXT(Tabla24[[#This Row],[Fecha]],"aaaa")</f>
        <v>2024</v>
      </c>
      <c r="E604" t="s">
        <v>11</v>
      </c>
      <c r="F604" t="s">
        <v>34</v>
      </c>
      <c r="G604" t="s">
        <v>13</v>
      </c>
      <c r="H604" t="s">
        <v>30</v>
      </c>
      <c r="I604" t="s">
        <v>15</v>
      </c>
      <c r="J604">
        <v>20</v>
      </c>
      <c r="K604">
        <v>44612</v>
      </c>
      <c r="L604">
        <f>Tabla24[[#This Row],[Precio_Unitario]]*Tabla24[[#This Row],[Unidades_Vendidas]]</f>
        <v>892240</v>
      </c>
      <c r="M604" t="s">
        <v>27</v>
      </c>
    </row>
    <row r="605" spans="1:13" x14ac:dyDescent="0.25">
      <c r="A605" t="s">
        <v>221</v>
      </c>
      <c r="B605" t="str">
        <f>TEXT(Tabla24[[#This Row],[Fecha]],"dddd")</f>
        <v>viernes</v>
      </c>
      <c r="C605" t="str">
        <f>TEXT(Tabla24[[#This Row],[Fecha]],"mmmm")</f>
        <v>noviembre</v>
      </c>
      <c r="D605" t="str">
        <f>TEXT(Tabla24[[#This Row],[Fecha]],"aaaa")</f>
        <v>2024</v>
      </c>
      <c r="E605" t="s">
        <v>18</v>
      </c>
      <c r="F605" t="s">
        <v>29</v>
      </c>
      <c r="G605" t="s">
        <v>48</v>
      </c>
      <c r="H605" t="s">
        <v>25</v>
      </c>
      <c r="I605" t="s">
        <v>15</v>
      </c>
      <c r="J605">
        <v>8</v>
      </c>
      <c r="K605">
        <v>42235</v>
      </c>
      <c r="L605">
        <f>Tabla24[[#This Row],[Precio_Unitario]]*Tabla24[[#This Row],[Unidades_Vendidas]]</f>
        <v>337880</v>
      </c>
      <c r="M605" t="s">
        <v>16</v>
      </c>
    </row>
    <row r="606" spans="1:13" x14ac:dyDescent="0.25">
      <c r="A606" t="s">
        <v>329</v>
      </c>
      <c r="B606" t="str">
        <f>TEXT(Tabla24[[#This Row],[Fecha]],"dddd")</f>
        <v>sábado</v>
      </c>
      <c r="C606" t="str">
        <f>TEXT(Tabla24[[#This Row],[Fecha]],"mmmm")</f>
        <v>agosto</v>
      </c>
      <c r="D606" t="str">
        <f>TEXT(Tabla24[[#This Row],[Fecha]],"aaaa")</f>
        <v>2024</v>
      </c>
      <c r="E606" t="s">
        <v>18</v>
      </c>
      <c r="F606" t="s">
        <v>34</v>
      </c>
      <c r="G606" t="s">
        <v>24</v>
      </c>
      <c r="H606" t="s">
        <v>30</v>
      </c>
      <c r="I606" t="s">
        <v>26</v>
      </c>
      <c r="J606">
        <v>15</v>
      </c>
      <c r="K606">
        <v>15705</v>
      </c>
      <c r="L606">
        <f>Tabla24[[#This Row],[Precio_Unitario]]*Tabla24[[#This Row],[Unidades_Vendidas]]</f>
        <v>235575</v>
      </c>
      <c r="M606" t="s">
        <v>20</v>
      </c>
    </row>
    <row r="607" spans="1:13" x14ac:dyDescent="0.25">
      <c r="A607" t="s">
        <v>225</v>
      </c>
      <c r="B607" t="str">
        <f>TEXT(Tabla24[[#This Row],[Fecha]],"dddd")</f>
        <v>miércoles</v>
      </c>
      <c r="C607" t="str">
        <f>TEXT(Tabla24[[#This Row],[Fecha]],"mmmm")</f>
        <v>marzo</v>
      </c>
      <c r="D607" t="str">
        <f>TEXT(Tabla24[[#This Row],[Fecha]],"aaaa")</f>
        <v>2024</v>
      </c>
      <c r="E607" t="s">
        <v>33</v>
      </c>
      <c r="F607" t="s">
        <v>29</v>
      </c>
      <c r="G607" t="s">
        <v>44</v>
      </c>
      <c r="H607" t="s">
        <v>19</v>
      </c>
      <c r="I607" t="s">
        <v>40</v>
      </c>
      <c r="J607">
        <v>18</v>
      </c>
      <c r="K607">
        <v>52087</v>
      </c>
      <c r="L607">
        <f>Tabla24[[#This Row],[Precio_Unitario]]*Tabla24[[#This Row],[Unidades_Vendidas]]</f>
        <v>937566</v>
      </c>
      <c r="M607" t="s">
        <v>16</v>
      </c>
    </row>
    <row r="608" spans="1:13" x14ac:dyDescent="0.25">
      <c r="A608" t="s">
        <v>211</v>
      </c>
      <c r="B608" t="str">
        <f>TEXT(Tabla24[[#This Row],[Fecha]],"dddd")</f>
        <v>domingo</v>
      </c>
      <c r="C608" t="str">
        <f>TEXT(Tabla24[[#This Row],[Fecha]],"mmmm")</f>
        <v>marzo</v>
      </c>
      <c r="D608" t="str">
        <f>TEXT(Tabla24[[#This Row],[Fecha]],"aaaa")</f>
        <v>2024</v>
      </c>
      <c r="E608" t="s">
        <v>42</v>
      </c>
      <c r="F608" t="s">
        <v>23</v>
      </c>
      <c r="G608" t="s">
        <v>48</v>
      </c>
      <c r="H608" t="s">
        <v>19</v>
      </c>
      <c r="I608" t="s">
        <v>15</v>
      </c>
      <c r="J608">
        <v>10</v>
      </c>
      <c r="K608">
        <v>25793</v>
      </c>
      <c r="L608">
        <f>Tabla24[[#This Row],[Precio_Unitario]]*Tabla24[[#This Row],[Unidades_Vendidas]]</f>
        <v>257930</v>
      </c>
      <c r="M608" t="s">
        <v>36</v>
      </c>
    </row>
    <row r="609" spans="1:13" x14ac:dyDescent="0.25">
      <c r="A609" t="s">
        <v>299</v>
      </c>
      <c r="B609" t="str">
        <f>TEXT(Tabla24[[#This Row],[Fecha]],"dddd")</f>
        <v>viernes</v>
      </c>
      <c r="C609" t="str">
        <f>TEXT(Tabla24[[#This Row],[Fecha]],"mmmm")</f>
        <v>febrero</v>
      </c>
      <c r="D609" t="str">
        <f>TEXT(Tabla24[[#This Row],[Fecha]],"aaaa")</f>
        <v>2024</v>
      </c>
      <c r="E609" t="s">
        <v>11</v>
      </c>
      <c r="F609" t="s">
        <v>12</v>
      </c>
      <c r="G609" t="s">
        <v>44</v>
      </c>
      <c r="H609" t="s">
        <v>35</v>
      </c>
      <c r="I609" t="s">
        <v>15</v>
      </c>
      <c r="J609">
        <v>1</v>
      </c>
      <c r="K609">
        <v>21852</v>
      </c>
      <c r="L609">
        <f>Tabla24[[#This Row],[Precio_Unitario]]*Tabla24[[#This Row],[Unidades_Vendidas]]</f>
        <v>21852</v>
      </c>
      <c r="M609" t="s">
        <v>36</v>
      </c>
    </row>
    <row r="610" spans="1:13" x14ac:dyDescent="0.25">
      <c r="A610" t="s">
        <v>330</v>
      </c>
      <c r="B610" t="str">
        <f>TEXT(Tabla24[[#This Row],[Fecha]],"dddd")</f>
        <v>miércoles</v>
      </c>
      <c r="C610" t="str">
        <f>TEXT(Tabla24[[#This Row],[Fecha]],"mmmm")</f>
        <v>agosto</v>
      </c>
      <c r="D610" t="str">
        <f>TEXT(Tabla24[[#This Row],[Fecha]],"aaaa")</f>
        <v>2024</v>
      </c>
      <c r="E610" t="s">
        <v>33</v>
      </c>
      <c r="F610" t="s">
        <v>23</v>
      </c>
      <c r="G610" t="s">
        <v>39</v>
      </c>
      <c r="H610" t="s">
        <v>35</v>
      </c>
      <c r="I610" t="s">
        <v>15</v>
      </c>
      <c r="J610">
        <v>13</v>
      </c>
      <c r="K610">
        <v>55136</v>
      </c>
      <c r="L610">
        <f>Tabla24[[#This Row],[Precio_Unitario]]*Tabla24[[#This Row],[Unidades_Vendidas]]</f>
        <v>716768</v>
      </c>
      <c r="M610" t="s">
        <v>20</v>
      </c>
    </row>
    <row r="611" spans="1:13" x14ac:dyDescent="0.25">
      <c r="A611" t="s">
        <v>188</v>
      </c>
      <c r="B611" t="str">
        <f>TEXT(Tabla24[[#This Row],[Fecha]],"dddd")</f>
        <v>miércoles</v>
      </c>
      <c r="C611" t="str">
        <f>TEXT(Tabla24[[#This Row],[Fecha]],"mmmm")</f>
        <v>enero</v>
      </c>
      <c r="D611" t="str">
        <f>TEXT(Tabla24[[#This Row],[Fecha]],"aaaa")</f>
        <v>2024</v>
      </c>
      <c r="E611" t="s">
        <v>11</v>
      </c>
      <c r="F611" t="s">
        <v>12</v>
      </c>
      <c r="G611" t="s">
        <v>44</v>
      </c>
      <c r="H611" t="s">
        <v>35</v>
      </c>
      <c r="I611" t="s">
        <v>26</v>
      </c>
      <c r="J611">
        <v>14</v>
      </c>
      <c r="K611">
        <v>23090</v>
      </c>
      <c r="L611">
        <f>Tabla24[[#This Row],[Precio_Unitario]]*Tabla24[[#This Row],[Unidades_Vendidas]]</f>
        <v>323260</v>
      </c>
      <c r="M611" t="s">
        <v>36</v>
      </c>
    </row>
    <row r="612" spans="1:13" x14ac:dyDescent="0.25">
      <c r="A612" t="s">
        <v>214</v>
      </c>
      <c r="B612" t="str">
        <f>TEXT(Tabla24[[#This Row],[Fecha]],"dddd")</f>
        <v>lunes</v>
      </c>
      <c r="C612" t="str">
        <f>TEXT(Tabla24[[#This Row],[Fecha]],"mmmm")</f>
        <v>noviembre</v>
      </c>
      <c r="D612" t="str">
        <f>TEXT(Tabla24[[#This Row],[Fecha]],"aaaa")</f>
        <v>2024</v>
      </c>
      <c r="E612" t="s">
        <v>22</v>
      </c>
      <c r="F612" t="s">
        <v>34</v>
      </c>
      <c r="G612" t="s">
        <v>48</v>
      </c>
      <c r="H612" t="s">
        <v>35</v>
      </c>
      <c r="I612" t="s">
        <v>15</v>
      </c>
      <c r="J612">
        <v>7</v>
      </c>
      <c r="K612">
        <v>18280</v>
      </c>
      <c r="L612">
        <f>Tabla24[[#This Row],[Precio_Unitario]]*Tabla24[[#This Row],[Unidades_Vendidas]]</f>
        <v>127960</v>
      </c>
      <c r="M612" t="s">
        <v>20</v>
      </c>
    </row>
    <row r="613" spans="1:13" x14ac:dyDescent="0.25">
      <c r="A613" t="s">
        <v>130</v>
      </c>
      <c r="B613" t="str">
        <f>TEXT(Tabla24[[#This Row],[Fecha]],"dddd")</f>
        <v>jueves</v>
      </c>
      <c r="C613" t="str">
        <f>TEXT(Tabla24[[#This Row],[Fecha]],"mmmm")</f>
        <v>agosto</v>
      </c>
      <c r="D613" t="str">
        <f>TEXT(Tabla24[[#This Row],[Fecha]],"aaaa")</f>
        <v>2024</v>
      </c>
      <c r="E613" t="s">
        <v>18</v>
      </c>
      <c r="F613" t="s">
        <v>29</v>
      </c>
      <c r="G613" t="s">
        <v>39</v>
      </c>
      <c r="H613" t="s">
        <v>19</v>
      </c>
      <c r="I613" t="s">
        <v>26</v>
      </c>
      <c r="J613">
        <v>6</v>
      </c>
      <c r="K613">
        <v>40546</v>
      </c>
      <c r="L613">
        <f>Tabla24[[#This Row],[Precio_Unitario]]*Tabla24[[#This Row],[Unidades_Vendidas]]</f>
        <v>243276</v>
      </c>
      <c r="M613" t="s">
        <v>16</v>
      </c>
    </row>
    <row r="614" spans="1:13" x14ac:dyDescent="0.25">
      <c r="A614" t="s">
        <v>266</v>
      </c>
      <c r="B614" t="str">
        <f>TEXT(Tabla24[[#This Row],[Fecha]],"dddd")</f>
        <v>miércoles</v>
      </c>
      <c r="C614" t="str">
        <f>TEXT(Tabla24[[#This Row],[Fecha]],"mmmm")</f>
        <v>octubre</v>
      </c>
      <c r="D614" t="str">
        <f>TEXT(Tabla24[[#This Row],[Fecha]],"aaaa")</f>
        <v>2024</v>
      </c>
      <c r="E614" t="s">
        <v>22</v>
      </c>
      <c r="F614" t="s">
        <v>38</v>
      </c>
      <c r="G614" t="s">
        <v>44</v>
      </c>
      <c r="H614" t="s">
        <v>14</v>
      </c>
      <c r="I614" t="s">
        <v>40</v>
      </c>
      <c r="J614">
        <v>19</v>
      </c>
      <c r="K614">
        <v>16363</v>
      </c>
      <c r="L614">
        <f>Tabla24[[#This Row],[Precio_Unitario]]*Tabla24[[#This Row],[Unidades_Vendidas]]</f>
        <v>310897</v>
      </c>
      <c r="M614" t="s">
        <v>27</v>
      </c>
    </row>
    <row r="615" spans="1:13" x14ac:dyDescent="0.25">
      <c r="A615" t="s">
        <v>240</v>
      </c>
      <c r="B615" t="str">
        <f>TEXT(Tabla24[[#This Row],[Fecha]],"dddd")</f>
        <v>lunes</v>
      </c>
      <c r="C615" t="str">
        <f>TEXT(Tabla24[[#This Row],[Fecha]],"mmmm")</f>
        <v>diciembre</v>
      </c>
      <c r="D615" t="str">
        <f>TEXT(Tabla24[[#This Row],[Fecha]],"aaaa")</f>
        <v>2024</v>
      </c>
      <c r="E615" t="s">
        <v>42</v>
      </c>
      <c r="F615" t="s">
        <v>34</v>
      </c>
      <c r="G615" t="s">
        <v>39</v>
      </c>
      <c r="H615" t="s">
        <v>35</v>
      </c>
      <c r="I615" t="s">
        <v>15</v>
      </c>
      <c r="J615">
        <v>4</v>
      </c>
      <c r="K615">
        <v>24638</v>
      </c>
      <c r="L615">
        <f>Tabla24[[#This Row],[Precio_Unitario]]*Tabla24[[#This Row],[Unidades_Vendidas]]</f>
        <v>98552</v>
      </c>
      <c r="M615" t="s">
        <v>36</v>
      </c>
    </row>
    <row r="616" spans="1:13" x14ac:dyDescent="0.25">
      <c r="A616" t="s">
        <v>289</v>
      </c>
      <c r="B616" t="str">
        <f>TEXT(Tabla24[[#This Row],[Fecha]],"dddd")</f>
        <v>miércoles</v>
      </c>
      <c r="C616" t="str">
        <f>TEXT(Tabla24[[#This Row],[Fecha]],"mmmm")</f>
        <v>diciembre</v>
      </c>
      <c r="D616" t="str">
        <f>TEXT(Tabla24[[#This Row],[Fecha]],"aaaa")</f>
        <v>2024</v>
      </c>
      <c r="E616" t="s">
        <v>33</v>
      </c>
      <c r="F616" t="s">
        <v>29</v>
      </c>
      <c r="G616" t="s">
        <v>13</v>
      </c>
      <c r="H616" t="s">
        <v>25</v>
      </c>
      <c r="I616" t="s">
        <v>26</v>
      </c>
      <c r="J616">
        <v>19</v>
      </c>
      <c r="K616">
        <v>21808</v>
      </c>
      <c r="L616">
        <f>Tabla24[[#This Row],[Precio_Unitario]]*Tabla24[[#This Row],[Unidades_Vendidas]]</f>
        <v>414352</v>
      </c>
      <c r="M616" t="s">
        <v>27</v>
      </c>
    </row>
    <row r="617" spans="1:13" x14ac:dyDescent="0.25">
      <c r="A617" t="s">
        <v>331</v>
      </c>
      <c r="B617" t="str">
        <f>TEXT(Tabla24[[#This Row],[Fecha]],"dddd")</f>
        <v>sábado</v>
      </c>
      <c r="C617" t="str">
        <f>TEXT(Tabla24[[#This Row],[Fecha]],"mmmm")</f>
        <v>enero</v>
      </c>
      <c r="D617" t="str">
        <f>TEXT(Tabla24[[#This Row],[Fecha]],"aaaa")</f>
        <v>2024</v>
      </c>
      <c r="E617" t="s">
        <v>22</v>
      </c>
      <c r="F617" t="s">
        <v>34</v>
      </c>
      <c r="G617" t="s">
        <v>13</v>
      </c>
      <c r="H617" t="s">
        <v>14</v>
      </c>
      <c r="I617" t="s">
        <v>40</v>
      </c>
      <c r="J617">
        <v>12</v>
      </c>
      <c r="K617">
        <v>33385</v>
      </c>
      <c r="L617">
        <f>Tabla24[[#This Row],[Precio_Unitario]]*Tabla24[[#This Row],[Unidades_Vendidas]]</f>
        <v>400620</v>
      </c>
      <c r="M617" t="s">
        <v>20</v>
      </c>
    </row>
    <row r="618" spans="1:13" x14ac:dyDescent="0.25">
      <c r="A618" t="s">
        <v>332</v>
      </c>
      <c r="B618" t="str">
        <f>TEXT(Tabla24[[#This Row],[Fecha]],"dddd")</f>
        <v>martes</v>
      </c>
      <c r="C618" t="str">
        <f>TEXT(Tabla24[[#This Row],[Fecha]],"mmmm")</f>
        <v>julio</v>
      </c>
      <c r="D618" t="str">
        <f>TEXT(Tabla24[[#This Row],[Fecha]],"aaaa")</f>
        <v>2024</v>
      </c>
      <c r="E618" t="s">
        <v>33</v>
      </c>
      <c r="F618" t="s">
        <v>12</v>
      </c>
      <c r="G618" t="s">
        <v>44</v>
      </c>
      <c r="H618" t="s">
        <v>25</v>
      </c>
      <c r="I618" t="s">
        <v>26</v>
      </c>
      <c r="J618">
        <v>15</v>
      </c>
      <c r="K618">
        <v>25999</v>
      </c>
      <c r="L618">
        <f>Tabla24[[#This Row],[Precio_Unitario]]*Tabla24[[#This Row],[Unidades_Vendidas]]</f>
        <v>389985</v>
      </c>
      <c r="M618" t="s">
        <v>36</v>
      </c>
    </row>
    <row r="619" spans="1:13" x14ac:dyDescent="0.25">
      <c r="A619" t="s">
        <v>115</v>
      </c>
      <c r="B619" t="str">
        <f>TEXT(Tabla24[[#This Row],[Fecha]],"dddd")</f>
        <v>lunes</v>
      </c>
      <c r="C619" t="str">
        <f>TEXT(Tabla24[[#This Row],[Fecha]],"mmmm")</f>
        <v>agosto</v>
      </c>
      <c r="D619" t="str">
        <f>TEXT(Tabla24[[#This Row],[Fecha]],"aaaa")</f>
        <v>2024</v>
      </c>
      <c r="E619" t="s">
        <v>42</v>
      </c>
      <c r="F619" t="s">
        <v>23</v>
      </c>
      <c r="G619" t="s">
        <v>44</v>
      </c>
      <c r="H619" t="s">
        <v>25</v>
      </c>
      <c r="I619" t="s">
        <v>26</v>
      </c>
      <c r="J619">
        <v>8</v>
      </c>
      <c r="K619">
        <v>48410</v>
      </c>
      <c r="L619">
        <f>Tabla24[[#This Row],[Precio_Unitario]]*Tabla24[[#This Row],[Unidades_Vendidas]]</f>
        <v>387280</v>
      </c>
      <c r="M619" t="s">
        <v>36</v>
      </c>
    </row>
    <row r="620" spans="1:13" x14ac:dyDescent="0.25">
      <c r="A620" t="s">
        <v>297</v>
      </c>
      <c r="B620" t="str">
        <f>TEXT(Tabla24[[#This Row],[Fecha]],"dddd")</f>
        <v>viernes</v>
      </c>
      <c r="C620" t="str">
        <f>TEXT(Tabla24[[#This Row],[Fecha]],"mmmm")</f>
        <v>abril</v>
      </c>
      <c r="D620" t="str">
        <f>TEXT(Tabla24[[#This Row],[Fecha]],"aaaa")</f>
        <v>2024</v>
      </c>
      <c r="E620" t="s">
        <v>11</v>
      </c>
      <c r="F620" t="s">
        <v>23</v>
      </c>
      <c r="G620" t="s">
        <v>48</v>
      </c>
      <c r="H620" t="s">
        <v>25</v>
      </c>
      <c r="I620" t="s">
        <v>26</v>
      </c>
      <c r="J620">
        <v>13</v>
      </c>
      <c r="K620">
        <v>30507</v>
      </c>
      <c r="L620">
        <f>Tabla24[[#This Row],[Precio_Unitario]]*Tabla24[[#This Row],[Unidades_Vendidas]]</f>
        <v>396591</v>
      </c>
      <c r="M620" t="s">
        <v>36</v>
      </c>
    </row>
    <row r="621" spans="1:13" x14ac:dyDescent="0.25">
      <c r="A621" t="s">
        <v>114</v>
      </c>
      <c r="B621" t="str">
        <f>TEXT(Tabla24[[#This Row],[Fecha]],"dddd")</f>
        <v>domingo</v>
      </c>
      <c r="C621" t="str">
        <f>TEXT(Tabla24[[#This Row],[Fecha]],"mmmm")</f>
        <v>junio</v>
      </c>
      <c r="D621" t="str">
        <f>TEXT(Tabla24[[#This Row],[Fecha]],"aaaa")</f>
        <v>2024</v>
      </c>
      <c r="E621" t="s">
        <v>22</v>
      </c>
      <c r="F621" t="s">
        <v>38</v>
      </c>
      <c r="G621" t="s">
        <v>39</v>
      </c>
      <c r="H621" t="s">
        <v>25</v>
      </c>
      <c r="I621" t="s">
        <v>26</v>
      </c>
      <c r="J621">
        <v>17</v>
      </c>
      <c r="K621">
        <v>41178</v>
      </c>
      <c r="L621">
        <f>Tabla24[[#This Row],[Precio_Unitario]]*Tabla24[[#This Row],[Unidades_Vendidas]]</f>
        <v>700026</v>
      </c>
      <c r="M621" t="s">
        <v>20</v>
      </c>
    </row>
    <row r="622" spans="1:13" x14ac:dyDescent="0.25">
      <c r="A622" t="s">
        <v>316</v>
      </c>
      <c r="B622" t="str">
        <f>TEXT(Tabla24[[#This Row],[Fecha]],"dddd")</f>
        <v>sábado</v>
      </c>
      <c r="C622" t="str">
        <f>TEXT(Tabla24[[#This Row],[Fecha]],"mmmm")</f>
        <v>febrero</v>
      </c>
      <c r="D622" t="str">
        <f>TEXT(Tabla24[[#This Row],[Fecha]],"aaaa")</f>
        <v>2024</v>
      </c>
      <c r="E622" t="s">
        <v>42</v>
      </c>
      <c r="F622" t="s">
        <v>23</v>
      </c>
      <c r="G622" t="s">
        <v>48</v>
      </c>
      <c r="H622" t="s">
        <v>25</v>
      </c>
      <c r="I622" t="s">
        <v>40</v>
      </c>
      <c r="J622">
        <v>13</v>
      </c>
      <c r="K622">
        <v>58922</v>
      </c>
      <c r="L622">
        <f>Tabla24[[#This Row],[Precio_Unitario]]*Tabla24[[#This Row],[Unidades_Vendidas]]</f>
        <v>765986</v>
      </c>
      <c r="M622" t="s">
        <v>20</v>
      </c>
    </row>
    <row r="623" spans="1:13" x14ac:dyDescent="0.25">
      <c r="A623" t="s">
        <v>58</v>
      </c>
      <c r="B623" t="str">
        <f>TEXT(Tabla24[[#This Row],[Fecha]],"dddd")</f>
        <v>lunes</v>
      </c>
      <c r="C623" t="str">
        <f>TEXT(Tabla24[[#This Row],[Fecha]],"mmmm")</f>
        <v>octubre</v>
      </c>
      <c r="D623" t="str">
        <f>TEXT(Tabla24[[#This Row],[Fecha]],"aaaa")</f>
        <v>2024</v>
      </c>
      <c r="E623" t="s">
        <v>22</v>
      </c>
      <c r="F623" t="s">
        <v>12</v>
      </c>
      <c r="G623" t="s">
        <v>44</v>
      </c>
      <c r="H623" t="s">
        <v>30</v>
      </c>
      <c r="I623" t="s">
        <v>15</v>
      </c>
      <c r="J623">
        <v>1</v>
      </c>
      <c r="K623">
        <v>25595</v>
      </c>
      <c r="L623">
        <f>Tabla24[[#This Row],[Precio_Unitario]]*Tabla24[[#This Row],[Unidades_Vendidas]]</f>
        <v>25595</v>
      </c>
      <c r="M623" t="s">
        <v>16</v>
      </c>
    </row>
    <row r="624" spans="1:13" x14ac:dyDescent="0.25">
      <c r="A624" t="s">
        <v>333</v>
      </c>
      <c r="B624" t="str">
        <f>TEXT(Tabla24[[#This Row],[Fecha]],"dddd")</f>
        <v>domingo</v>
      </c>
      <c r="C624" t="str">
        <f>TEXT(Tabla24[[#This Row],[Fecha]],"mmmm")</f>
        <v>julio</v>
      </c>
      <c r="D624" t="str">
        <f>TEXT(Tabla24[[#This Row],[Fecha]],"aaaa")</f>
        <v>2024</v>
      </c>
      <c r="E624" t="s">
        <v>42</v>
      </c>
      <c r="F624" t="s">
        <v>12</v>
      </c>
      <c r="G624" t="s">
        <v>39</v>
      </c>
      <c r="H624" t="s">
        <v>14</v>
      </c>
      <c r="I624" t="s">
        <v>26</v>
      </c>
      <c r="J624">
        <v>8</v>
      </c>
      <c r="K624">
        <v>37750</v>
      </c>
      <c r="L624">
        <f>Tabla24[[#This Row],[Precio_Unitario]]*Tabla24[[#This Row],[Unidades_Vendidas]]</f>
        <v>302000</v>
      </c>
      <c r="M624" t="s">
        <v>27</v>
      </c>
    </row>
    <row r="625" spans="1:13" x14ac:dyDescent="0.25">
      <c r="A625" t="s">
        <v>328</v>
      </c>
      <c r="B625" t="str">
        <f>TEXT(Tabla24[[#This Row],[Fecha]],"dddd")</f>
        <v>viernes</v>
      </c>
      <c r="C625" t="str">
        <f>TEXT(Tabla24[[#This Row],[Fecha]],"mmmm")</f>
        <v>diciembre</v>
      </c>
      <c r="D625" t="str">
        <f>TEXT(Tabla24[[#This Row],[Fecha]],"aaaa")</f>
        <v>2024</v>
      </c>
      <c r="E625" t="s">
        <v>11</v>
      </c>
      <c r="F625" t="s">
        <v>23</v>
      </c>
      <c r="G625" t="s">
        <v>13</v>
      </c>
      <c r="H625" t="s">
        <v>25</v>
      </c>
      <c r="I625" t="s">
        <v>26</v>
      </c>
      <c r="J625">
        <v>18</v>
      </c>
      <c r="K625">
        <v>17862</v>
      </c>
      <c r="L625">
        <f>Tabla24[[#This Row],[Precio_Unitario]]*Tabla24[[#This Row],[Unidades_Vendidas]]</f>
        <v>321516</v>
      </c>
      <c r="M625" t="s">
        <v>27</v>
      </c>
    </row>
    <row r="626" spans="1:13" x14ac:dyDescent="0.25">
      <c r="A626" t="s">
        <v>270</v>
      </c>
      <c r="B626" t="str">
        <f>TEXT(Tabla24[[#This Row],[Fecha]],"dddd")</f>
        <v>viernes</v>
      </c>
      <c r="C626" t="str">
        <f>TEXT(Tabla24[[#This Row],[Fecha]],"mmmm")</f>
        <v>octubre</v>
      </c>
      <c r="D626" t="str">
        <f>TEXT(Tabla24[[#This Row],[Fecha]],"aaaa")</f>
        <v>2024</v>
      </c>
      <c r="E626" t="s">
        <v>33</v>
      </c>
      <c r="F626" t="s">
        <v>34</v>
      </c>
      <c r="G626" t="s">
        <v>24</v>
      </c>
      <c r="H626" t="s">
        <v>30</v>
      </c>
      <c r="I626" t="s">
        <v>26</v>
      </c>
      <c r="J626">
        <v>16</v>
      </c>
      <c r="K626">
        <v>45801</v>
      </c>
      <c r="L626">
        <f>Tabla24[[#This Row],[Precio_Unitario]]*Tabla24[[#This Row],[Unidades_Vendidas]]</f>
        <v>732816</v>
      </c>
      <c r="M626" t="s">
        <v>27</v>
      </c>
    </row>
    <row r="627" spans="1:13" x14ac:dyDescent="0.25">
      <c r="A627" t="s">
        <v>298</v>
      </c>
      <c r="B627" t="str">
        <f>TEXT(Tabla24[[#This Row],[Fecha]],"dddd")</f>
        <v>viernes</v>
      </c>
      <c r="C627" t="str">
        <f>TEXT(Tabla24[[#This Row],[Fecha]],"mmmm")</f>
        <v>octubre</v>
      </c>
      <c r="D627" t="str">
        <f>TEXT(Tabla24[[#This Row],[Fecha]],"aaaa")</f>
        <v>2024</v>
      </c>
      <c r="E627" t="s">
        <v>18</v>
      </c>
      <c r="F627" t="s">
        <v>29</v>
      </c>
      <c r="G627" t="s">
        <v>24</v>
      </c>
      <c r="H627" t="s">
        <v>19</v>
      </c>
      <c r="I627" t="s">
        <v>40</v>
      </c>
      <c r="J627">
        <v>5</v>
      </c>
      <c r="K627">
        <v>41532</v>
      </c>
      <c r="L627">
        <f>Tabla24[[#This Row],[Precio_Unitario]]*Tabla24[[#This Row],[Unidades_Vendidas]]</f>
        <v>207660</v>
      </c>
      <c r="M627" t="s">
        <v>27</v>
      </c>
    </row>
    <row r="628" spans="1:13" x14ac:dyDescent="0.25">
      <c r="A628" t="s">
        <v>57</v>
      </c>
      <c r="B628" t="str">
        <f>TEXT(Tabla24[[#This Row],[Fecha]],"dddd")</f>
        <v>lunes</v>
      </c>
      <c r="C628" t="str">
        <f>TEXT(Tabla24[[#This Row],[Fecha]],"mmmm")</f>
        <v>junio</v>
      </c>
      <c r="D628" t="str">
        <f>TEXT(Tabla24[[#This Row],[Fecha]],"aaaa")</f>
        <v>2024</v>
      </c>
      <c r="E628" t="s">
        <v>11</v>
      </c>
      <c r="F628" t="s">
        <v>38</v>
      </c>
      <c r="G628" t="s">
        <v>48</v>
      </c>
      <c r="H628" t="s">
        <v>14</v>
      </c>
      <c r="I628" t="s">
        <v>40</v>
      </c>
      <c r="J628">
        <v>19</v>
      </c>
      <c r="K628">
        <v>15786</v>
      </c>
      <c r="L628">
        <f>Tabla24[[#This Row],[Precio_Unitario]]*Tabla24[[#This Row],[Unidades_Vendidas]]</f>
        <v>299934</v>
      </c>
      <c r="M628" t="s">
        <v>27</v>
      </c>
    </row>
    <row r="629" spans="1:13" x14ac:dyDescent="0.25">
      <c r="A629" t="s">
        <v>75</v>
      </c>
      <c r="B629" t="str">
        <f>TEXT(Tabla24[[#This Row],[Fecha]],"dddd")</f>
        <v>lunes</v>
      </c>
      <c r="C629" t="str">
        <f>TEXT(Tabla24[[#This Row],[Fecha]],"mmmm")</f>
        <v>diciembre</v>
      </c>
      <c r="D629" t="str">
        <f>TEXT(Tabla24[[#This Row],[Fecha]],"aaaa")</f>
        <v>2024</v>
      </c>
      <c r="E629" t="s">
        <v>18</v>
      </c>
      <c r="F629" t="s">
        <v>38</v>
      </c>
      <c r="G629" t="s">
        <v>44</v>
      </c>
      <c r="H629" t="s">
        <v>25</v>
      </c>
      <c r="I629" t="s">
        <v>40</v>
      </c>
      <c r="J629">
        <v>8</v>
      </c>
      <c r="K629">
        <v>34326</v>
      </c>
      <c r="L629">
        <f>Tabla24[[#This Row],[Precio_Unitario]]*Tabla24[[#This Row],[Unidades_Vendidas]]</f>
        <v>274608</v>
      </c>
      <c r="M629" t="s">
        <v>16</v>
      </c>
    </row>
    <row r="630" spans="1:13" x14ac:dyDescent="0.25">
      <c r="A630" t="s">
        <v>256</v>
      </c>
      <c r="B630" t="str">
        <f>TEXT(Tabla24[[#This Row],[Fecha]],"dddd")</f>
        <v>martes</v>
      </c>
      <c r="C630" t="str">
        <f>TEXT(Tabla24[[#This Row],[Fecha]],"mmmm")</f>
        <v>noviembre</v>
      </c>
      <c r="D630" t="str">
        <f>TEXT(Tabla24[[#This Row],[Fecha]],"aaaa")</f>
        <v>2024</v>
      </c>
      <c r="E630" t="s">
        <v>22</v>
      </c>
      <c r="F630" t="s">
        <v>38</v>
      </c>
      <c r="G630" t="s">
        <v>39</v>
      </c>
      <c r="H630" t="s">
        <v>35</v>
      </c>
      <c r="I630" t="s">
        <v>40</v>
      </c>
      <c r="J630">
        <v>8</v>
      </c>
      <c r="K630">
        <v>51853</v>
      </c>
      <c r="L630">
        <f>Tabla24[[#This Row],[Precio_Unitario]]*Tabla24[[#This Row],[Unidades_Vendidas]]</f>
        <v>414824</v>
      </c>
      <c r="M630" t="s">
        <v>36</v>
      </c>
    </row>
    <row r="631" spans="1:13" x14ac:dyDescent="0.25">
      <c r="A631" t="s">
        <v>243</v>
      </c>
      <c r="B631" t="str">
        <f>TEXT(Tabla24[[#This Row],[Fecha]],"dddd")</f>
        <v>lunes</v>
      </c>
      <c r="C631" t="str">
        <f>TEXT(Tabla24[[#This Row],[Fecha]],"mmmm")</f>
        <v>marzo</v>
      </c>
      <c r="D631" t="str">
        <f>TEXT(Tabla24[[#This Row],[Fecha]],"aaaa")</f>
        <v>2024</v>
      </c>
      <c r="E631" t="s">
        <v>33</v>
      </c>
      <c r="F631" t="s">
        <v>29</v>
      </c>
      <c r="G631" t="s">
        <v>24</v>
      </c>
      <c r="H631" t="s">
        <v>19</v>
      </c>
      <c r="I631" t="s">
        <v>15</v>
      </c>
      <c r="J631">
        <v>13</v>
      </c>
      <c r="K631">
        <v>44031</v>
      </c>
      <c r="L631">
        <f>Tabla24[[#This Row],[Precio_Unitario]]*Tabla24[[#This Row],[Unidades_Vendidas]]</f>
        <v>572403</v>
      </c>
      <c r="M631" t="s">
        <v>27</v>
      </c>
    </row>
    <row r="632" spans="1:13" x14ac:dyDescent="0.25">
      <c r="A632" t="s">
        <v>334</v>
      </c>
      <c r="B632" t="str">
        <f>TEXT(Tabla24[[#This Row],[Fecha]],"dddd")</f>
        <v>sábado</v>
      </c>
      <c r="C632" t="str">
        <f>TEXT(Tabla24[[#This Row],[Fecha]],"mmmm")</f>
        <v>diciembre</v>
      </c>
      <c r="D632" t="str">
        <f>TEXT(Tabla24[[#This Row],[Fecha]],"aaaa")</f>
        <v>2024</v>
      </c>
      <c r="E632" t="s">
        <v>11</v>
      </c>
      <c r="F632" t="s">
        <v>23</v>
      </c>
      <c r="G632" t="s">
        <v>48</v>
      </c>
      <c r="H632" t="s">
        <v>30</v>
      </c>
      <c r="I632" t="s">
        <v>40</v>
      </c>
      <c r="J632">
        <v>4</v>
      </c>
      <c r="K632">
        <v>28670</v>
      </c>
      <c r="L632">
        <f>Tabla24[[#This Row],[Precio_Unitario]]*Tabla24[[#This Row],[Unidades_Vendidas]]</f>
        <v>114680</v>
      </c>
      <c r="M632" t="s">
        <v>20</v>
      </c>
    </row>
    <row r="633" spans="1:13" x14ac:dyDescent="0.25">
      <c r="A633" t="s">
        <v>230</v>
      </c>
      <c r="B633" t="str">
        <f>TEXT(Tabla24[[#This Row],[Fecha]],"dddd")</f>
        <v>lunes</v>
      </c>
      <c r="C633" t="str">
        <f>TEXT(Tabla24[[#This Row],[Fecha]],"mmmm")</f>
        <v>marzo</v>
      </c>
      <c r="D633" t="str">
        <f>TEXT(Tabla24[[#This Row],[Fecha]],"aaaa")</f>
        <v>2024</v>
      </c>
      <c r="E633" t="s">
        <v>11</v>
      </c>
      <c r="F633" t="s">
        <v>12</v>
      </c>
      <c r="G633" t="s">
        <v>13</v>
      </c>
      <c r="H633" t="s">
        <v>25</v>
      </c>
      <c r="I633" t="s">
        <v>40</v>
      </c>
      <c r="J633">
        <v>5</v>
      </c>
      <c r="K633">
        <v>57427</v>
      </c>
      <c r="L633">
        <f>Tabla24[[#This Row],[Precio_Unitario]]*Tabla24[[#This Row],[Unidades_Vendidas]]</f>
        <v>287135</v>
      </c>
      <c r="M633" t="s">
        <v>36</v>
      </c>
    </row>
    <row r="634" spans="1:13" x14ac:dyDescent="0.25">
      <c r="A634" t="s">
        <v>297</v>
      </c>
      <c r="B634" t="str">
        <f>TEXT(Tabla24[[#This Row],[Fecha]],"dddd")</f>
        <v>viernes</v>
      </c>
      <c r="C634" t="str">
        <f>TEXT(Tabla24[[#This Row],[Fecha]],"mmmm")</f>
        <v>abril</v>
      </c>
      <c r="D634" t="str">
        <f>TEXT(Tabla24[[#This Row],[Fecha]],"aaaa")</f>
        <v>2024</v>
      </c>
      <c r="E634" t="s">
        <v>22</v>
      </c>
      <c r="F634" t="s">
        <v>23</v>
      </c>
      <c r="G634" t="s">
        <v>48</v>
      </c>
      <c r="H634" t="s">
        <v>35</v>
      </c>
      <c r="I634" t="s">
        <v>40</v>
      </c>
      <c r="J634">
        <v>10</v>
      </c>
      <c r="K634">
        <v>57549</v>
      </c>
      <c r="L634">
        <f>Tabla24[[#This Row],[Precio_Unitario]]*Tabla24[[#This Row],[Unidades_Vendidas]]</f>
        <v>575490</v>
      </c>
      <c r="M634" t="s">
        <v>27</v>
      </c>
    </row>
    <row r="635" spans="1:13" x14ac:dyDescent="0.25">
      <c r="A635" t="s">
        <v>310</v>
      </c>
      <c r="B635" t="str">
        <f>TEXT(Tabla24[[#This Row],[Fecha]],"dddd")</f>
        <v>jueves</v>
      </c>
      <c r="C635" t="str">
        <f>TEXT(Tabla24[[#This Row],[Fecha]],"mmmm")</f>
        <v>julio</v>
      </c>
      <c r="D635" t="str">
        <f>TEXT(Tabla24[[#This Row],[Fecha]],"aaaa")</f>
        <v>2024</v>
      </c>
      <c r="E635" t="s">
        <v>22</v>
      </c>
      <c r="F635" t="s">
        <v>29</v>
      </c>
      <c r="G635" t="s">
        <v>48</v>
      </c>
      <c r="H635" t="s">
        <v>35</v>
      </c>
      <c r="I635" t="s">
        <v>15</v>
      </c>
      <c r="J635">
        <v>13</v>
      </c>
      <c r="K635">
        <v>41214</v>
      </c>
      <c r="L635">
        <f>Tabla24[[#This Row],[Precio_Unitario]]*Tabla24[[#This Row],[Unidades_Vendidas]]</f>
        <v>535782</v>
      </c>
      <c r="M635" t="s">
        <v>27</v>
      </c>
    </row>
    <row r="636" spans="1:13" x14ac:dyDescent="0.25">
      <c r="A636" t="s">
        <v>335</v>
      </c>
      <c r="B636" t="str">
        <f>TEXT(Tabla24[[#This Row],[Fecha]],"dddd")</f>
        <v>miércoles</v>
      </c>
      <c r="C636" t="str">
        <f>TEXT(Tabla24[[#This Row],[Fecha]],"mmmm")</f>
        <v>mayo</v>
      </c>
      <c r="D636" t="str">
        <f>TEXT(Tabla24[[#This Row],[Fecha]],"aaaa")</f>
        <v>2024</v>
      </c>
      <c r="E636" t="s">
        <v>22</v>
      </c>
      <c r="F636" t="s">
        <v>29</v>
      </c>
      <c r="G636" t="s">
        <v>39</v>
      </c>
      <c r="H636" t="s">
        <v>14</v>
      </c>
      <c r="I636" t="s">
        <v>15</v>
      </c>
      <c r="J636">
        <v>9</v>
      </c>
      <c r="K636">
        <v>48697</v>
      </c>
      <c r="L636">
        <f>Tabla24[[#This Row],[Precio_Unitario]]*Tabla24[[#This Row],[Unidades_Vendidas]]</f>
        <v>438273</v>
      </c>
      <c r="M636" t="s">
        <v>20</v>
      </c>
    </row>
    <row r="637" spans="1:13" x14ac:dyDescent="0.25">
      <c r="A637" t="s">
        <v>180</v>
      </c>
      <c r="B637" t="str">
        <f>TEXT(Tabla24[[#This Row],[Fecha]],"dddd")</f>
        <v>viernes</v>
      </c>
      <c r="C637" t="str">
        <f>TEXT(Tabla24[[#This Row],[Fecha]],"mmmm")</f>
        <v>marzo</v>
      </c>
      <c r="D637" t="str">
        <f>TEXT(Tabla24[[#This Row],[Fecha]],"aaaa")</f>
        <v>2024</v>
      </c>
      <c r="E637" t="s">
        <v>18</v>
      </c>
      <c r="F637" t="s">
        <v>12</v>
      </c>
      <c r="G637" t="s">
        <v>48</v>
      </c>
      <c r="H637" t="s">
        <v>14</v>
      </c>
      <c r="I637" t="s">
        <v>26</v>
      </c>
      <c r="J637">
        <v>7</v>
      </c>
      <c r="K637">
        <v>59932</v>
      </c>
      <c r="L637">
        <f>Tabla24[[#This Row],[Precio_Unitario]]*Tabla24[[#This Row],[Unidades_Vendidas]]</f>
        <v>419524</v>
      </c>
      <c r="M637" t="s">
        <v>27</v>
      </c>
    </row>
    <row r="638" spans="1:13" x14ac:dyDescent="0.25">
      <c r="A638" t="s">
        <v>114</v>
      </c>
      <c r="B638" t="str">
        <f>TEXT(Tabla24[[#This Row],[Fecha]],"dddd")</f>
        <v>domingo</v>
      </c>
      <c r="C638" t="str">
        <f>TEXT(Tabla24[[#This Row],[Fecha]],"mmmm")</f>
        <v>junio</v>
      </c>
      <c r="D638" t="str">
        <f>TEXT(Tabla24[[#This Row],[Fecha]],"aaaa")</f>
        <v>2024</v>
      </c>
      <c r="E638" t="s">
        <v>22</v>
      </c>
      <c r="F638" t="s">
        <v>34</v>
      </c>
      <c r="G638" t="s">
        <v>48</v>
      </c>
      <c r="H638" t="s">
        <v>35</v>
      </c>
      <c r="I638" t="s">
        <v>15</v>
      </c>
      <c r="J638">
        <v>19</v>
      </c>
      <c r="K638">
        <v>22157</v>
      </c>
      <c r="L638">
        <f>Tabla24[[#This Row],[Precio_Unitario]]*Tabla24[[#This Row],[Unidades_Vendidas]]</f>
        <v>420983</v>
      </c>
      <c r="M638" t="s">
        <v>20</v>
      </c>
    </row>
    <row r="639" spans="1:13" x14ac:dyDescent="0.25">
      <c r="A639" t="s">
        <v>213</v>
      </c>
      <c r="B639" t="str">
        <f>TEXT(Tabla24[[#This Row],[Fecha]],"dddd")</f>
        <v>miércoles</v>
      </c>
      <c r="C639" t="str">
        <f>TEXT(Tabla24[[#This Row],[Fecha]],"mmmm")</f>
        <v>septiembre</v>
      </c>
      <c r="D639" t="str">
        <f>TEXT(Tabla24[[#This Row],[Fecha]],"aaaa")</f>
        <v>2024</v>
      </c>
      <c r="E639" t="s">
        <v>11</v>
      </c>
      <c r="F639" t="s">
        <v>38</v>
      </c>
      <c r="G639" t="s">
        <v>39</v>
      </c>
      <c r="H639" t="s">
        <v>35</v>
      </c>
      <c r="I639" t="s">
        <v>15</v>
      </c>
      <c r="J639">
        <v>13</v>
      </c>
      <c r="K639">
        <v>49387</v>
      </c>
      <c r="L639">
        <f>Tabla24[[#This Row],[Precio_Unitario]]*Tabla24[[#This Row],[Unidades_Vendidas]]</f>
        <v>642031</v>
      </c>
      <c r="M639" t="s">
        <v>20</v>
      </c>
    </row>
    <row r="640" spans="1:13" x14ac:dyDescent="0.25">
      <c r="A640" t="s">
        <v>56</v>
      </c>
      <c r="B640" t="str">
        <f>TEXT(Tabla24[[#This Row],[Fecha]],"dddd")</f>
        <v>sábado</v>
      </c>
      <c r="C640" t="str">
        <f>TEXT(Tabla24[[#This Row],[Fecha]],"mmmm")</f>
        <v>septiembre</v>
      </c>
      <c r="D640" t="str">
        <f>TEXT(Tabla24[[#This Row],[Fecha]],"aaaa")</f>
        <v>2024</v>
      </c>
      <c r="E640" t="s">
        <v>33</v>
      </c>
      <c r="F640" t="s">
        <v>23</v>
      </c>
      <c r="G640" t="s">
        <v>24</v>
      </c>
      <c r="H640" t="s">
        <v>14</v>
      </c>
      <c r="I640" t="s">
        <v>15</v>
      </c>
      <c r="J640">
        <v>5</v>
      </c>
      <c r="K640">
        <v>22170</v>
      </c>
      <c r="L640">
        <f>Tabla24[[#This Row],[Precio_Unitario]]*Tabla24[[#This Row],[Unidades_Vendidas]]</f>
        <v>110850</v>
      </c>
      <c r="M640" t="s">
        <v>16</v>
      </c>
    </row>
    <row r="641" spans="1:13" x14ac:dyDescent="0.25">
      <c r="A641" t="s">
        <v>63</v>
      </c>
      <c r="B641" t="str">
        <f>TEXT(Tabla24[[#This Row],[Fecha]],"dddd")</f>
        <v>lunes</v>
      </c>
      <c r="C641" t="str">
        <f>TEXT(Tabla24[[#This Row],[Fecha]],"mmmm")</f>
        <v>octubre</v>
      </c>
      <c r="D641" t="str">
        <f>TEXT(Tabla24[[#This Row],[Fecha]],"aaaa")</f>
        <v>2024</v>
      </c>
      <c r="E641" t="s">
        <v>42</v>
      </c>
      <c r="F641" t="s">
        <v>34</v>
      </c>
      <c r="G641" t="s">
        <v>39</v>
      </c>
      <c r="H641" t="s">
        <v>30</v>
      </c>
      <c r="I641" t="s">
        <v>26</v>
      </c>
      <c r="J641">
        <v>9</v>
      </c>
      <c r="K641">
        <v>27285</v>
      </c>
      <c r="L641">
        <f>Tabla24[[#This Row],[Precio_Unitario]]*Tabla24[[#This Row],[Unidades_Vendidas]]</f>
        <v>245565</v>
      </c>
      <c r="M641" t="s">
        <v>20</v>
      </c>
    </row>
    <row r="642" spans="1:13" x14ac:dyDescent="0.25">
      <c r="A642" t="s">
        <v>259</v>
      </c>
      <c r="B642" t="str">
        <f>TEXT(Tabla24[[#This Row],[Fecha]],"dddd")</f>
        <v>lunes</v>
      </c>
      <c r="C642" t="str">
        <f>TEXT(Tabla24[[#This Row],[Fecha]],"mmmm")</f>
        <v>noviembre</v>
      </c>
      <c r="D642" t="str">
        <f>TEXT(Tabla24[[#This Row],[Fecha]],"aaaa")</f>
        <v>2024</v>
      </c>
      <c r="E642" t="s">
        <v>18</v>
      </c>
      <c r="F642" t="s">
        <v>38</v>
      </c>
      <c r="G642" t="s">
        <v>39</v>
      </c>
      <c r="H642" t="s">
        <v>25</v>
      </c>
      <c r="I642" t="s">
        <v>26</v>
      </c>
      <c r="J642">
        <v>3</v>
      </c>
      <c r="K642">
        <v>54365</v>
      </c>
      <c r="L642">
        <f>Tabla24[[#This Row],[Precio_Unitario]]*Tabla24[[#This Row],[Unidades_Vendidas]]</f>
        <v>163095</v>
      </c>
      <c r="M642" t="s">
        <v>16</v>
      </c>
    </row>
    <row r="643" spans="1:13" x14ac:dyDescent="0.25">
      <c r="A643" t="s">
        <v>114</v>
      </c>
      <c r="B643" t="str">
        <f>TEXT(Tabla24[[#This Row],[Fecha]],"dddd")</f>
        <v>domingo</v>
      </c>
      <c r="C643" t="str">
        <f>TEXT(Tabla24[[#This Row],[Fecha]],"mmmm")</f>
        <v>junio</v>
      </c>
      <c r="D643" t="str">
        <f>TEXT(Tabla24[[#This Row],[Fecha]],"aaaa")</f>
        <v>2024</v>
      </c>
      <c r="E643" t="s">
        <v>18</v>
      </c>
      <c r="F643" t="s">
        <v>34</v>
      </c>
      <c r="G643" t="s">
        <v>13</v>
      </c>
      <c r="H643" t="s">
        <v>25</v>
      </c>
      <c r="I643" t="s">
        <v>15</v>
      </c>
      <c r="J643">
        <v>6</v>
      </c>
      <c r="K643">
        <v>45477</v>
      </c>
      <c r="L643">
        <f>Tabla24[[#This Row],[Precio_Unitario]]*Tabla24[[#This Row],[Unidades_Vendidas]]</f>
        <v>272862</v>
      </c>
      <c r="M643" t="s">
        <v>36</v>
      </c>
    </row>
    <row r="644" spans="1:13" x14ac:dyDescent="0.25">
      <c r="A644" t="s">
        <v>186</v>
      </c>
      <c r="B644" t="str">
        <f>TEXT(Tabla24[[#This Row],[Fecha]],"dddd")</f>
        <v>jueves</v>
      </c>
      <c r="C644" t="str">
        <f>TEXT(Tabla24[[#This Row],[Fecha]],"mmmm")</f>
        <v>marzo</v>
      </c>
      <c r="D644" t="str">
        <f>TEXT(Tabla24[[#This Row],[Fecha]],"aaaa")</f>
        <v>2024</v>
      </c>
      <c r="E644" t="s">
        <v>18</v>
      </c>
      <c r="F644" t="s">
        <v>12</v>
      </c>
      <c r="G644" t="s">
        <v>44</v>
      </c>
      <c r="H644" t="s">
        <v>14</v>
      </c>
      <c r="I644" t="s">
        <v>15</v>
      </c>
      <c r="J644">
        <v>10</v>
      </c>
      <c r="K644">
        <v>31986</v>
      </c>
      <c r="L644">
        <f>Tabla24[[#This Row],[Precio_Unitario]]*Tabla24[[#This Row],[Unidades_Vendidas]]</f>
        <v>319860</v>
      </c>
      <c r="M644" t="s">
        <v>20</v>
      </c>
    </row>
    <row r="645" spans="1:13" x14ac:dyDescent="0.25">
      <c r="A645" t="s">
        <v>292</v>
      </c>
      <c r="B645" t="str">
        <f>TEXT(Tabla24[[#This Row],[Fecha]],"dddd")</f>
        <v>sábado</v>
      </c>
      <c r="C645" t="str">
        <f>TEXT(Tabla24[[#This Row],[Fecha]],"mmmm")</f>
        <v>junio</v>
      </c>
      <c r="D645" t="str">
        <f>TEXT(Tabla24[[#This Row],[Fecha]],"aaaa")</f>
        <v>2024</v>
      </c>
      <c r="E645" t="s">
        <v>11</v>
      </c>
      <c r="F645" t="s">
        <v>38</v>
      </c>
      <c r="G645" t="s">
        <v>13</v>
      </c>
      <c r="H645" t="s">
        <v>25</v>
      </c>
      <c r="I645" t="s">
        <v>26</v>
      </c>
      <c r="J645">
        <v>10</v>
      </c>
      <c r="K645">
        <v>32220</v>
      </c>
      <c r="L645">
        <f>Tabla24[[#This Row],[Precio_Unitario]]*Tabla24[[#This Row],[Unidades_Vendidas]]</f>
        <v>322200</v>
      </c>
      <c r="M645" t="s">
        <v>27</v>
      </c>
    </row>
    <row r="646" spans="1:13" x14ac:dyDescent="0.25">
      <c r="A646" t="s">
        <v>336</v>
      </c>
      <c r="B646" t="str">
        <f>TEXT(Tabla24[[#This Row],[Fecha]],"dddd")</f>
        <v>jueves</v>
      </c>
      <c r="C646" t="str">
        <f>TEXT(Tabla24[[#This Row],[Fecha]],"mmmm")</f>
        <v>julio</v>
      </c>
      <c r="D646" t="str">
        <f>TEXT(Tabla24[[#This Row],[Fecha]],"aaaa")</f>
        <v>2024</v>
      </c>
      <c r="E646" t="s">
        <v>11</v>
      </c>
      <c r="F646" t="s">
        <v>29</v>
      </c>
      <c r="G646" t="s">
        <v>39</v>
      </c>
      <c r="H646" t="s">
        <v>30</v>
      </c>
      <c r="I646" t="s">
        <v>15</v>
      </c>
      <c r="J646">
        <v>7</v>
      </c>
      <c r="K646">
        <v>23339</v>
      </c>
      <c r="L646">
        <f>Tabla24[[#This Row],[Precio_Unitario]]*Tabla24[[#This Row],[Unidades_Vendidas]]</f>
        <v>163373</v>
      </c>
      <c r="M646" t="s">
        <v>36</v>
      </c>
    </row>
    <row r="647" spans="1:13" x14ac:dyDescent="0.25">
      <c r="A647" t="s">
        <v>132</v>
      </c>
      <c r="B647" t="str">
        <f>TEXT(Tabla24[[#This Row],[Fecha]],"dddd")</f>
        <v>jueves</v>
      </c>
      <c r="C647" t="str">
        <f>TEXT(Tabla24[[#This Row],[Fecha]],"mmmm")</f>
        <v>enero</v>
      </c>
      <c r="D647" t="str">
        <f>TEXT(Tabla24[[#This Row],[Fecha]],"aaaa")</f>
        <v>2024</v>
      </c>
      <c r="E647" t="s">
        <v>18</v>
      </c>
      <c r="F647" t="s">
        <v>23</v>
      </c>
      <c r="G647" t="s">
        <v>13</v>
      </c>
      <c r="H647" t="s">
        <v>30</v>
      </c>
      <c r="I647" t="s">
        <v>40</v>
      </c>
      <c r="J647">
        <v>19</v>
      </c>
      <c r="K647">
        <v>45677</v>
      </c>
      <c r="L647">
        <f>Tabla24[[#This Row],[Precio_Unitario]]*Tabla24[[#This Row],[Unidades_Vendidas]]</f>
        <v>867863</v>
      </c>
      <c r="M647" t="s">
        <v>20</v>
      </c>
    </row>
    <row r="648" spans="1:13" x14ac:dyDescent="0.25">
      <c r="A648" t="s">
        <v>179</v>
      </c>
      <c r="B648" t="str">
        <f>TEXT(Tabla24[[#This Row],[Fecha]],"dddd")</f>
        <v>jueves</v>
      </c>
      <c r="C648" t="str">
        <f>TEXT(Tabla24[[#This Row],[Fecha]],"mmmm")</f>
        <v>febrero</v>
      </c>
      <c r="D648" t="str">
        <f>TEXT(Tabla24[[#This Row],[Fecha]],"aaaa")</f>
        <v>2024</v>
      </c>
      <c r="E648" t="s">
        <v>42</v>
      </c>
      <c r="F648" t="s">
        <v>29</v>
      </c>
      <c r="G648" t="s">
        <v>24</v>
      </c>
      <c r="H648" t="s">
        <v>35</v>
      </c>
      <c r="I648" t="s">
        <v>40</v>
      </c>
      <c r="J648">
        <v>12</v>
      </c>
      <c r="K648">
        <v>47366</v>
      </c>
      <c r="L648">
        <f>Tabla24[[#This Row],[Precio_Unitario]]*Tabla24[[#This Row],[Unidades_Vendidas]]</f>
        <v>568392</v>
      </c>
      <c r="M648" t="s">
        <v>36</v>
      </c>
    </row>
    <row r="649" spans="1:13" x14ac:dyDescent="0.25">
      <c r="A649" t="s">
        <v>334</v>
      </c>
      <c r="B649" t="str">
        <f>TEXT(Tabla24[[#This Row],[Fecha]],"dddd")</f>
        <v>sábado</v>
      </c>
      <c r="C649" t="str">
        <f>TEXT(Tabla24[[#This Row],[Fecha]],"mmmm")</f>
        <v>diciembre</v>
      </c>
      <c r="D649" t="str">
        <f>TEXT(Tabla24[[#This Row],[Fecha]],"aaaa")</f>
        <v>2024</v>
      </c>
      <c r="E649" t="s">
        <v>11</v>
      </c>
      <c r="F649" t="s">
        <v>12</v>
      </c>
      <c r="G649" t="s">
        <v>48</v>
      </c>
      <c r="H649" t="s">
        <v>25</v>
      </c>
      <c r="I649" t="s">
        <v>15</v>
      </c>
      <c r="J649">
        <v>10</v>
      </c>
      <c r="K649">
        <v>56741</v>
      </c>
      <c r="L649">
        <f>Tabla24[[#This Row],[Precio_Unitario]]*Tabla24[[#This Row],[Unidades_Vendidas]]</f>
        <v>567410</v>
      </c>
      <c r="M649" t="s">
        <v>36</v>
      </c>
    </row>
    <row r="650" spans="1:13" x14ac:dyDescent="0.25">
      <c r="A650" t="s">
        <v>283</v>
      </c>
      <c r="B650" t="str">
        <f>TEXT(Tabla24[[#This Row],[Fecha]],"dddd")</f>
        <v>martes</v>
      </c>
      <c r="C650" t="str">
        <f>TEXT(Tabla24[[#This Row],[Fecha]],"mmmm")</f>
        <v>enero</v>
      </c>
      <c r="D650" t="str">
        <f>TEXT(Tabla24[[#This Row],[Fecha]],"aaaa")</f>
        <v>2024</v>
      </c>
      <c r="E650" t="s">
        <v>33</v>
      </c>
      <c r="F650" t="s">
        <v>34</v>
      </c>
      <c r="G650" t="s">
        <v>44</v>
      </c>
      <c r="H650" t="s">
        <v>19</v>
      </c>
      <c r="I650" t="s">
        <v>40</v>
      </c>
      <c r="J650">
        <v>14</v>
      </c>
      <c r="K650">
        <v>44351</v>
      </c>
      <c r="L650">
        <f>Tabla24[[#This Row],[Precio_Unitario]]*Tabla24[[#This Row],[Unidades_Vendidas]]</f>
        <v>620914</v>
      </c>
      <c r="M650" t="s">
        <v>16</v>
      </c>
    </row>
    <row r="651" spans="1:13" x14ac:dyDescent="0.25">
      <c r="A651" t="s">
        <v>223</v>
      </c>
      <c r="B651" t="str">
        <f>TEXT(Tabla24[[#This Row],[Fecha]],"dddd")</f>
        <v>viernes</v>
      </c>
      <c r="C651" t="str">
        <f>TEXT(Tabla24[[#This Row],[Fecha]],"mmmm")</f>
        <v>septiembre</v>
      </c>
      <c r="D651" t="str">
        <f>TEXT(Tabla24[[#This Row],[Fecha]],"aaaa")</f>
        <v>2024</v>
      </c>
      <c r="E651" t="s">
        <v>18</v>
      </c>
      <c r="F651" t="s">
        <v>23</v>
      </c>
      <c r="G651" t="s">
        <v>48</v>
      </c>
      <c r="H651" t="s">
        <v>25</v>
      </c>
      <c r="I651" t="s">
        <v>26</v>
      </c>
      <c r="J651">
        <v>11</v>
      </c>
      <c r="K651">
        <v>37518</v>
      </c>
      <c r="L651">
        <f>Tabla24[[#This Row],[Precio_Unitario]]*Tabla24[[#This Row],[Unidades_Vendidas]]</f>
        <v>412698</v>
      </c>
      <c r="M651" t="s">
        <v>36</v>
      </c>
    </row>
    <row r="652" spans="1:13" x14ac:dyDescent="0.25">
      <c r="A652" t="s">
        <v>28</v>
      </c>
      <c r="B652" t="str">
        <f>TEXT(Tabla24[[#This Row],[Fecha]],"dddd")</f>
        <v>jueves</v>
      </c>
      <c r="C652" t="str">
        <f>TEXT(Tabla24[[#This Row],[Fecha]],"mmmm")</f>
        <v>agosto</v>
      </c>
      <c r="D652" t="str">
        <f>TEXT(Tabla24[[#This Row],[Fecha]],"aaaa")</f>
        <v>2024</v>
      </c>
      <c r="E652" t="s">
        <v>33</v>
      </c>
      <c r="F652" t="s">
        <v>23</v>
      </c>
      <c r="G652" t="s">
        <v>44</v>
      </c>
      <c r="H652" t="s">
        <v>14</v>
      </c>
      <c r="I652" t="s">
        <v>26</v>
      </c>
      <c r="J652">
        <v>14</v>
      </c>
      <c r="K652">
        <v>36775</v>
      </c>
      <c r="L652">
        <f>Tabla24[[#This Row],[Precio_Unitario]]*Tabla24[[#This Row],[Unidades_Vendidas]]</f>
        <v>514850</v>
      </c>
      <c r="M652" t="s">
        <v>36</v>
      </c>
    </row>
    <row r="653" spans="1:13" x14ac:dyDescent="0.25">
      <c r="A653" t="s">
        <v>126</v>
      </c>
      <c r="B653" t="str">
        <f>TEXT(Tabla24[[#This Row],[Fecha]],"dddd")</f>
        <v>lunes</v>
      </c>
      <c r="C653" t="str">
        <f>TEXT(Tabla24[[#This Row],[Fecha]],"mmmm")</f>
        <v>noviembre</v>
      </c>
      <c r="D653" t="str">
        <f>TEXT(Tabla24[[#This Row],[Fecha]],"aaaa")</f>
        <v>2024</v>
      </c>
      <c r="E653" t="s">
        <v>22</v>
      </c>
      <c r="F653" t="s">
        <v>29</v>
      </c>
      <c r="G653" t="s">
        <v>24</v>
      </c>
      <c r="H653" t="s">
        <v>19</v>
      </c>
      <c r="I653" t="s">
        <v>26</v>
      </c>
      <c r="J653">
        <v>14</v>
      </c>
      <c r="K653">
        <v>51587</v>
      </c>
      <c r="L653">
        <f>Tabla24[[#This Row],[Precio_Unitario]]*Tabla24[[#This Row],[Unidades_Vendidas]]</f>
        <v>722218</v>
      </c>
      <c r="M653" t="s">
        <v>16</v>
      </c>
    </row>
    <row r="654" spans="1:13" x14ac:dyDescent="0.25">
      <c r="A654" t="s">
        <v>62</v>
      </c>
      <c r="B654" t="str">
        <f>TEXT(Tabla24[[#This Row],[Fecha]],"dddd")</f>
        <v>sábado</v>
      </c>
      <c r="C654" t="str">
        <f>TEXT(Tabla24[[#This Row],[Fecha]],"mmmm")</f>
        <v>mayo</v>
      </c>
      <c r="D654" t="str">
        <f>TEXT(Tabla24[[#This Row],[Fecha]],"aaaa")</f>
        <v>2024</v>
      </c>
      <c r="E654" t="s">
        <v>18</v>
      </c>
      <c r="F654" t="s">
        <v>23</v>
      </c>
      <c r="G654" t="s">
        <v>39</v>
      </c>
      <c r="H654" t="s">
        <v>25</v>
      </c>
      <c r="I654" t="s">
        <v>40</v>
      </c>
      <c r="J654">
        <v>7</v>
      </c>
      <c r="K654">
        <v>26373</v>
      </c>
      <c r="L654">
        <f>Tabla24[[#This Row],[Precio_Unitario]]*Tabla24[[#This Row],[Unidades_Vendidas]]</f>
        <v>184611</v>
      </c>
      <c r="M654" t="s">
        <v>27</v>
      </c>
    </row>
    <row r="655" spans="1:13" x14ac:dyDescent="0.25">
      <c r="A655" t="s">
        <v>244</v>
      </c>
      <c r="B655" t="str">
        <f>TEXT(Tabla24[[#This Row],[Fecha]],"dddd")</f>
        <v>domingo</v>
      </c>
      <c r="C655" t="str">
        <f>TEXT(Tabla24[[#This Row],[Fecha]],"mmmm")</f>
        <v>mayo</v>
      </c>
      <c r="D655" t="str">
        <f>TEXT(Tabla24[[#This Row],[Fecha]],"aaaa")</f>
        <v>2024</v>
      </c>
      <c r="E655" t="s">
        <v>42</v>
      </c>
      <c r="F655" t="s">
        <v>12</v>
      </c>
      <c r="G655" t="s">
        <v>13</v>
      </c>
      <c r="H655" t="s">
        <v>14</v>
      </c>
      <c r="I655" t="s">
        <v>15</v>
      </c>
      <c r="J655">
        <v>11</v>
      </c>
      <c r="K655">
        <v>20111</v>
      </c>
      <c r="L655">
        <f>Tabla24[[#This Row],[Precio_Unitario]]*Tabla24[[#This Row],[Unidades_Vendidas]]</f>
        <v>221221</v>
      </c>
      <c r="M655" t="s">
        <v>16</v>
      </c>
    </row>
    <row r="656" spans="1:13" x14ac:dyDescent="0.25">
      <c r="A656" t="s">
        <v>292</v>
      </c>
      <c r="B656" t="str">
        <f>TEXT(Tabla24[[#This Row],[Fecha]],"dddd")</f>
        <v>sábado</v>
      </c>
      <c r="C656" t="str">
        <f>TEXT(Tabla24[[#This Row],[Fecha]],"mmmm")</f>
        <v>junio</v>
      </c>
      <c r="D656" t="str">
        <f>TEXT(Tabla24[[#This Row],[Fecha]],"aaaa")</f>
        <v>2024</v>
      </c>
      <c r="E656" t="s">
        <v>42</v>
      </c>
      <c r="F656" t="s">
        <v>12</v>
      </c>
      <c r="G656" t="s">
        <v>48</v>
      </c>
      <c r="H656" t="s">
        <v>35</v>
      </c>
      <c r="I656" t="s">
        <v>26</v>
      </c>
      <c r="J656">
        <v>14</v>
      </c>
      <c r="K656">
        <v>58488</v>
      </c>
      <c r="L656">
        <f>Tabla24[[#This Row],[Precio_Unitario]]*Tabla24[[#This Row],[Unidades_Vendidas]]</f>
        <v>818832</v>
      </c>
      <c r="M656" t="s">
        <v>20</v>
      </c>
    </row>
    <row r="657" spans="1:13" x14ac:dyDescent="0.25">
      <c r="A657" t="s">
        <v>250</v>
      </c>
      <c r="B657" t="str">
        <f>TEXT(Tabla24[[#This Row],[Fecha]],"dddd")</f>
        <v>martes</v>
      </c>
      <c r="C657" t="str">
        <f>TEXT(Tabla24[[#This Row],[Fecha]],"mmmm")</f>
        <v>octubre</v>
      </c>
      <c r="D657" t="str">
        <f>TEXT(Tabla24[[#This Row],[Fecha]],"aaaa")</f>
        <v>2024</v>
      </c>
      <c r="E657" t="s">
        <v>11</v>
      </c>
      <c r="F657" t="s">
        <v>34</v>
      </c>
      <c r="G657" t="s">
        <v>39</v>
      </c>
      <c r="H657" t="s">
        <v>25</v>
      </c>
      <c r="I657" t="s">
        <v>15</v>
      </c>
      <c r="J657">
        <v>6</v>
      </c>
      <c r="K657">
        <v>38290</v>
      </c>
      <c r="L657">
        <f>Tabla24[[#This Row],[Precio_Unitario]]*Tabla24[[#This Row],[Unidades_Vendidas]]</f>
        <v>229740</v>
      </c>
      <c r="M657" t="s">
        <v>20</v>
      </c>
    </row>
    <row r="658" spans="1:13" x14ac:dyDescent="0.25">
      <c r="A658" t="s">
        <v>316</v>
      </c>
      <c r="B658" t="str">
        <f>TEXT(Tabla24[[#This Row],[Fecha]],"dddd")</f>
        <v>sábado</v>
      </c>
      <c r="C658" t="str">
        <f>TEXT(Tabla24[[#This Row],[Fecha]],"mmmm")</f>
        <v>febrero</v>
      </c>
      <c r="D658" t="str">
        <f>TEXT(Tabla24[[#This Row],[Fecha]],"aaaa")</f>
        <v>2024</v>
      </c>
      <c r="E658" t="s">
        <v>33</v>
      </c>
      <c r="F658" t="s">
        <v>38</v>
      </c>
      <c r="G658" t="s">
        <v>13</v>
      </c>
      <c r="H658" t="s">
        <v>25</v>
      </c>
      <c r="I658" t="s">
        <v>26</v>
      </c>
      <c r="J658">
        <v>11</v>
      </c>
      <c r="K658">
        <v>52526</v>
      </c>
      <c r="L658">
        <f>Tabla24[[#This Row],[Precio_Unitario]]*Tabla24[[#This Row],[Unidades_Vendidas]]</f>
        <v>577786</v>
      </c>
      <c r="M658" t="s">
        <v>16</v>
      </c>
    </row>
    <row r="659" spans="1:13" x14ac:dyDescent="0.25">
      <c r="A659" t="s">
        <v>120</v>
      </c>
      <c r="B659" t="str">
        <f>TEXT(Tabla24[[#This Row],[Fecha]],"dddd")</f>
        <v>lunes</v>
      </c>
      <c r="C659" t="str">
        <f>TEXT(Tabla24[[#This Row],[Fecha]],"mmmm")</f>
        <v>marzo</v>
      </c>
      <c r="D659" t="str">
        <f>TEXT(Tabla24[[#This Row],[Fecha]],"aaaa")</f>
        <v>2024</v>
      </c>
      <c r="E659" t="s">
        <v>18</v>
      </c>
      <c r="F659" t="s">
        <v>38</v>
      </c>
      <c r="G659" t="s">
        <v>24</v>
      </c>
      <c r="H659" t="s">
        <v>19</v>
      </c>
      <c r="I659" t="s">
        <v>26</v>
      </c>
      <c r="J659">
        <v>10</v>
      </c>
      <c r="K659">
        <v>44117</v>
      </c>
      <c r="L659">
        <f>Tabla24[[#This Row],[Precio_Unitario]]*Tabla24[[#This Row],[Unidades_Vendidas]]</f>
        <v>441170</v>
      </c>
      <c r="M659" t="s">
        <v>36</v>
      </c>
    </row>
    <row r="660" spans="1:13" x14ac:dyDescent="0.25">
      <c r="A660" t="s">
        <v>337</v>
      </c>
      <c r="B660" t="str">
        <f>TEXT(Tabla24[[#This Row],[Fecha]],"dddd")</f>
        <v>martes</v>
      </c>
      <c r="C660" t="str">
        <f>TEXT(Tabla24[[#This Row],[Fecha]],"mmmm")</f>
        <v>febrero</v>
      </c>
      <c r="D660" t="str">
        <f>TEXT(Tabla24[[#This Row],[Fecha]],"aaaa")</f>
        <v>2024</v>
      </c>
      <c r="E660" t="s">
        <v>33</v>
      </c>
      <c r="F660" t="s">
        <v>23</v>
      </c>
      <c r="G660" t="s">
        <v>48</v>
      </c>
      <c r="H660" t="s">
        <v>25</v>
      </c>
      <c r="I660" t="s">
        <v>26</v>
      </c>
      <c r="J660">
        <v>14</v>
      </c>
      <c r="K660">
        <v>21850</v>
      </c>
      <c r="L660">
        <f>Tabla24[[#This Row],[Precio_Unitario]]*Tabla24[[#This Row],[Unidades_Vendidas]]</f>
        <v>305900</v>
      </c>
      <c r="M660" t="s">
        <v>36</v>
      </c>
    </row>
    <row r="661" spans="1:13" x14ac:dyDescent="0.25">
      <c r="A661" t="s">
        <v>283</v>
      </c>
      <c r="B661" t="str">
        <f>TEXT(Tabla24[[#This Row],[Fecha]],"dddd")</f>
        <v>martes</v>
      </c>
      <c r="C661" t="str">
        <f>TEXT(Tabla24[[#This Row],[Fecha]],"mmmm")</f>
        <v>enero</v>
      </c>
      <c r="D661" t="str">
        <f>TEXT(Tabla24[[#This Row],[Fecha]],"aaaa")</f>
        <v>2024</v>
      </c>
      <c r="E661" t="s">
        <v>11</v>
      </c>
      <c r="F661" t="s">
        <v>29</v>
      </c>
      <c r="G661" t="s">
        <v>24</v>
      </c>
      <c r="H661" t="s">
        <v>25</v>
      </c>
      <c r="I661" t="s">
        <v>26</v>
      </c>
      <c r="J661">
        <v>14</v>
      </c>
      <c r="K661">
        <v>52223</v>
      </c>
      <c r="L661">
        <f>Tabla24[[#This Row],[Precio_Unitario]]*Tabla24[[#This Row],[Unidades_Vendidas]]</f>
        <v>731122</v>
      </c>
      <c r="M661" t="s">
        <v>36</v>
      </c>
    </row>
    <row r="662" spans="1:13" x14ac:dyDescent="0.25">
      <c r="A662" t="s">
        <v>153</v>
      </c>
      <c r="B662" t="str">
        <f>TEXT(Tabla24[[#This Row],[Fecha]],"dddd")</f>
        <v>lunes</v>
      </c>
      <c r="C662" t="str">
        <f>TEXT(Tabla24[[#This Row],[Fecha]],"mmmm")</f>
        <v>enero</v>
      </c>
      <c r="D662" t="str">
        <f>TEXT(Tabla24[[#This Row],[Fecha]],"aaaa")</f>
        <v>2024</v>
      </c>
      <c r="E662" t="s">
        <v>22</v>
      </c>
      <c r="F662" t="s">
        <v>29</v>
      </c>
      <c r="G662" t="s">
        <v>48</v>
      </c>
      <c r="H662" t="s">
        <v>14</v>
      </c>
      <c r="I662" t="s">
        <v>26</v>
      </c>
      <c r="J662">
        <v>19</v>
      </c>
      <c r="K662">
        <v>57605</v>
      </c>
      <c r="L662">
        <f>Tabla24[[#This Row],[Precio_Unitario]]*Tabla24[[#This Row],[Unidades_Vendidas]]</f>
        <v>1094495</v>
      </c>
      <c r="M662" t="s">
        <v>16</v>
      </c>
    </row>
    <row r="663" spans="1:13" x14ac:dyDescent="0.25">
      <c r="A663" t="s">
        <v>191</v>
      </c>
      <c r="B663" t="str">
        <f>TEXT(Tabla24[[#This Row],[Fecha]],"dddd")</f>
        <v>sábado</v>
      </c>
      <c r="C663" t="str">
        <f>TEXT(Tabla24[[#This Row],[Fecha]],"mmmm")</f>
        <v>marzo</v>
      </c>
      <c r="D663" t="str">
        <f>TEXT(Tabla24[[#This Row],[Fecha]],"aaaa")</f>
        <v>2024</v>
      </c>
      <c r="E663" t="s">
        <v>42</v>
      </c>
      <c r="F663" t="s">
        <v>23</v>
      </c>
      <c r="G663" t="s">
        <v>39</v>
      </c>
      <c r="H663" t="s">
        <v>19</v>
      </c>
      <c r="I663" t="s">
        <v>26</v>
      </c>
      <c r="J663">
        <v>19</v>
      </c>
      <c r="K663">
        <v>44587</v>
      </c>
      <c r="L663">
        <f>Tabla24[[#This Row],[Precio_Unitario]]*Tabla24[[#This Row],[Unidades_Vendidas]]</f>
        <v>847153</v>
      </c>
      <c r="M663" t="s">
        <v>27</v>
      </c>
    </row>
    <row r="664" spans="1:13" x14ac:dyDescent="0.25">
      <c r="A664" t="s">
        <v>116</v>
      </c>
      <c r="B664" t="str">
        <f>TEXT(Tabla24[[#This Row],[Fecha]],"dddd")</f>
        <v>martes</v>
      </c>
      <c r="C664" t="str">
        <f>TEXT(Tabla24[[#This Row],[Fecha]],"mmmm")</f>
        <v>mayo</v>
      </c>
      <c r="D664" t="str">
        <f>TEXT(Tabla24[[#This Row],[Fecha]],"aaaa")</f>
        <v>2024</v>
      </c>
      <c r="E664" t="s">
        <v>42</v>
      </c>
      <c r="F664" t="s">
        <v>12</v>
      </c>
      <c r="G664" t="s">
        <v>39</v>
      </c>
      <c r="H664" t="s">
        <v>14</v>
      </c>
      <c r="I664" t="s">
        <v>26</v>
      </c>
      <c r="J664">
        <v>16</v>
      </c>
      <c r="K664">
        <v>19701</v>
      </c>
      <c r="L664">
        <f>Tabla24[[#This Row],[Precio_Unitario]]*Tabla24[[#This Row],[Unidades_Vendidas]]</f>
        <v>315216</v>
      </c>
      <c r="M664" t="s">
        <v>20</v>
      </c>
    </row>
    <row r="665" spans="1:13" x14ac:dyDescent="0.25">
      <c r="A665" t="s">
        <v>107</v>
      </c>
      <c r="B665" t="str">
        <f>TEXT(Tabla24[[#This Row],[Fecha]],"dddd")</f>
        <v>miércoles</v>
      </c>
      <c r="C665" t="str">
        <f>TEXT(Tabla24[[#This Row],[Fecha]],"mmmm")</f>
        <v>diciembre</v>
      </c>
      <c r="D665" t="str">
        <f>TEXT(Tabla24[[#This Row],[Fecha]],"aaaa")</f>
        <v>2024</v>
      </c>
      <c r="E665" t="s">
        <v>11</v>
      </c>
      <c r="F665" t="s">
        <v>34</v>
      </c>
      <c r="G665" t="s">
        <v>39</v>
      </c>
      <c r="H665" t="s">
        <v>35</v>
      </c>
      <c r="I665" t="s">
        <v>26</v>
      </c>
      <c r="J665">
        <v>2</v>
      </c>
      <c r="K665">
        <v>39217</v>
      </c>
      <c r="L665">
        <f>Tabla24[[#This Row],[Precio_Unitario]]*Tabla24[[#This Row],[Unidades_Vendidas]]</f>
        <v>78434</v>
      </c>
      <c r="M665" t="s">
        <v>36</v>
      </c>
    </row>
    <row r="666" spans="1:13" x14ac:dyDescent="0.25">
      <c r="A666" t="s">
        <v>47</v>
      </c>
      <c r="B666" t="str">
        <f>TEXT(Tabla24[[#This Row],[Fecha]],"dddd")</f>
        <v>miércoles</v>
      </c>
      <c r="C666" t="str">
        <f>TEXT(Tabla24[[#This Row],[Fecha]],"mmmm")</f>
        <v>septiembre</v>
      </c>
      <c r="D666" t="str">
        <f>TEXT(Tabla24[[#This Row],[Fecha]],"aaaa")</f>
        <v>2024</v>
      </c>
      <c r="E666" t="s">
        <v>11</v>
      </c>
      <c r="F666" t="s">
        <v>38</v>
      </c>
      <c r="G666" t="s">
        <v>44</v>
      </c>
      <c r="H666" t="s">
        <v>35</v>
      </c>
      <c r="I666" t="s">
        <v>15</v>
      </c>
      <c r="J666">
        <v>8</v>
      </c>
      <c r="K666">
        <v>19850</v>
      </c>
      <c r="L666">
        <f>Tabla24[[#This Row],[Precio_Unitario]]*Tabla24[[#This Row],[Unidades_Vendidas]]</f>
        <v>158800</v>
      </c>
      <c r="M666" t="s">
        <v>16</v>
      </c>
    </row>
    <row r="667" spans="1:13" x14ac:dyDescent="0.25">
      <c r="A667" t="s">
        <v>17</v>
      </c>
      <c r="B667" t="str">
        <f>TEXT(Tabla24[[#This Row],[Fecha]],"dddd")</f>
        <v>lunes</v>
      </c>
      <c r="C667" t="str">
        <f>TEXT(Tabla24[[#This Row],[Fecha]],"mmmm")</f>
        <v>septiembre</v>
      </c>
      <c r="D667" t="str">
        <f>TEXT(Tabla24[[#This Row],[Fecha]],"aaaa")</f>
        <v>2024</v>
      </c>
      <c r="E667" t="s">
        <v>11</v>
      </c>
      <c r="F667" t="s">
        <v>38</v>
      </c>
      <c r="G667" t="s">
        <v>48</v>
      </c>
      <c r="H667" t="s">
        <v>30</v>
      </c>
      <c r="I667" t="s">
        <v>40</v>
      </c>
      <c r="J667">
        <v>6</v>
      </c>
      <c r="K667">
        <v>43197</v>
      </c>
      <c r="L667">
        <f>Tabla24[[#This Row],[Precio_Unitario]]*Tabla24[[#This Row],[Unidades_Vendidas]]</f>
        <v>259182</v>
      </c>
      <c r="M667" t="s">
        <v>27</v>
      </c>
    </row>
    <row r="668" spans="1:13" x14ac:dyDescent="0.25">
      <c r="A668" t="s">
        <v>206</v>
      </c>
      <c r="B668" t="str">
        <f>TEXT(Tabla24[[#This Row],[Fecha]],"dddd")</f>
        <v>viernes</v>
      </c>
      <c r="C668" t="str">
        <f>TEXT(Tabla24[[#This Row],[Fecha]],"mmmm")</f>
        <v>febrero</v>
      </c>
      <c r="D668" t="str">
        <f>TEXT(Tabla24[[#This Row],[Fecha]],"aaaa")</f>
        <v>2024</v>
      </c>
      <c r="E668" t="s">
        <v>42</v>
      </c>
      <c r="F668" t="s">
        <v>38</v>
      </c>
      <c r="G668" t="s">
        <v>24</v>
      </c>
      <c r="H668" t="s">
        <v>19</v>
      </c>
      <c r="I668" t="s">
        <v>26</v>
      </c>
      <c r="J668">
        <v>9</v>
      </c>
      <c r="K668">
        <v>21657</v>
      </c>
      <c r="L668">
        <f>Tabla24[[#This Row],[Precio_Unitario]]*Tabla24[[#This Row],[Unidades_Vendidas]]</f>
        <v>194913</v>
      </c>
      <c r="M668" t="s">
        <v>36</v>
      </c>
    </row>
    <row r="669" spans="1:13" x14ac:dyDescent="0.25">
      <c r="A669" t="s">
        <v>129</v>
      </c>
      <c r="B669" t="str">
        <f>TEXT(Tabla24[[#This Row],[Fecha]],"dddd")</f>
        <v>viernes</v>
      </c>
      <c r="C669" t="str">
        <f>TEXT(Tabla24[[#This Row],[Fecha]],"mmmm")</f>
        <v>mayo</v>
      </c>
      <c r="D669" t="str">
        <f>TEXT(Tabla24[[#This Row],[Fecha]],"aaaa")</f>
        <v>2024</v>
      </c>
      <c r="E669" t="s">
        <v>22</v>
      </c>
      <c r="F669" t="s">
        <v>29</v>
      </c>
      <c r="G669" t="s">
        <v>24</v>
      </c>
      <c r="H669" t="s">
        <v>14</v>
      </c>
      <c r="I669" t="s">
        <v>15</v>
      </c>
      <c r="J669">
        <v>10</v>
      </c>
      <c r="K669">
        <v>50298</v>
      </c>
      <c r="L669">
        <f>Tabla24[[#This Row],[Precio_Unitario]]*Tabla24[[#This Row],[Unidades_Vendidas]]</f>
        <v>502980</v>
      </c>
      <c r="M669" t="s">
        <v>16</v>
      </c>
    </row>
    <row r="670" spans="1:13" x14ac:dyDescent="0.25">
      <c r="A670" t="s">
        <v>139</v>
      </c>
      <c r="B670" t="str">
        <f>TEXT(Tabla24[[#This Row],[Fecha]],"dddd")</f>
        <v>jueves</v>
      </c>
      <c r="C670" t="str">
        <f>TEXT(Tabla24[[#This Row],[Fecha]],"mmmm")</f>
        <v>mayo</v>
      </c>
      <c r="D670" t="str">
        <f>TEXT(Tabla24[[#This Row],[Fecha]],"aaaa")</f>
        <v>2024</v>
      </c>
      <c r="E670" t="s">
        <v>18</v>
      </c>
      <c r="F670" t="s">
        <v>29</v>
      </c>
      <c r="G670" t="s">
        <v>24</v>
      </c>
      <c r="H670" t="s">
        <v>30</v>
      </c>
      <c r="I670" t="s">
        <v>40</v>
      </c>
      <c r="J670">
        <v>16</v>
      </c>
      <c r="K670">
        <v>29978</v>
      </c>
      <c r="L670">
        <f>Tabla24[[#This Row],[Precio_Unitario]]*Tabla24[[#This Row],[Unidades_Vendidas]]</f>
        <v>479648</v>
      </c>
      <c r="M670" t="s">
        <v>20</v>
      </c>
    </row>
    <row r="671" spans="1:13" x14ac:dyDescent="0.25">
      <c r="A671" t="s">
        <v>127</v>
      </c>
      <c r="B671" t="str">
        <f>TEXT(Tabla24[[#This Row],[Fecha]],"dddd")</f>
        <v>sábado</v>
      </c>
      <c r="C671" t="str">
        <f>TEXT(Tabla24[[#This Row],[Fecha]],"mmmm")</f>
        <v>septiembre</v>
      </c>
      <c r="D671" t="str">
        <f>TEXT(Tabla24[[#This Row],[Fecha]],"aaaa")</f>
        <v>2024</v>
      </c>
      <c r="E671" t="s">
        <v>18</v>
      </c>
      <c r="F671" t="s">
        <v>34</v>
      </c>
      <c r="G671" t="s">
        <v>13</v>
      </c>
      <c r="H671" t="s">
        <v>35</v>
      </c>
      <c r="I671" t="s">
        <v>40</v>
      </c>
      <c r="J671">
        <v>13</v>
      </c>
      <c r="K671">
        <v>43505</v>
      </c>
      <c r="L671">
        <f>Tabla24[[#This Row],[Precio_Unitario]]*Tabla24[[#This Row],[Unidades_Vendidas]]</f>
        <v>565565</v>
      </c>
      <c r="M671" t="s">
        <v>27</v>
      </c>
    </row>
    <row r="672" spans="1:13" x14ac:dyDescent="0.25">
      <c r="A672" t="s">
        <v>338</v>
      </c>
      <c r="B672" t="str">
        <f>TEXT(Tabla24[[#This Row],[Fecha]],"dddd")</f>
        <v>domingo</v>
      </c>
      <c r="C672" t="str">
        <f>TEXT(Tabla24[[#This Row],[Fecha]],"mmmm")</f>
        <v>septiembre</v>
      </c>
      <c r="D672" t="str">
        <f>TEXT(Tabla24[[#This Row],[Fecha]],"aaaa")</f>
        <v>2024</v>
      </c>
      <c r="E672" t="s">
        <v>22</v>
      </c>
      <c r="F672" t="s">
        <v>34</v>
      </c>
      <c r="G672" t="s">
        <v>13</v>
      </c>
      <c r="H672" t="s">
        <v>14</v>
      </c>
      <c r="I672" t="s">
        <v>15</v>
      </c>
      <c r="J672">
        <v>4</v>
      </c>
      <c r="K672">
        <v>43477</v>
      </c>
      <c r="L672">
        <f>Tabla24[[#This Row],[Precio_Unitario]]*Tabla24[[#This Row],[Unidades_Vendidas]]</f>
        <v>173908</v>
      </c>
      <c r="M672" t="s">
        <v>36</v>
      </c>
    </row>
    <row r="673" spans="1:13" x14ac:dyDescent="0.25">
      <c r="A673" t="s">
        <v>256</v>
      </c>
      <c r="B673" t="str">
        <f>TEXT(Tabla24[[#This Row],[Fecha]],"dddd")</f>
        <v>martes</v>
      </c>
      <c r="C673" t="str">
        <f>TEXT(Tabla24[[#This Row],[Fecha]],"mmmm")</f>
        <v>noviembre</v>
      </c>
      <c r="D673" t="str">
        <f>TEXT(Tabla24[[#This Row],[Fecha]],"aaaa")</f>
        <v>2024</v>
      </c>
      <c r="E673" t="s">
        <v>22</v>
      </c>
      <c r="F673" t="s">
        <v>38</v>
      </c>
      <c r="G673" t="s">
        <v>44</v>
      </c>
      <c r="H673" t="s">
        <v>25</v>
      </c>
      <c r="I673" t="s">
        <v>15</v>
      </c>
      <c r="J673">
        <v>1</v>
      </c>
      <c r="K673">
        <v>23083</v>
      </c>
      <c r="L673">
        <f>Tabla24[[#This Row],[Precio_Unitario]]*Tabla24[[#This Row],[Unidades_Vendidas]]</f>
        <v>23083</v>
      </c>
      <c r="M673" t="s">
        <v>16</v>
      </c>
    </row>
    <row r="674" spans="1:13" x14ac:dyDescent="0.25">
      <c r="A674" t="s">
        <v>246</v>
      </c>
      <c r="B674" t="str">
        <f>TEXT(Tabla24[[#This Row],[Fecha]],"dddd")</f>
        <v>martes</v>
      </c>
      <c r="C674" t="str">
        <f>TEXT(Tabla24[[#This Row],[Fecha]],"mmmm")</f>
        <v>noviembre</v>
      </c>
      <c r="D674" t="str">
        <f>TEXT(Tabla24[[#This Row],[Fecha]],"aaaa")</f>
        <v>2024</v>
      </c>
      <c r="E674" t="s">
        <v>18</v>
      </c>
      <c r="F674" t="s">
        <v>38</v>
      </c>
      <c r="G674" t="s">
        <v>48</v>
      </c>
      <c r="H674" t="s">
        <v>14</v>
      </c>
      <c r="I674" t="s">
        <v>40</v>
      </c>
      <c r="J674">
        <v>13</v>
      </c>
      <c r="K674">
        <v>23524</v>
      </c>
      <c r="L674">
        <f>Tabla24[[#This Row],[Precio_Unitario]]*Tabla24[[#This Row],[Unidades_Vendidas]]</f>
        <v>305812</v>
      </c>
      <c r="M674" t="s">
        <v>27</v>
      </c>
    </row>
    <row r="675" spans="1:13" x14ac:dyDescent="0.25">
      <c r="A675" t="s">
        <v>256</v>
      </c>
      <c r="B675" t="str">
        <f>TEXT(Tabla24[[#This Row],[Fecha]],"dddd")</f>
        <v>martes</v>
      </c>
      <c r="C675" t="str">
        <f>TEXT(Tabla24[[#This Row],[Fecha]],"mmmm")</f>
        <v>noviembre</v>
      </c>
      <c r="D675" t="str">
        <f>TEXT(Tabla24[[#This Row],[Fecha]],"aaaa")</f>
        <v>2024</v>
      </c>
      <c r="E675" t="s">
        <v>42</v>
      </c>
      <c r="F675" t="s">
        <v>12</v>
      </c>
      <c r="G675" t="s">
        <v>13</v>
      </c>
      <c r="H675" t="s">
        <v>30</v>
      </c>
      <c r="I675" t="s">
        <v>15</v>
      </c>
      <c r="J675">
        <v>15</v>
      </c>
      <c r="K675">
        <v>22004</v>
      </c>
      <c r="L675">
        <f>Tabla24[[#This Row],[Precio_Unitario]]*Tabla24[[#This Row],[Unidades_Vendidas]]</f>
        <v>330060</v>
      </c>
      <c r="M675" t="s">
        <v>36</v>
      </c>
    </row>
    <row r="676" spans="1:13" x14ac:dyDescent="0.25">
      <c r="A676" t="s">
        <v>314</v>
      </c>
      <c r="B676" t="str">
        <f>TEXT(Tabla24[[#This Row],[Fecha]],"dddd")</f>
        <v>martes</v>
      </c>
      <c r="C676" t="str">
        <f>TEXT(Tabla24[[#This Row],[Fecha]],"mmmm")</f>
        <v>octubre</v>
      </c>
      <c r="D676" t="str">
        <f>TEXT(Tabla24[[#This Row],[Fecha]],"aaaa")</f>
        <v>2024</v>
      </c>
      <c r="E676" t="s">
        <v>11</v>
      </c>
      <c r="F676" t="s">
        <v>12</v>
      </c>
      <c r="G676" t="s">
        <v>13</v>
      </c>
      <c r="H676" t="s">
        <v>35</v>
      </c>
      <c r="I676" t="s">
        <v>40</v>
      </c>
      <c r="J676">
        <v>9</v>
      </c>
      <c r="K676">
        <v>36558</v>
      </c>
      <c r="L676">
        <f>Tabla24[[#This Row],[Precio_Unitario]]*Tabla24[[#This Row],[Unidades_Vendidas]]</f>
        <v>329022</v>
      </c>
      <c r="M676" t="s">
        <v>36</v>
      </c>
    </row>
    <row r="677" spans="1:13" x14ac:dyDescent="0.25">
      <c r="A677" t="s">
        <v>309</v>
      </c>
      <c r="B677" t="str">
        <f>TEXT(Tabla24[[#This Row],[Fecha]],"dddd")</f>
        <v>domingo</v>
      </c>
      <c r="C677" t="str">
        <f>TEXT(Tabla24[[#This Row],[Fecha]],"mmmm")</f>
        <v>mayo</v>
      </c>
      <c r="D677" t="str">
        <f>TEXT(Tabla24[[#This Row],[Fecha]],"aaaa")</f>
        <v>2024</v>
      </c>
      <c r="E677" t="s">
        <v>42</v>
      </c>
      <c r="F677" t="s">
        <v>12</v>
      </c>
      <c r="G677" t="s">
        <v>24</v>
      </c>
      <c r="H677" t="s">
        <v>35</v>
      </c>
      <c r="I677" t="s">
        <v>15</v>
      </c>
      <c r="J677">
        <v>16</v>
      </c>
      <c r="K677">
        <v>22955</v>
      </c>
      <c r="L677">
        <f>Tabla24[[#This Row],[Precio_Unitario]]*Tabla24[[#This Row],[Unidades_Vendidas]]</f>
        <v>367280</v>
      </c>
      <c r="M677" t="s">
        <v>20</v>
      </c>
    </row>
    <row r="678" spans="1:13" x14ac:dyDescent="0.25">
      <c r="A678" t="s">
        <v>287</v>
      </c>
      <c r="B678" t="str">
        <f>TEXT(Tabla24[[#This Row],[Fecha]],"dddd")</f>
        <v>miércoles</v>
      </c>
      <c r="C678" t="str">
        <f>TEXT(Tabla24[[#This Row],[Fecha]],"mmmm")</f>
        <v>febrero</v>
      </c>
      <c r="D678" t="str">
        <f>TEXT(Tabla24[[#This Row],[Fecha]],"aaaa")</f>
        <v>2024</v>
      </c>
      <c r="E678" t="s">
        <v>11</v>
      </c>
      <c r="F678" t="s">
        <v>38</v>
      </c>
      <c r="G678" t="s">
        <v>13</v>
      </c>
      <c r="H678" t="s">
        <v>35</v>
      </c>
      <c r="I678" t="s">
        <v>40</v>
      </c>
      <c r="J678">
        <v>1</v>
      </c>
      <c r="K678">
        <v>25144</v>
      </c>
      <c r="L678">
        <f>Tabla24[[#This Row],[Precio_Unitario]]*Tabla24[[#This Row],[Unidades_Vendidas]]</f>
        <v>25144</v>
      </c>
      <c r="M678" t="s">
        <v>27</v>
      </c>
    </row>
    <row r="679" spans="1:13" x14ac:dyDescent="0.25">
      <c r="A679" t="s">
        <v>95</v>
      </c>
      <c r="B679" t="str">
        <f>TEXT(Tabla24[[#This Row],[Fecha]],"dddd")</f>
        <v>jueves</v>
      </c>
      <c r="C679" t="str">
        <f>TEXT(Tabla24[[#This Row],[Fecha]],"mmmm")</f>
        <v>abril</v>
      </c>
      <c r="D679" t="str">
        <f>TEXT(Tabla24[[#This Row],[Fecha]],"aaaa")</f>
        <v>2024</v>
      </c>
      <c r="E679" t="s">
        <v>18</v>
      </c>
      <c r="F679" t="s">
        <v>34</v>
      </c>
      <c r="G679" t="s">
        <v>39</v>
      </c>
      <c r="H679" t="s">
        <v>30</v>
      </c>
      <c r="I679" t="s">
        <v>40</v>
      </c>
      <c r="J679">
        <v>2</v>
      </c>
      <c r="K679">
        <v>49020</v>
      </c>
      <c r="L679">
        <f>Tabla24[[#This Row],[Precio_Unitario]]*Tabla24[[#This Row],[Unidades_Vendidas]]</f>
        <v>98040</v>
      </c>
      <c r="M679" t="s">
        <v>27</v>
      </c>
    </row>
    <row r="680" spans="1:13" x14ac:dyDescent="0.25">
      <c r="A680" t="s">
        <v>158</v>
      </c>
      <c r="B680" t="str">
        <f>TEXT(Tabla24[[#This Row],[Fecha]],"dddd")</f>
        <v>viernes</v>
      </c>
      <c r="C680" t="str">
        <f>TEXT(Tabla24[[#This Row],[Fecha]],"mmmm")</f>
        <v>enero</v>
      </c>
      <c r="D680" t="str">
        <f>TEXT(Tabla24[[#This Row],[Fecha]],"aaaa")</f>
        <v>2024</v>
      </c>
      <c r="E680" t="s">
        <v>33</v>
      </c>
      <c r="F680" t="s">
        <v>29</v>
      </c>
      <c r="G680" t="s">
        <v>48</v>
      </c>
      <c r="H680" t="s">
        <v>19</v>
      </c>
      <c r="I680" t="s">
        <v>40</v>
      </c>
      <c r="J680">
        <v>9</v>
      </c>
      <c r="K680">
        <v>40022</v>
      </c>
      <c r="L680">
        <f>Tabla24[[#This Row],[Precio_Unitario]]*Tabla24[[#This Row],[Unidades_Vendidas]]</f>
        <v>360198</v>
      </c>
      <c r="M680" t="s">
        <v>27</v>
      </c>
    </row>
    <row r="681" spans="1:13" x14ac:dyDescent="0.25">
      <c r="A681" t="s">
        <v>238</v>
      </c>
      <c r="B681" t="str">
        <f>TEXT(Tabla24[[#This Row],[Fecha]],"dddd")</f>
        <v>miércoles</v>
      </c>
      <c r="C681" t="str">
        <f>TEXT(Tabla24[[#This Row],[Fecha]],"mmmm")</f>
        <v>noviembre</v>
      </c>
      <c r="D681" t="str">
        <f>TEXT(Tabla24[[#This Row],[Fecha]],"aaaa")</f>
        <v>2024</v>
      </c>
      <c r="E681" t="s">
        <v>42</v>
      </c>
      <c r="F681" t="s">
        <v>38</v>
      </c>
      <c r="G681" t="s">
        <v>24</v>
      </c>
      <c r="H681" t="s">
        <v>25</v>
      </c>
      <c r="I681" t="s">
        <v>15</v>
      </c>
      <c r="J681">
        <v>5</v>
      </c>
      <c r="K681">
        <v>23955</v>
      </c>
      <c r="L681">
        <f>Tabla24[[#This Row],[Precio_Unitario]]*Tabla24[[#This Row],[Unidades_Vendidas]]</f>
        <v>119775</v>
      </c>
      <c r="M681" t="s">
        <v>27</v>
      </c>
    </row>
    <row r="682" spans="1:13" x14ac:dyDescent="0.25">
      <c r="A682" t="s">
        <v>322</v>
      </c>
      <c r="B682" t="str">
        <f>TEXT(Tabla24[[#This Row],[Fecha]],"dddd")</f>
        <v>miércoles</v>
      </c>
      <c r="C682" t="str">
        <f>TEXT(Tabla24[[#This Row],[Fecha]],"mmmm")</f>
        <v>septiembre</v>
      </c>
      <c r="D682" t="str">
        <f>TEXT(Tabla24[[#This Row],[Fecha]],"aaaa")</f>
        <v>2024</v>
      </c>
      <c r="E682" t="s">
        <v>18</v>
      </c>
      <c r="F682" t="s">
        <v>23</v>
      </c>
      <c r="G682" t="s">
        <v>48</v>
      </c>
      <c r="H682" t="s">
        <v>19</v>
      </c>
      <c r="I682" t="s">
        <v>26</v>
      </c>
      <c r="J682">
        <v>11</v>
      </c>
      <c r="K682">
        <v>21454</v>
      </c>
      <c r="L682">
        <f>Tabla24[[#This Row],[Precio_Unitario]]*Tabla24[[#This Row],[Unidades_Vendidas]]</f>
        <v>235994</v>
      </c>
      <c r="M682" t="s">
        <v>20</v>
      </c>
    </row>
    <row r="683" spans="1:13" x14ac:dyDescent="0.25">
      <c r="A683" t="s">
        <v>101</v>
      </c>
      <c r="B683" t="str">
        <f>TEXT(Tabla24[[#This Row],[Fecha]],"dddd")</f>
        <v>miércoles</v>
      </c>
      <c r="C683" t="str">
        <f>TEXT(Tabla24[[#This Row],[Fecha]],"mmmm")</f>
        <v>diciembre</v>
      </c>
      <c r="D683" t="str">
        <f>TEXT(Tabla24[[#This Row],[Fecha]],"aaaa")</f>
        <v>2024</v>
      </c>
      <c r="E683" t="s">
        <v>11</v>
      </c>
      <c r="F683" t="s">
        <v>34</v>
      </c>
      <c r="G683" t="s">
        <v>24</v>
      </c>
      <c r="H683" t="s">
        <v>35</v>
      </c>
      <c r="I683" t="s">
        <v>15</v>
      </c>
      <c r="J683">
        <v>11</v>
      </c>
      <c r="K683">
        <v>35631</v>
      </c>
      <c r="L683">
        <f>Tabla24[[#This Row],[Precio_Unitario]]*Tabla24[[#This Row],[Unidades_Vendidas]]</f>
        <v>391941</v>
      </c>
      <c r="M683" t="s">
        <v>20</v>
      </c>
    </row>
    <row r="684" spans="1:13" x14ac:dyDescent="0.25">
      <c r="A684" t="s">
        <v>322</v>
      </c>
      <c r="B684" t="str">
        <f>TEXT(Tabla24[[#This Row],[Fecha]],"dddd")</f>
        <v>miércoles</v>
      </c>
      <c r="C684" t="str">
        <f>TEXT(Tabla24[[#This Row],[Fecha]],"mmmm")</f>
        <v>septiembre</v>
      </c>
      <c r="D684" t="str">
        <f>TEXT(Tabla24[[#This Row],[Fecha]],"aaaa")</f>
        <v>2024</v>
      </c>
      <c r="E684" t="s">
        <v>18</v>
      </c>
      <c r="F684" t="s">
        <v>34</v>
      </c>
      <c r="G684" t="s">
        <v>44</v>
      </c>
      <c r="H684" t="s">
        <v>25</v>
      </c>
      <c r="I684" t="s">
        <v>15</v>
      </c>
      <c r="J684">
        <v>11</v>
      </c>
      <c r="K684">
        <v>16949</v>
      </c>
      <c r="L684">
        <f>Tabla24[[#This Row],[Precio_Unitario]]*Tabla24[[#This Row],[Unidades_Vendidas]]</f>
        <v>186439</v>
      </c>
      <c r="M684" t="s">
        <v>36</v>
      </c>
    </row>
    <row r="685" spans="1:13" x14ac:dyDescent="0.25">
      <c r="A685" t="s">
        <v>193</v>
      </c>
      <c r="B685" t="str">
        <f>TEXT(Tabla24[[#This Row],[Fecha]],"dddd")</f>
        <v>miércoles</v>
      </c>
      <c r="C685" t="str">
        <f>TEXT(Tabla24[[#This Row],[Fecha]],"mmmm")</f>
        <v>junio</v>
      </c>
      <c r="D685" t="str">
        <f>TEXT(Tabla24[[#This Row],[Fecha]],"aaaa")</f>
        <v>2024</v>
      </c>
      <c r="E685" t="s">
        <v>42</v>
      </c>
      <c r="F685" t="s">
        <v>23</v>
      </c>
      <c r="G685" t="s">
        <v>24</v>
      </c>
      <c r="H685" t="s">
        <v>30</v>
      </c>
      <c r="I685" t="s">
        <v>15</v>
      </c>
      <c r="J685">
        <v>1</v>
      </c>
      <c r="K685">
        <v>26112</v>
      </c>
      <c r="L685">
        <f>Tabla24[[#This Row],[Precio_Unitario]]*Tabla24[[#This Row],[Unidades_Vendidas]]</f>
        <v>26112</v>
      </c>
      <c r="M685" t="s">
        <v>27</v>
      </c>
    </row>
    <row r="686" spans="1:13" x14ac:dyDescent="0.25">
      <c r="A686" t="s">
        <v>103</v>
      </c>
      <c r="B686" t="str">
        <f>TEXT(Tabla24[[#This Row],[Fecha]],"dddd")</f>
        <v>martes</v>
      </c>
      <c r="C686" t="str">
        <f>TEXT(Tabla24[[#This Row],[Fecha]],"mmmm")</f>
        <v>febrero</v>
      </c>
      <c r="D686" t="str">
        <f>TEXT(Tabla24[[#This Row],[Fecha]],"aaaa")</f>
        <v>2024</v>
      </c>
      <c r="E686" t="s">
        <v>18</v>
      </c>
      <c r="F686" t="s">
        <v>34</v>
      </c>
      <c r="G686" t="s">
        <v>48</v>
      </c>
      <c r="H686" t="s">
        <v>14</v>
      </c>
      <c r="I686" t="s">
        <v>26</v>
      </c>
      <c r="J686">
        <v>18</v>
      </c>
      <c r="K686">
        <v>21667</v>
      </c>
      <c r="L686">
        <f>Tabla24[[#This Row],[Precio_Unitario]]*Tabla24[[#This Row],[Unidades_Vendidas]]</f>
        <v>390006</v>
      </c>
      <c r="M686" t="s">
        <v>16</v>
      </c>
    </row>
    <row r="687" spans="1:13" x14ac:dyDescent="0.25">
      <c r="A687" t="s">
        <v>314</v>
      </c>
      <c r="B687" t="str">
        <f>TEXT(Tabla24[[#This Row],[Fecha]],"dddd")</f>
        <v>martes</v>
      </c>
      <c r="C687" t="str">
        <f>TEXT(Tabla24[[#This Row],[Fecha]],"mmmm")</f>
        <v>octubre</v>
      </c>
      <c r="D687" t="str">
        <f>TEXT(Tabla24[[#This Row],[Fecha]],"aaaa")</f>
        <v>2024</v>
      </c>
      <c r="E687" t="s">
        <v>33</v>
      </c>
      <c r="F687" t="s">
        <v>23</v>
      </c>
      <c r="G687" t="s">
        <v>13</v>
      </c>
      <c r="H687" t="s">
        <v>14</v>
      </c>
      <c r="I687" t="s">
        <v>15</v>
      </c>
      <c r="J687">
        <v>9</v>
      </c>
      <c r="K687">
        <v>26236</v>
      </c>
      <c r="L687">
        <f>Tabla24[[#This Row],[Precio_Unitario]]*Tabla24[[#This Row],[Unidades_Vendidas]]</f>
        <v>236124</v>
      </c>
      <c r="M687" t="s">
        <v>27</v>
      </c>
    </row>
    <row r="688" spans="1:13" x14ac:dyDescent="0.25">
      <c r="A688" t="s">
        <v>150</v>
      </c>
      <c r="B688" t="str">
        <f>TEXT(Tabla24[[#This Row],[Fecha]],"dddd")</f>
        <v>sábado</v>
      </c>
      <c r="C688" t="str">
        <f>TEXT(Tabla24[[#This Row],[Fecha]],"mmmm")</f>
        <v>agosto</v>
      </c>
      <c r="D688" t="str">
        <f>TEXT(Tabla24[[#This Row],[Fecha]],"aaaa")</f>
        <v>2024</v>
      </c>
      <c r="E688" t="s">
        <v>42</v>
      </c>
      <c r="F688" t="s">
        <v>29</v>
      </c>
      <c r="G688" t="s">
        <v>44</v>
      </c>
      <c r="H688" t="s">
        <v>25</v>
      </c>
      <c r="I688" t="s">
        <v>40</v>
      </c>
      <c r="J688">
        <v>10</v>
      </c>
      <c r="K688">
        <v>33968</v>
      </c>
      <c r="L688">
        <f>Tabla24[[#This Row],[Precio_Unitario]]*Tabla24[[#This Row],[Unidades_Vendidas]]</f>
        <v>339680</v>
      </c>
      <c r="M688" t="s">
        <v>27</v>
      </c>
    </row>
    <row r="689" spans="1:13" x14ac:dyDescent="0.25">
      <c r="A689" t="s">
        <v>339</v>
      </c>
      <c r="B689" t="str">
        <f>TEXT(Tabla24[[#This Row],[Fecha]],"dddd")</f>
        <v>martes</v>
      </c>
      <c r="C689" t="str">
        <f>TEXT(Tabla24[[#This Row],[Fecha]],"mmmm")</f>
        <v>mayo</v>
      </c>
      <c r="D689" t="str">
        <f>TEXT(Tabla24[[#This Row],[Fecha]],"aaaa")</f>
        <v>2024</v>
      </c>
      <c r="E689" t="s">
        <v>33</v>
      </c>
      <c r="F689" t="s">
        <v>23</v>
      </c>
      <c r="G689" t="s">
        <v>39</v>
      </c>
      <c r="H689" t="s">
        <v>30</v>
      </c>
      <c r="I689" t="s">
        <v>40</v>
      </c>
      <c r="J689">
        <v>10</v>
      </c>
      <c r="K689">
        <v>47596</v>
      </c>
      <c r="L689">
        <f>Tabla24[[#This Row],[Precio_Unitario]]*Tabla24[[#This Row],[Unidades_Vendidas]]</f>
        <v>475960</v>
      </c>
      <c r="M689" t="s">
        <v>27</v>
      </c>
    </row>
    <row r="690" spans="1:13" x14ac:dyDescent="0.25">
      <c r="A690" t="s">
        <v>90</v>
      </c>
      <c r="B690" t="str">
        <f>TEXT(Tabla24[[#This Row],[Fecha]],"dddd")</f>
        <v>miércoles</v>
      </c>
      <c r="C690" t="str">
        <f>TEXT(Tabla24[[#This Row],[Fecha]],"mmmm")</f>
        <v>enero</v>
      </c>
      <c r="D690" t="str">
        <f>TEXT(Tabla24[[#This Row],[Fecha]],"aaaa")</f>
        <v>2024</v>
      </c>
      <c r="E690" t="s">
        <v>42</v>
      </c>
      <c r="F690" t="s">
        <v>38</v>
      </c>
      <c r="G690" t="s">
        <v>24</v>
      </c>
      <c r="H690" t="s">
        <v>14</v>
      </c>
      <c r="I690" t="s">
        <v>26</v>
      </c>
      <c r="J690">
        <v>7</v>
      </c>
      <c r="K690">
        <v>48655</v>
      </c>
      <c r="L690">
        <f>Tabla24[[#This Row],[Precio_Unitario]]*Tabla24[[#This Row],[Unidades_Vendidas]]</f>
        <v>340585</v>
      </c>
      <c r="M690" t="s">
        <v>16</v>
      </c>
    </row>
    <row r="691" spans="1:13" x14ac:dyDescent="0.25">
      <c r="A691" t="s">
        <v>216</v>
      </c>
      <c r="B691" t="str">
        <f>TEXT(Tabla24[[#This Row],[Fecha]],"dddd")</f>
        <v>martes</v>
      </c>
      <c r="C691" t="str">
        <f>TEXT(Tabla24[[#This Row],[Fecha]],"mmmm")</f>
        <v>mayo</v>
      </c>
      <c r="D691" t="str">
        <f>TEXT(Tabla24[[#This Row],[Fecha]],"aaaa")</f>
        <v>2024</v>
      </c>
      <c r="E691" t="s">
        <v>42</v>
      </c>
      <c r="F691" t="s">
        <v>34</v>
      </c>
      <c r="G691" t="s">
        <v>44</v>
      </c>
      <c r="H691" t="s">
        <v>35</v>
      </c>
      <c r="I691" t="s">
        <v>40</v>
      </c>
      <c r="J691">
        <v>1</v>
      </c>
      <c r="K691">
        <v>44663</v>
      </c>
      <c r="L691">
        <f>Tabla24[[#This Row],[Precio_Unitario]]*Tabla24[[#This Row],[Unidades_Vendidas]]</f>
        <v>44663</v>
      </c>
      <c r="M691" t="s">
        <v>27</v>
      </c>
    </row>
    <row r="692" spans="1:13" x14ac:dyDescent="0.25">
      <c r="A692" t="s">
        <v>163</v>
      </c>
      <c r="B692" t="str">
        <f>TEXT(Tabla24[[#This Row],[Fecha]],"dddd")</f>
        <v>miércoles</v>
      </c>
      <c r="C692" t="str">
        <f>TEXT(Tabla24[[#This Row],[Fecha]],"mmmm")</f>
        <v>octubre</v>
      </c>
      <c r="D692" t="str">
        <f>TEXT(Tabla24[[#This Row],[Fecha]],"aaaa")</f>
        <v>2024</v>
      </c>
      <c r="E692" t="s">
        <v>42</v>
      </c>
      <c r="F692" t="s">
        <v>29</v>
      </c>
      <c r="G692" t="s">
        <v>24</v>
      </c>
      <c r="H692" t="s">
        <v>35</v>
      </c>
      <c r="I692" t="s">
        <v>26</v>
      </c>
      <c r="J692">
        <v>5</v>
      </c>
      <c r="K692">
        <v>59078</v>
      </c>
      <c r="L692">
        <f>Tabla24[[#This Row],[Precio_Unitario]]*Tabla24[[#This Row],[Unidades_Vendidas]]</f>
        <v>295390</v>
      </c>
      <c r="M692" t="s">
        <v>20</v>
      </c>
    </row>
    <row r="693" spans="1:13" x14ac:dyDescent="0.25">
      <c r="A693" t="s">
        <v>331</v>
      </c>
      <c r="B693" t="str">
        <f>TEXT(Tabla24[[#This Row],[Fecha]],"dddd")</f>
        <v>sábado</v>
      </c>
      <c r="C693" t="str">
        <f>TEXT(Tabla24[[#This Row],[Fecha]],"mmmm")</f>
        <v>enero</v>
      </c>
      <c r="D693" t="str">
        <f>TEXT(Tabla24[[#This Row],[Fecha]],"aaaa")</f>
        <v>2024</v>
      </c>
      <c r="E693" t="s">
        <v>42</v>
      </c>
      <c r="F693" t="s">
        <v>34</v>
      </c>
      <c r="G693" t="s">
        <v>44</v>
      </c>
      <c r="H693" t="s">
        <v>14</v>
      </c>
      <c r="I693" t="s">
        <v>26</v>
      </c>
      <c r="J693">
        <v>6</v>
      </c>
      <c r="K693">
        <v>15120</v>
      </c>
      <c r="L693">
        <f>Tabla24[[#This Row],[Precio_Unitario]]*Tabla24[[#This Row],[Unidades_Vendidas]]</f>
        <v>90720</v>
      </c>
      <c r="M693" t="s">
        <v>16</v>
      </c>
    </row>
    <row r="694" spans="1:13" x14ac:dyDescent="0.25">
      <c r="A694" t="s">
        <v>110</v>
      </c>
      <c r="B694" t="str">
        <f>TEXT(Tabla24[[#This Row],[Fecha]],"dddd")</f>
        <v>martes</v>
      </c>
      <c r="C694" t="str">
        <f>TEXT(Tabla24[[#This Row],[Fecha]],"mmmm")</f>
        <v>enero</v>
      </c>
      <c r="D694" t="str">
        <f>TEXT(Tabla24[[#This Row],[Fecha]],"aaaa")</f>
        <v>2024</v>
      </c>
      <c r="E694" t="s">
        <v>33</v>
      </c>
      <c r="F694" t="s">
        <v>34</v>
      </c>
      <c r="G694" t="s">
        <v>39</v>
      </c>
      <c r="H694" t="s">
        <v>19</v>
      </c>
      <c r="I694" t="s">
        <v>15</v>
      </c>
      <c r="J694">
        <v>12</v>
      </c>
      <c r="K694">
        <v>51494</v>
      </c>
      <c r="L694">
        <f>Tabla24[[#This Row],[Precio_Unitario]]*Tabla24[[#This Row],[Unidades_Vendidas]]</f>
        <v>617928</v>
      </c>
      <c r="M694" t="s">
        <v>27</v>
      </c>
    </row>
    <row r="695" spans="1:13" x14ac:dyDescent="0.25">
      <c r="A695" t="s">
        <v>301</v>
      </c>
      <c r="B695" t="str">
        <f>TEXT(Tabla24[[#This Row],[Fecha]],"dddd")</f>
        <v>lunes</v>
      </c>
      <c r="C695" t="str">
        <f>TEXT(Tabla24[[#This Row],[Fecha]],"mmmm")</f>
        <v>octubre</v>
      </c>
      <c r="D695" t="str">
        <f>TEXT(Tabla24[[#This Row],[Fecha]],"aaaa")</f>
        <v>2024</v>
      </c>
      <c r="E695" t="s">
        <v>42</v>
      </c>
      <c r="F695" t="s">
        <v>38</v>
      </c>
      <c r="G695" t="s">
        <v>44</v>
      </c>
      <c r="H695" t="s">
        <v>14</v>
      </c>
      <c r="I695" t="s">
        <v>40</v>
      </c>
      <c r="J695">
        <v>14</v>
      </c>
      <c r="K695">
        <v>15245</v>
      </c>
      <c r="L695">
        <f>Tabla24[[#This Row],[Precio_Unitario]]*Tabla24[[#This Row],[Unidades_Vendidas]]</f>
        <v>213430</v>
      </c>
      <c r="M695" t="s">
        <v>36</v>
      </c>
    </row>
    <row r="696" spans="1:13" x14ac:dyDescent="0.25">
      <c r="A696" t="s">
        <v>147</v>
      </c>
      <c r="B696" t="str">
        <f>TEXT(Tabla24[[#This Row],[Fecha]],"dddd")</f>
        <v>jueves</v>
      </c>
      <c r="C696" t="str">
        <f>TEXT(Tabla24[[#This Row],[Fecha]],"mmmm")</f>
        <v>noviembre</v>
      </c>
      <c r="D696" t="str">
        <f>TEXT(Tabla24[[#This Row],[Fecha]],"aaaa")</f>
        <v>2024</v>
      </c>
      <c r="E696" t="s">
        <v>42</v>
      </c>
      <c r="F696" t="s">
        <v>38</v>
      </c>
      <c r="G696" t="s">
        <v>48</v>
      </c>
      <c r="H696" t="s">
        <v>14</v>
      </c>
      <c r="I696" t="s">
        <v>15</v>
      </c>
      <c r="J696">
        <v>19</v>
      </c>
      <c r="K696">
        <v>48572</v>
      </c>
      <c r="L696">
        <f>Tabla24[[#This Row],[Precio_Unitario]]*Tabla24[[#This Row],[Unidades_Vendidas]]</f>
        <v>922868</v>
      </c>
      <c r="M696" t="s">
        <v>27</v>
      </c>
    </row>
    <row r="697" spans="1:13" x14ac:dyDescent="0.25">
      <c r="A697" t="s">
        <v>315</v>
      </c>
      <c r="B697" t="str">
        <f>TEXT(Tabla24[[#This Row],[Fecha]],"dddd")</f>
        <v>domingo</v>
      </c>
      <c r="C697" t="str">
        <f>TEXT(Tabla24[[#This Row],[Fecha]],"mmmm")</f>
        <v>diciembre</v>
      </c>
      <c r="D697" t="str">
        <f>TEXT(Tabla24[[#This Row],[Fecha]],"aaaa")</f>
        <v>2024</v>
      </c>
      <c r="E697" t="s">
        <v>22</v>
      </c>
      <c r="F697" t="s">
        <v>23</v>
      </c>
      <c r="G697" t="s">
        <v>39</v>
      </c>
      <c r="H697" t="s">
        <v>14</v>
      </c>
      <c r="I697" t="s">
        <v>15</v>
      </c>
      <c r="J697">
        <v>7</v>
      </c>
      <c r="K697">
        <v>39945</v>
      </c>
      <c r="L697">
        <f>Tabla24[[#This Row],[Precio_Unitario]]*Tabla24[[#This Row],[Unidades_Vendidas]]</f>
        <v>279615</v>
      </c>
      <c r="M697" t="s">
        <v>16</v>
      </c>
    </row>
    <row r="698" spans="1:13" x14ac:dyDescent="0.25">
      <c r="A698" t="s">
        <v>119</v>
      </c>
      <c r="B698" t="str">
        <f>TEXT(Tabla24[[#This Row],[Fecha]],"dddd")</f>
        <v>miércoles</v>
      </c>
      <c r="C698" t="str">
        <f>TEXT(Tabla24[[#This Row],[Fecha]],"mmmm")</f>
        <v>julio</v>
      </c>
      <c r="D698" t="str">
        <f>TEXT(Tabla24[[#This Row],[Fecha]],"aaaa")</f>
        <v>2024</v>
      </c>
      <c r="E698" t="s">
        <v>11</v>
      </c>
      <c r="F698" t="s">
        <v>29</v>
      </c>
      <c r="G698" t="s">
        <v>39</v>
      </c>
      <c r="H698" t="s">
        <v>19</v>
      </c>
      <c r="I698" t="s">
        <v>26</v>
      </c>
      <c r="J698">
        <v>3</v>
      </c>
      <c r="K698">
        <v>56865</v>
      </c>
      <c r="L698">
        <f>Tabla24[[#This Row],[Precio_Unitario]]*Tabla24[[#This Row],[Unidades_Vendidas]]</f>
        <v>170595</v>
      </c>
      <c r="M698" t="s">
        <v>36</v>
      </c>
    </row>
    <row r="699" spans="1:13" x14ac:dyDescent="0.25">
      <c r="A699" t="s">
        <v>340</v>
      </c>
      <c r="B699" t="str">
        <f>TEXT(Tabla24[[#This Row],[Fecha]],"dddd")</f>
        <v>martes</v>
      </c>
      <c r="C699" t="str">
        <f>TEXT(Tabla24[[#This Row],[Fecha]],"mmmm")</f>
        <v>mayo</v>
      </c>
      <c r="D699" t="str">
        <f>TEXT(Tabla24[[#This Row],[Fecha]],"aaaa")</f>
        <v>2024</v>
      </c>
      <c r="E699" t="s">
        <v>33</v>
      </c>
      <c r="F699" t="s">
        <v>12</v>
      </c>
      <c r="G699" t="s">
        <v>24</v>
      </c>
      <c r="H699" t="s">
        <v>19</v>
      </c>
      <c r="I699" t="s">
        <v>40</v>
      </c>
      <c r="J699">
        <v>5</v>
      </c>
      <c r="K699">
        <v>15116</v>
      </c>
      <c r="L699">
        <f>Tabla24[[#This Row],[Precio_Unitario]]*Tabla24[[#This Row],[Unidades_Vendidas]]</f>
        <v>75580</v>
      </c>
      <c r="M699" t="s">
        <v>20</v>
      </c>
    </row>
    <row r="700" spans="1:13" x14ac:dyDescent="0.25">
      <c r="A700" t="s">
        <v>277</v>
      </c>
      <c r="B700" t="str">
        <f>TEXT(Tabla24[[#This Row],[Fecha]],"dddd")</f>
        <v>miércoles</v>
      </c>
      <c r="C700" t="str">
        <f>TEXT(Tabla24[[#This Row],[Fecha]],"mmmm")</f>
        <v>agosto</v>
      </c>
      <c r="D700" t="str">
        <f>TEXT(Tabla24[[#This Row],[Fecha]],"aaaa")</f>
        <v>2024</v>
      </c>
      <c r="E700" t="s">
        <v>22</v>
      </c>
      <c r="F700" t="s">
        <v>12</v>
      </c>
      <c r="G700" t="s">
        <v>39</v>
      </c>
      <c r="H700" t="s">
        <v>30</v>
      </c>
      <c r="I700" t="s">
        <v>15</v>
      </c>
      <c r="J700">
        <v>1</v>
      </c>
      <c r="K700">
        <v>40338</v>
      </c>
      <c r="L700">
        <f>Tabla24[[#This Row],[Precio_Unitario]]*Tabla24[[#This Row],[Unidades_Vendidas]]</f>
        <v>40338</v>
      </c>
      <c r="M700" t="s">
        <v>27</v>
      </c>
    </row>
    <row r="701" spans="1:13" x14ac:dyDescent="0.25">
      <c r="A701" t="s">
        <v>341</v>
      </c>
      <c r="B701" t="str">
        <f>TEXT(Tabla24[[#This Row],[Fecha]],"dddd")</f>
        <v>lunes</v>
      </c>
      <c r="C701" t="str">
        <f>TEXT(Tabla24[[#This Row],[Fecha]],"mmmm")</f>
        <v>abril</v>
      </c>
      <c r="D701" t="str">
        <f>TEXT(Tabla24[[#This Row],[Fecha]],"aaaa")</f>
        <v>2024</v>
      </c>
      <c r="E701" t="s">
        <v>33</v>
      </c>
      <c r="F701" t="s">
        <v>23</v>
      </c>
      <c r="G701" t="s">
        <v>44</v>
      </c>
      <c r="H701" t="s">
        <v>35</v>
      </c>
      <c r="I701" t="s">
        <v>15</v>
      </c>
      <c r="J701">
        <v>12</v>
      </c>
      <c r="K701">
        <v>37961</v>
      </c>
      <c r="L701">
        <f>Tabla24[[#This Row],[Precio_Unitario]]*Tabla24[[#This Row],[Unidades_Vendidas]]</f>
        <v>455532</v>
      </c>
      <c r="M701" t="s">
        <v>16</v>
      </c>
    </row>
    <row r="702" spans="1:13" x14ac:dyDescent="0.25">
      <c r="A702" t="s">
        <v>102</v>
      </c>
      <c r="B702" t="str">
        <f>TEXT(Tabla24[[#This Row],[Fecha]],"dddd")</f>
        <v>viernes</v>
      </c>
      <c r="C702" t="str">
        <f>TEXT(Tabla24[[#This Row],[Fecha]],"mmmm")</f>
        <v>noviembre</v>
      </c>
      <c r="D702" t="str">
        <f>TEXT(Tabla24[[#This Row],[Fecha]],"aaaa")</f>
        <v>2024</v>
      </c>
      <c r="E702" t="s">
        <v>18</v>
      </c>
      <c r="F702" t="s">
        <v>29</v>
      </c>
      <c r="G702" t="s">
        <v>13</v>
      </c>
      <c r="H702" t="s">
        <v>14</v>
      </c>
      <c r="I702" t="s">
        <v>40</v>
      </c>
      <c r="J702">
        <v>15</v>
      </c>
      <c r="K702">
        <v>43079</v>
      </c>
      <c r="L702">
        <f>Tabla24[[#This Row],[Precio_Unitario]]*Tabla24[[#This Row],[Unidades_Vendidas]]</f>
        <v>646185</v>
      </c>
      <c r="M702" t="s">
        <v>27</v>
      </c>
    </row>
    <row r="703" spans="1:13" x14ac:dyDescent="0.25">
      <c r="A703" t="s">
        <v>59</v>
      </c>
      <c r="B703" t="str">
        <f>TEXT(Tabla24[[#This Row],[Fecha]],"dddd")</f>
        <v>sábado</v>
      </c>
      <c r="C703" t="str">
        <f>TEXT(Tabla24[[#This Row],[Fecha]],"mmmm")</f>
        <v>octubre</v>
      </c>
      <c r="D703" t="str">
        <f>TEXT(Tabla24[[#This Row],[Fecha]],"aaaa")</f>
        <v>2024</v>
      </c>
      <c r="E703" t="s">
        <v>22</v>
      </c>
      <c r="F703" t="s">
        <v>23</v>
      </c>
      <c r="G703" t="s">
        <v>39</v>
      </c>
      <c r="H703" t="s">
        <v>14</v>
      </c>
      <c r="I703" t="s">
        <v>15</v>
      </c>
      <c r="J703">
        <v>18</v>
      </c>
      <c r="K703">
        <v>53372</v>
      </c>
      <c r="L703">
        <f>Tabla24[[#This Row],[Precio_Unitario]]*Tabla24[[#This Row],[Unidades_Vendidas]]</f>
        <v>960696</v>
      </c>
      <c r="M703" t="s">
        <v>20</v>
      </c>
    </row>
    <row r="704" spans="1:13" x14ac:dyDescent="0.25">
      <c r="A704" t="s">
        <v>194</v>
      </c>
      <c r="B704" t="str">
        <f>TEXT(Tabla24[[#This Row],[Fecha]],"dddd")</f>
        <v>jueves</v>
      </c>
      <c r="C704" t="str">
        <f>TEXT(Tabla24[[#This Row],[Fecha]],"mmmm")</f>
        <v>noviembre</v>
      </c>
      <c r="D704" t="str">
        <f>TEXT(Tabla24[[#This Row],[Fecha]],"aaaa")</f>
        <v>2024</v>
      </c>
      <c r="E704" t="s">
        <v>42</v>
      </c>
      <c r="F704" t="s">
        <v>34</v>
      </c>
      <c r="G704" t="s">
        <v>24</v>
      </c>
      <c r="H704" t="s">
        <v>14</v>
      </c>
      <c r="I704" t="s">
        <v>15</v>
      </c>
      <c r="J704">
        <v>4</v>
      </c>
      <c r="K704">
        <v>17466</v>
      </c>
      <c r="L704">
        <f>Tabla24[[#This Row],[Precio_Unitario]]*Tabla24[[#This Row],[Unidades_Vendidas]]</f>
        <v>69864</v>
      </c>
      <c r="M704" t="s">
        <v>16</v>
      </c>
    </row>
    <row r="705" spans="1:13" x14ac:dyDescent="0.25">
      <c r="A705" t="s">
        <v>313</v>
      </c>
      <c r="B705" t="str">
        <f>TEXT(Tabla24[[#This Row],[Fecha]],"dddd")</f>
        <v>jueves</v>
      </c>
      <c r="C705" t="str">
        <f>TEXT(Tabla24[[#This Row],[Fecha]],"mmmm")</f>
        <v>agosto</v>
      </c>
      <c r="D705" t="str">
        <f>TEXT(Tabla24[[#This Row],[Fecha]],"aaaa")</f>
        <v>2024</v>
      </c>
      <c r="E705" t="s">
        <v>42</v>
      </c>
      <c r="F705" t="s">
        <v>38</v>
      </c>
      <c r="G705" t="s">
        <v>13</v>
      </c>
      <c r="H705" t="s">
        <v>25</v>
      </c>
      <c r="I705" t="s">
        <v>26</v>
      </c>
      <c r="J705">
        <v>20</v>
      </c>
      <c r="K705">
        <v>20025</v>
      </c>
      <c r="L705">
        <f>Tabla24[[#This Row],[Precio_Unitario]]*Tabla24[[#This Row],[Unidades_Vendidas]]</f>
        <v>400500</v>
      </c>
      <c r="M705" t="s">
        <v>36</v>
      </c>
    </row>
    <row r="706" spans="1:13" x14ac:dyDescent="0.25">
      <c r="A706" t="s">
        <v>335</v>
      </c>
      <c r="B706" t="str">
        <f>TEXT(Tabla24[[#This Row],[Fecha]],"dddd")</f>
        <v>miércoles</v>
      </c>
      <c r="C706" t="str">
        <f>TEXT(Tabla24[[#This Row],[Fecha]],"mmmm")</f>
        <v>mayo</v>
      </c>
      <c r="D706" t="str">
        <f>TEXT(Tabla24[[#This Row],[Fecha]],"aaaa")</f>
        <v>2024</v>
      </c>
      <c r="E706" t="s">
        <v>42</v>
      </c>
      <c r="F706" t="s">
        <v>34</v>
      </c>
      <c r="G706" t="s">
        <v>48</v>
      </c>
      <c r="H706" t="s">
        <v>35</v>
      </c>
      <c r="I706" t="s">
        <v>40</v>
      </c>
      <c r="J706">
        <v>19</v>
      </c>
      <c r="K706">
        <v>41478</v>
      </c>
      <c r="L706">
        <f>Tabla24[[#This Row],[Precio_Unitario]]*Tabla24[[#This Row],[Unidades_Vendidas]]</f>
        <v>788082</v>
      </c>
      <c r="M706" t="s">
        <v>16</v>
      </c>
    </row>
    <row r="707" spans="1:13" x14ac:dyDescent="0.25">
      <c r="A707" t="s">
        <v>257</v>
      </c>
      <c r="B707" t="str">
        <f>TEXT(Tabla24[[#This Row],[Fecha]],"dddd")</f>
        <v>viernes</v>
      </c>
      <c r="C707" t="str">
        <f>TEXT(Tabla24[[#This Row],[Fecha]],"mmmm")</f>
        <v>marzo</v>
      </c>
      <c r="D707" t="str">
        <f>TEXT(Tabla24[[#This Row],[Fecha]],"aaaa")</f>
        <v>2024</v>
      </c>
      <c r="E707" t="s">
        <v>22</v>
      </c>
      <c r="F707" t="s">
        <v>29</v>
      </c>
      <c r="G707" t="s">
        <v>39</v>
      </c>
      <c r="H707" t="s">
        <v>14</v>
      </c>
      <c r="I707" t="s">
        <v>40</v>
      </c>
      <c r="J707">
        <v>3</v>
      </c>
      <c r="K707">
        <v>50578</v>
      </c>
      <c r="L707">
        <f>Tabla24[[#This Row],[Precio_Unitario]]*Tabla24[[#This Row],[Unidades_Vendidas]]</f>
        <v>151734</v>
      </c>
      <c r="M707" t="s">
        <v>36</v>
      </c>
    </row>
    <row r="708" spans="1:13" x14ac:dyDescent="0.25">
      <c r="A708" t="s">
        <v>132</v>
      </c>
      <c r="B708" t="str">
        <f>TEXT(Tabla24[[#This Row],[Fecha]],"dddd")</f>
        <v>jueves</v>
      </c>
      <c r="C708" t="str">
        <f>TEXT(Tabla24[[#This Row],[Fecha]],"mmmm")</f>
        <v>enero</v>
      </c>
      <c r="D708" t="str">
        <f>TEXT(Tabla24[[#This Row],[Fecha]],"aaaa")</f>
        <v>2024</v>
      </c>
      <c r="E708" t="s">
        <v>18</v>
      </c>
      <c r="F708" t="s">
        <v>12</v>
      </c>
      <c r="G708" t="s">
        <v>24</v>
      </c>
      <c r="H708" t="s">
        <v>35</v>
      </c>
      <c r="I708" t="s">
        <v>26</v>
      </c>
      <c r="J708">
        <v>8</v>
      </c>
      <c r="K708">
        <v>38958</v>
      </c>
      <c r="L708">
        <f>Tabla24[[#This Row],[Precio_Unitario]]*Tabla24[[#This Row],[Unidades_Vendidas]]</f>
        <v>311664</v>
      </c>
      <c r="M708" t="s">
        <v>16</v>
      </c>
    </row>
    <row r="709" spans="1:13" x14ac:dyDescent="0.25">
      <c r="A709" t="s">
        <v>154</v>
      </c>
      <c r="B709" t="str">
        <f>TEXT(Tabla24[[#This Row],[Fecha]],"dddd")</f>
        <v>sábado</v>
      </c>
      <c r="C709" t="str">
        <f>TEXT(Tabla24[[#This Row],[Fecha]],"mmmm")</f>
        <v>noviembre</v>
      </c>
      <c r="D709" t="str">
        <f>TEXT(Tabla24[[#This Row],[Fecha]],"aaaa")</f>
        <v>2024</v>
      </c>
      <c r="E709" t="s">
        <v>33</v>
      </c>
      <c r="F709" t="s">
        <v>38</v>
      </c>
      <c r="G709" t="s">
        <v>24</v>
      </c>
      <c r="H709" t="s">
        <v>30</v>
      </c>
      <c r="I709" t="s">
        <v>40</v>
      </c>
      <c r="J709">
        <v>15</v>
      </c>
      <c r="K709">
        <v>30626</v>
      </c>
      <c r="L709">
        <f>Tabla24[[#This Row],[Precio_Unitario]]*Tabla24[[#This Row],[Unidades_Vendidas]]</f>
        <v>459390</v>
      </c>
      <c r="M709" t="s">
        <v>36</v>
      </c>
    </row>
    <row r="710" spans="1:13" x14ac:dyDescent="0.25">
      <c r="A710" t="s">
        <v>279</v>
      </c>
      <c r="B710" t="str">
        <f>TEXT(Tabla24[[#This Row],[Fecha]],"dddd")</f>
        <v>miércoles</v>
      </c>
      <c r="C710" t="str">
        <f>TEXT(Tabla24[[#This Row],[Fecha]],"mmmm")</f>
        <v>marzo</v>
      </c>
      <c r="D710" t="str">
        <f>TEXT(Tabla24[[#This Row],[Fecha]],"aaaa")</f>
        <v>2024</v>
      </c>
      <c r="E710" t="s">
        <v>33</v>
      </c>
      <c r="F710" t="s">
        <v>12</v>
      </c>
      <c r="G710" t="s">
        <v>44</v>
      </c>
      <c r="H710" t="s">
        <v>19</v>
      </c>
      <c r="I710" t="s">
        <v>40</v>
      </c>
      <c r="J710">
        <v>17</v>
      </c>
      <c r="K710">
        <v>59820</v>
      </c>
      <c r="L710">
        <f>Tabla24[[#This Row],[Precio_Unitario]]*Tabla24[[#This Row],[Unidades_Vendidas]]</f>
        <v>1016940</v>
      </c>
      <c r="M710" t="s">
        <v>27</v>
      </c>
    </row>
    <row r="711" spans="1:13" x14ac:dyDescent="0.25">
      <c r="A711" t="s">
        <v>198</v>
      </c>
      <c r="B711" t="str">
        <f>TEXT(Tabla24[[#This Row],[Fecha]],"dddd")</f>
        <v>viernes</v>
      </c>
      <c r="C711" t="str">
        <f>TEXT(Tabla24[[#This Row],[Fecha]],"mmmm")</f>
        <v>marzo</v>
      </c>
      <c r="D711" t="str">
        <f>TEXT(Tabla24[[#This Row],[Fecha]],"aaaa")</f>
        <v>2024</v>
      </c>
      <c r="E711" t="s">
        <v>11</v>
      </c>
      <c r="F711" t="s">
        <v>12</v>
      </c>
      <c r="G711" t="s">
        <v>44</v>
      </c>
      <c r="H711" t="s">
        <v>35</v>
      </c>
      <c r="I711" t="s">
        <v>40</v>
      </c>
      <c r="J711">
        <v>5</v>
      </c>
      <c r="K711">
        <v>46880</v>
      </c>
      <c r="L711">
        <f>Tabla24[[#This Row],[Precio_Unitario]]*Tabla24[[#This Row],[Unidades_Vendidas]]</f>
        <v>234400</v>
      </c>
      <c r="M711" t="s">
        <v>20</v>
      </c>
    </row>
    <row r="712" spans="1:13" x14ac:dyDescent="0.25">
      <c r="A712" t="s">
        <v>310</v>
      </c>
      <c r="B712" t="str">
        <f>TEXT(Tabla24[[#This Row],[Fecha]],"dddd")</f>
        <v>jueves</v>
      </c>
      <c r="C712" t="str">
        <f>TEXT(Tabla24[[#This Row],[Fecha]],"mmmm")</f>
        <v>julio</v>
      </c>
      <c r="D712" t="str">
        <f>TEXT(Tabla24[[#This Row],[Fecha]],"aaaa")</f>
        <v>2024</v>
      </c>
      <c r="E712" t="s">
        <v>18</v>
      </c>
      <c r="F712" t="s">
        <v>12</v>
      </c>
      <c r="G712" t="s">
        <v>39</v>
      </c>
      <c r="H712" t="s">
        <v>25</v>
      </c>
      <c r="I712" t="s">
        <v>40</v>
      </c>
      <c r="J712">
        <v>7</v>
      </c>
      <c r="K712">
        <v>20789</v>
      </c>
      <c r="L712">
        <f>Tabla24[[#This Row],[Precio_Unitario]]*Tabla24[[#This Row],[Unidades_Vendidas]]</f>
        <v>145523</v>
      </c>
      <c r="M712" t="s">
        <v>27</v>
      </c>
    </row>
    <row r="713" spans="1:13" x14ac:dyDescent="0.25">
      <c r="A713" t="s">
        <v>240</v>
      </c>
      <c r="B713" t="str">
        <f>TEXT(Tabla24[[#This Row],[Fecha]],"dddd")</f>
        <v>lunes</v>
      </c>
      <c r="C713" t="str">
        <f>TEXT(Tabla24[[#This Row],[Fecha]],"mmmm")</f>
        <v>diciembre</v>
      </c>
      <c r="D713" t="str">
        <f>TEXT(Tabla24[[#This Row],[Fecha]],"aaaa")</f>
        <v>2024</v>
      </c>
      <c r="E713" t="s">
        <v>22</v>
      </c>
      <c r="F713" t="s">
        <v>12</v>
      </c>
      <c r="G713" t="s">
        <v>13</v>
      </c>
      <c r="H713" t="s">
        <v>19</v>
      </c>
      <c r="I713" t="s">
        <v>15</v>
      </c>
      <c r="J713">
        <v>15</v>
      </c>
      <c r="K713">
        <v>34415</v>
      </c>
      <c r="L713">
        <f>Tabla24[[#This Row],[Precio_Unitario]]*Tabla24[[#This Row],[Unidades_Vendidas]]</f>
        <v>516225</v>
      </c>
      <c r="M713" t="s">
        <v>16</v>
      </c>
    </row>
    <row r="714" spans="1:13" x14ac:dyDescent="0.25">
      <c r="A714" t="s">
        <v>210</v>
      </c>
      <c r="B714" t="str">
        <f>TEXT(Tabla24[[#This Row],[Fecha]],"dddd")</f>
        <v>sábado</v>
      </c>
      <c r="C714" t="str">
        <f>TEXT(Tabla24[[#This Row],[Fecha]],"mmmm")</f>
        <v>agosto</v>
      </c>
      <c r="D714" t="str">
        <f>TEXT(Tabla24[[#This Row],[Fecha]],"aaaa")</f>
        <v>2024</v>
      </c>
      <c r="E714" t="s">
        <v>42</v>
      </c>
      <c r="F714" t="s">
        <v>12</v>
      </c>
      <c r="G714" t="s">
        <v>39</v>
      </c>
      <c r="H714" t="s">
        <v>30</v>
      </c>
      <c r="I714" t="s">
        <v>40</v>
      </c>
      <c r="J714">
        <v>2</v>
      </c>
      <c r="K714">
        <v>31684</v>
      </c>
      <c r="L714">
        <f>Tabla24[[#This Row],[Precio_Unitario]]*Tabla24[[#This Row],[Unidades_Vendidas]]</f>
        <v>63368</v>
      </c>
      <c r="M714" t="s">
        <v>16</v>
      </c>
    </row>
    <row r="715" spans="1:13" x14ac:dyDescent="0.25">
      <c r="A715" t="s">
        <v>342</v>
      </c>
      <c r="B715" t="str">
        <f>TEXT(Tabla24[[#This Row],[Fecha]],"dddd")</f>
        <v>viernes</v>
      </c>
      <c r="C715" t="str">
        <f>TEXT(Tabla24[[#This Row],[Fecha]],"mmmm")</f>
        <v>julio</v>
      </c>
      <c r="D715" t="str">
        <f>TEXT(Tabla24[[#This Row],[Fecha]],"aaaa")</f>
        <v>2024</v>
      </c>
      <c r="E715" t="s">
        <v>33</v>
      </c>
      <c r="F715" t="s">
        <v>23</v>
      </c>
      <c r="G715" t="s">
        <v>39</v>
      </c>
      <c r="H715" t="s">
        <v>35</v>
      </c>
      <c r="I715" t="s">
        <v>40</v>
      </c>
      <c r="J715">
        <v>4</v>
      </c>
      <c r="K715">
        <v>57696</v>
      </c>
      <c r="L715">
        <f>Tabla24[[#This Row],[Precio_Unitario]]*Tabla24[[#This Row],[Unidades_Vendidas]]</f>
        <v>230784</v>
      </c>
      <c r="M715" t="s">
        <v>27</v>
      </c>
    </row>
    <row r="716" spans="1:13" x14ac:dyDescent="0.25">
      <c r="A716" t="s">
        <v>100</v>
      </c>
      <c r="B716" t="str">
        <f>TEXT(Tabla24[[#This Row],[Fecha]],"dddd")</f>
        <v>jueves</v>
      </c>
      <c r="C716" t="str">
        <f>TEXT(Tabla24[[#This Row],[Fecha]],"mmmm")</f>
        <v>junio</v>
      </c>
      <c r="D716" t="str">
        <f>TEXT(Tabla24[[#This Row],[Fecha]],"aaaa")</f>
        <v>2024</v>
      </c>
      <c r="E716" t="s">
        <v>11</v>
      </c>
      <c r="F716" t="s">
        <v>34</v>
      </c>
      <c r="G716" t="s">
        <v>39</v>
      </c>
      <c r="H716" t="s">
        <v>30</v>
      </c>
      <c r="I716" t="s">
        <v>15</v>
      </c>
      <c r="J716">
        <v>18</v>
      </c>
      <c r="K716">
        <v>30850</v>
      </c>
      <c r="L716">
        <f>Tabla24[[#This Row],[Precio_Unitario]]*Tabla24[[#This Row],[Unidades_Vendidas]]</f>
        <v>555300</v>
      </c>
      <c r="M716" t="s">
        <v>16</v>
      </c>
    </row>
    <row r="717" spans="1:13" x14ac:dyDescent="0.25">
      <c r="A717" t="s">
        <v>326</v>
      </c>
      <c r="B717" t="str">
        <f>TEXT(Tabla24[[#This Row],[Fecha]],"dddd")</f>
        <v>sábado</v>
      </c>
      <c r="C717" t="str">
        <f>TEXT(Tabla24[[#This Row],[Fecha]],"mmmm")</f>
        <v>julio</v>
      </c>
      <c r="D717" t="str">
        <f>TEXT(Tabla24[[#This Row],[Fecha]],"aaaa")</f>
        <v>2024</v>
      </c>
      <c r="E717" t="s">
        <v>18</v>
      </c>
      <c r="F717" t="s">
        <v>12</v>
      </c>
      <c r="G717" t="s">
        <v>13</v>
      </c>
      <c r="H717" t="s">
        <v>14</v>
      </c>
      <c r="I717" t="s">
        <v>15</v>
      </c>
      <c r="J717">
        <v>17</v>
      </c>
      <c r="K717">
        <v>51430</v>
      </c>
      <c r="L717">
        <f>Tabla24[[#This Row],[Precio_Unitario]]*Tabla24[[#This Row],[Unidades_Vendidas]]</f>
        <v>874310</v>
      </c>
      <c r="M717" t="s">
        <v>20</v>
      </c>
    </row>
    <row r="718" spans="1:13" x14ac:dyDescent="0.25">
      <c r="A718" t="s">
        <v>232</v>
      </c>
      <c r="B718" t="str">
        <f>TEXT(Tabla24[[#This Row],[Fecha]],"dddd")</f>
        <v>sábado</v>
      </c>
      <c r="C718" t="str">
        <f>TEXT(Tabla24[[#This Row],[Fecha]],"mmmm")</f>
        <v>octubre</v>
      </c>
      <c r="D718" t="str">
        <f>TEXT(Tabla24[[#This Row],[Fecha]],"aaaa")</f>
        <v>2024</v>
      </c>
      <c r="E718" t="s">
        <v>22</v>
      </c>
      <c r="F718" t="s">
        <v>38</v>
      </c>
      <c r="G718" t="s">
        <v>44</v>
      </c>
      <c r="H718" t="s">
        <v>35</v>
      </c>
      <c r="I718" t="s">
        <v>40</v>
      </c>
      <c r="J718">
        <v>19</v>
      </c>
      <c r="K718">
        <v>21102</v>
      </c>
      <c r="L718">
        <f>Tabla24[[#This Row],[Precio_Unitario]]*Tabla24[[#This Row],[Unidades_Vendidas]]</f>
        <v>400938</v>
      </c>
      <c r="M718" t="s">
        <v>16</v>
      </c>
    </row>
    <row r="719" spans="1:13" x14ac:dyDescent="0.25">
      <c r="A719" t="s">
        <v>185</v>
      </c>
      <c r="B719" t="str">
        <f>TEXT(Tabla24[[#This Row],[Fecha]],"dddd")</f>
        <v>domingo</v>
      </c>
      <c r="C719" t="str">
        <f>TEXT(Tabla24[[#This Row],[Fecha]],"mmmm")</f>
        <v>noviembre</v>
      </c>
      <c r="D719" t="str">
        <f>TEXT(Tabla24[[#This Row],[Fecha]],"aaaa")</f>
        <v>2024</v>
      </c>
      <c r="E719" t="s">
        <v>11</v>
      </c>
      <c r="F719" t="s">
        <v>29</v>
      </c>
      <c r="G719" t="s">
        <v>48</v>
      </c>
      <c r="H719" t="s">
        <v>25</v>
      </c>
      <c r="I719" t="s">
        <v>26</v>
      </c>
      <c r="J719">
        <v>15</v>
      </c>
      <c r="K719">
        <v>17276</v>
      </c>
      <c r="L719">
        <f>Tabla24[[#This Row],[Precio_Unitario]]*Tabla24[[#This Row],[Unidades_Vendidas]]</f>
        <v>259140</v>
      </c>
      <c r="M719" t="s">
        <v>36</v>
      </c>
    </row>
    <row r="720" spans="1:13" x14ac:dyDescent="0.25">
      <c r="A720" t="s">
        <v>306</v>
      </c>
      <c r="B720" t="str">
        <f>TEXT(Tabla24[[#This Row],[Fecha]],"dddd")</f>
        <v>domingo</v>
      </c>
      <c r="C720" t="str">
        <f>TEXT(Tabla24[[#This Row],[Fecha]],"mmmm")</f>
        <v>junio</v>
      </c>
      <c r="D720" t="str">
        <f>TEXT(Tabla24[[#This Row],[Fecha]],"aaaa")</f>
        <v>2024</v>
      </c>
      <c r="E720" t="s">
        <v>33</v>
      </c>
      <c r="F720" t="s">
        <v>34</v>
      </c>
      <c r="G720" t="s">
        <v>48</v>
      </c>
      <c r="H720" t="s">
        <v>19</v>
      </c>
      <c r="I720" t="s">
        <v>40</v>
      </c>
      <c r="J720">
        <v>3</v>
      </c>
      <c r="K720">
        <v>45882</v>
      </c>
      <c r="L720">
        <f>Tabla24[[#This Row],[Precio_Unitario]]*Tabla24[[#This Row],[Unidades_Vendidas]]</f>
        <v>137646</v>
      </c>
      <c r="M720" t="s">
        <v>16</v>
      </c>
    </row>
    <row r="721" spans="1:13" x14ac:dyDescent="0.25">
      <c r="A721" t="s">
        <v>231</v>
      </c>
      <c r="B721" t="str">
        <f>TEXT(Tabla24[[#This Row],[Fecha]],"dddd")</f>
        <v>sábado</v>
      </c>
      <c r="C721" t="str">
        <f>TEXT(Tabla24[[#This Row],[Fecha]],"mmmm")</f>
        <v>mayo</v>
      </c>
      <c r="D721" t="str">
        <f>TEXT(Tabla24[[#This Row],[Fecha]],"aaaa")</f>
        <v>2024</v>
      </c>
      <c r="E721" t="s">
        <v>42</v>
      </c>
      <c r="F721" t="s">
        <v>23</v>
      </c>
      <c r="G721" t="s">
        <v>24</v>
      </c>
      <c r="H721" t="s">
        <v>19</v>
      </c>
      <c r="I721" t="s">
        <v>26</v>
      </c>
      <c r="J721">
        <v>7</v>
      </c>
      <c r="K721">
        <v>35809</v>
      </c>
      <c r="L721">
        <f>Tabla24[[#This Row],[Precio_Unitario]]*Tabla24[[#This Row],[Unidades_Vendidas]]</f>
        <v>250663</v>
      </c>
      <c r="M721" t="s">
        <v>36</v>
      </c>
    </row>
    <row r="722" spans="1:13" x14ac:dyDescent="0.25">
      <c r="A722" t="s">
        <v>96</v>
      </c>
      <c r="B722" t="str">
        <f>TEXT(Tabla24[[#This Row],[Fecha]],"dddd")</f>
        <v>domingo</v>
      </c>
      <c r="C722" t="str">
        <f>TEXT(Tabla24[[#This Row],[Fecha]],"mmmm")</f>
        <v>agosto</v>
      </c>
      <c r="D722" t="str">
        <f>TEXT(Tabla24[[#This Row],[Fecha]],"aaaa")</f>
        <v>2024</v>
      </c>
      <c r="E722" t="s">
        <v>42</v>
      </c>
      <c r="F722" t="s">
        <v>34</v>
      </c>
      <c r="G722" t="s">
        <v>44</v>
      </c>
      <c r="H722" t="s">
        <v>35</v>
      </c>
      <c r="I722" t="s">
        <v>26</v>
      </c>
      <c r="J722">
        <v>2</v>
      </c>
      <c r="K722">
        <v>32646</v>
      </c>
      <c r="L722">
        <f>Tabla24[[#This Row],[Precio_Unitario]]*Tabla24[[#This Row],[Unidades_Vendidas]]</f>
        <v>65292</v>
      </c>
      <c r="M722" t="s">
        <v>16</v>
      </c>
    </row>
    <row r="723" spans="1:13" x14ac:dyDescent="0.25">
      <c r="A723" t="s">
        <v>343</v>
      </c>
      <c r="B723" t="str">
        <f>TEXT(Tabla24[[#This Row],[Fecha]],"dddd")</f>
        <v>lunes</v>
      </c>
      <c r="C723" t="str">
        <f>TEXT(Tabla24[[#This Row],[Fecha]],"mmmm")</f>
        <v>diciembre</v>
      </c>
      <c r="D723" t="str">
        <f>TEXT(Tabla24[[#This Row],[Fecha]],"aaaa")</f>
        <v>2024</v>
      </c>
      <c r="E723" t="s">
        <v>22</v>
      </c>
      <c r="F723" t="s">
        <v>38</v>
      </c>
      <c r="G723" t="s">
        <v>24</v>
      </c>
      <c r="H723" t="s">
        <v>35</v>
      </c>
      <c r="I723" t="s">
        <v>15</v>
      </c>
      <c r="J723">
        <v>11</v>
      </c>
      <c r="K723">
        <v>52479</v>
      </c>
      <c r="L723">
        <f>Tabla24[[#This Row],[Precio_Unitario]]*Tabla24[[#This Row],[Unidades_Vendidas]]</f>
        <v>577269</v>
      </c>
      <c r="M723" t="s">
        <v>16</v>
      </c>
    </row>
    <row r="724" spans="1:13" x14ac:dyDescent="0.25">
      <c r="A724" t="s">
        <v>180</v>
      </c>
      <c r="B724" t="str">
        <f>TEXT(Tabla24[[#This Row],[Fecha]],"dddd")</f>
        <v>viernes</v>
      </c>
      <c r="C724" t="str">
        <f>TEXT(Tabla24[[#This Row],[Fecha]],"mmmm")</f>
        <v>marzo</v>
      </c>
      <c r="D724" t="str">
        <f>TEXT(Tabla24[[#This Row],[Fecha]],"aaaa")</f>
        <v>2024</v>
      </c>
      <c r="E724" t="s">
        <v>33</v>
      </c>
      <c r="F724" t="s">
        <v>38</v>
      </c>
      <c r="G724" t="s">
        <v>48</v>
      </c>
      <c r="H724" t="s">
        <v>14</v>
      </c>
      <c r="I724" t="s">
        <v>26</v>
      </c>
      <c r="J724">
        <v>9</v>
      </c>
      <c r="K724">
        <v>41709</v>
      </c>
      <c r="L724">
        <f>Tabla24[[#This Row],[Precio_Unitario]]*Tabla24[[#This Row],[Unidades_Vendidas]]</f>
        <v>375381</v>
      </c>
      <c r="M724" t="s">
        <v>36</v>
      </c>
    </row>
    <row r="725" spans="1:13" x14ac:dyDescent="0.25">
      <c r="A725" t="s">
        <v>296</v>
      </c>
      <c r="B725" t="str">
        <f>TEXT(Tabla24[[#This Row],[Fecha]],"dddd")</f>
        <v>miércoles</v>
      </c>
      <c r="C725" t="str">
        <f>TEXT(Tabla24[[#This Row],[Fecha]],"mmmm")</f>
        <v>abril</v>
      </c>
      <c r="D725" t="str">
        <f>TEXT(Tabla24[[#This Row],[Fecha]],"aaaa")</f>
        <v>2024</v>
      </c>
      <c r="E725" t="s">
        <v>22</v>
      </c>
      <c r="F725" t="s">
        <v>38</v>
      </c>
      <c r="G725" t="s">
        <v>24</v>
      </c>
      <c r="H725" t="s">
        <v>14</v>
      </c>
      <c r="I725" t="s">
        <v>26</v>
      </c>
      <c r="J725">
        <v>2</v>
      </c>
      <c r="K725">
        <v>52450</v>
      </c>
      <c r="L725">
        <f>Tabla24[[#This Row],[Precio_Unitario]]*Tabla24[[#This Row],[Unidades_Vendidas]]</f>
        <v>104900</v>
      </c>
      <c r="M725" t="s">
        <v>20</v>
      </c>
    </row>
    <row r="726" spans="1:13" x14ac:dyDescent="0.25">
      <c r="A726" t="s">
        <v>72</v>
      </c>
      <c r="B726" t="str">
        <f>TEXT(Tabla24[[#This Row],[Fecha]],"dddd")</f>
        <v>sábado</v>
      </c>
      <c r="C726" t="str">
        <f>TEXT(Tabla24[[#This Row],[Fecha]],"mmmm")</f>
        <v>septiembre</v>
      </c>
      <c r="D726" t="str">
        <f>TEXT(Tabla24[[#This Row],[Fecha]],"aaaa")</f>
        <v>2024</v>
      </c>
      <c r="E726" t="s">
        <v>22</v>
      </c>
      <c r="F726" t="s">
        <v>23</v>
      </c>
      <c r="G726" t="s">
        <v>48</v>
      </c>
      <c r="H726" t="s">
        <v>14</v>
      </c>
      <c r="I726" t="s">
        <v>40</v>
      </c>
      <c r="J726">
        <v>18</v>
      </c>
      <c r="K726">
        <v>49417</v>
      </c>
      <c r="L726">
        <f>Tabla24[[#This Row],[Precio_Unitario]]*Tabla24[[#This Row],[Unidades_Vendidas]]</f>
        <v>889506</v>
      </c>
      <c r="M726" t="s">
        <v>16</v>
      </c>
    </row>
    <row r="727" spans="1:13" x14ac:dyDescent="0.25">
      <c r="A727" t="s">
        <v>166</v>
      </c>
      <c r="B727" t="str">
        <f>TEXT(Tabla24[[#This Row],[Fecha]],"dddd")</f>
        <v>lunes</v>
      </c>
      <c r="C727" t="str">
        <f>TEXT(Tabla24[[#This Row],[Fecha]],"mmmm")</f>
        <v>enero</v>
      </c>
      <c r="D727" t="str">
        <f>TEXT(Tabla24[[#This Row],[Fecha]],"aaaa")</f>
        <v>2024</v>
      </c>
      <c r="E727" t="s">
        <v>22</v>
      </c>
      <c r="F727" t="s">
        <v>29</v>
      </c>
      <c r="G727" t="s">
        <v>13</v>
      </c>
      <c r="H727" t="s">
        <v>25</v>
      </c>
      <c r="I727" t="s">
        <v>40</v>
      </c>
      <c r="J727">
        <v>9</v>
      </c>
      <c r="K727">
        <v>38448</v>
      </c>
      <c r="L727">
        <f>Tabla24[[#This Row],[Precio_Unitario]]*Tabla24[[#This Row],[Unidades_Vendidas]]</f>
        <v>346032</v>
      </c>
      <c r="M727" t="s">
        <v>16</v>
      </c>
    </row>
    <row r="728" spans="1:13" x14ac:dyDescent="0.25">
      <c r="A728" t="s">
        <v>259</v>
      </c>
      <c r="B728" t="str">
        <f>TEXT(Tabla24[[#This Row],[Fecha]],"dddd")</f>
        <v>lunes</v>
      </c>
      <c r="C728" t="str">
        <f>TEXT(Tabla24[[#This Row],[Fecha]],"mmmm")</f>
        <v>noviembre</v>
      </c>
      <c r="D728" t="str">
        <f>TEXT(Tabla24[[#This Row],[Fecha]],"aaaa")</f>
        <v>2024</v>
      </c>
      <c r="E728" t="s">
        <v>42</v>
      </c>
      <c r="F728" t="s">
        <v>12</v>
      </c>
      <c r="G728" t="s">
        <v>44</v>
      </c>
      <c r="H728" t="s">
        <v>25</v>
      </c>
      <c r="I728" t="s">
        <v>40</v>
      </c>
      <c r="J728">
        <v>15</v>
      </c>
      <c r="K728">
        <v>50905</v>
      </c>
      <c r="L728">
        <f>Tabla24[[#This Row],[Precio_Unitario]]*Tabla24[[#This Row],[Unidades_Vendidas]]</f>
        <v>763575</v>
      </c>
      <c r="M728" t="s">
        <v>36</v>
      </c>
    </row>
    <row r="729" spans="1:13" x14ac:dyDescent="0.25">
      <c r="A729" t="s">
        <v>284</v>
      </c>
      <c r="B729" t="str">
        <f>TEXT(Tabla24[[#This Row],[Fecha]],"dddd")</f>
        <v>martes</v>
      </c>
      <c r="C729" t="str">
        <f>TEXT(Tabla24[[#This Row],[Fecha]],"mmmm")</f>
        <v>noviembre</v>
      </c>
      <c r="D729" t="str">
        <f>TEXT(Tabla24[[#This Row],[Fecha]],"aaaa")</f>
        <v>2024</v>
      </c>
      <c r="E729" t="s">
        <v>18</v>
      </c>
      <c r="F729" t="s">
        <v>34</v>
      </c>
      <c r="G729" t="s">
        <v>13</v>
      </c>
      <c r="H729" t="s">
        <v>30</v>
      </c>
      <c r="I729" t="s">
        <v>40</v>
      </c>
      <c r="J729">
        <v>16</v>
      </c>
      <c r="K729">
        <v>31152</v>
      </c>
      <c r="L729">
        <f>Tabla24[[#This Row],[Precio_Unitario]]*Tabla24[[#This Row],[Unidades_Vendidas]]</f>
        <v>498432</v>
      </c>
      <c r="M729" t="s">
        <v>20</v>
      </c>
    </row>
    <row r="730" spans="1:13" x14ac:dyDescent="0.25">
      <c r="A730" t="s">
        <v>262</v>
      </c>
      <c r="B730" t="str">
        <f>TEXT(Tabla24[[#This Row],[Fecha]],"dddd")</f>
        <v>viernes</v>
      </c>
      <c r="C730" t="str">
        <f>TEXT(Tabla24[[#This Row],[Fecha]],"mmmm")</f>
        <v>enero</v>
      </c>
      <c r="D730" t="str">
        <f>TEXT(Tabla24[[#This Row],[Fecha]],"aaaa")</f>
        <v>2024</v>
      </c>
      <c r="E730" t="s">
        <v>33</v>
      </c>
      <c r="F730" t="s">
        <v>34</v>
      </c>
      <c r="G730" t="s">
        <v>13</v>
      </c>
      <c r="H730" t="s">
        <v>19</v>
      </c>
      <c r="I730" t="s">
        <v>15</v>
      </c>
      <c r="J730">
        <v>13</v>
      </c>
      <c r="K730">
        <v>53403</v>
      </c>
      <c r="L730">
        <f>Tabla24[[#This Row],[Precio_Unitario]]*Tabla24[[#This Row],[Unidades_Vendidas]]</f>
        <v>694239</v>
      </c>
      <c r="M730" t="s">
        <v>27</v>
      </c>
    </row>
    <row r="731" spans="1:13" x14ac:dyDescent="0.25">
      <c r="A731" t="s">
        <v>234</v>
      </c>
      <c r="B731" t="str">
        <f>TEXT(Tabla24[[#This Row],[Fecha]],"dddd")</f>
        <v>lunes</v>
      </c>
      <c r="C731" t="str">
        <f>TEXT(Tabla24[[#This Row],[Fecha]],"mmmm")</f>
        <v>febrero</v>
      </c>
      <c r="D731" t="str">
        <f>TEXT(Tabla24[[#This Row],[Fecha]],"aaaa")</f>
        <v>2024</v>
      </c>
      <c r="E731" t="s">
        <v>11</v>
      </c>
      <c r="F731" t="s">
        <v>23</v>
      </c>
      <c r="G731" t="s">
        <v>24</v>
      </c>
      <c r="H731" t="s">
        <v>25</v>
      </c>
      <c r="I731" t="s">
        <v>40</v>
      </c>
      <c r="J731">
        <v>13</v>
      </c>
      <c r="K731">
        <v>29882</v>
      </c>
      <c r="L731">
        <f>Tabla24[[#This Row],[Precio_Unitario]]*Tabla24[[#This Row],[Unidades_Vendidas]]</f>
        <v>388466</v>
      </c>
      <c r="M731" t="s">
        <v>16</v>
      </c>
    </row>
    <row r="732" spans="1:13" x14ac:dyDescent="0.25">
      <c r="A732" t="s">
        <v>344</v>
      </c>
      <c r="B732" t="str">
        <f>TEXT(Tabla24[[#This Row],[Fecha]],"dddd")</f>
        <v>miércoles</v>
      </c>
      <c r="C732" t="str">
        <f>TEXT(Tabla24[[#This Row],[Fecha]],"mmmm")</f>
        <v>diciembre</v>
      </c>
      <c r="D732" t="str">
        <f>TEXT(Tabla24[[#This Row],[Fecha]],"aaaa")</f>
        <v>2024</v>
      </c>
      <c r="E732" t="s">
        <v>22</v>
      </c>
      <c r="F732" t="s">
        <v>38</v>
      </c>
      <c r="G732" t="s">
        <v>48</v>
      </c>
      <c r="H732" t="s">
        <v>25</v>
      </c>
      <c r="I732" t="s">
        <v>26</v>
      </c>
      <c r="J732">
        <v>6</v>
      </c>
      <c r="K732">
        <v>28228</v>
      </c>
      <c r="L732">
        <f>Tabla24[[#This Row],[Precio_Unitario]]*Tabla24[[#This Row],[Unidades_Vendidas]]</f>
        <v>169368</v>
      </c>
      <c r="M732" t="s">
        <v>36</v>
      </c>
    </row>
    <row r="733" spans="1:13" x14ac:dyDescent="0.25">
      <c r="A733" t="s">
        <v>198</v>
      </c>
      <c r="B733" t="str">
        <f>TEXT(Tabla24[[#This Row],[Fecha]],"dddd")</f>
        <v>viernes</v>
      </c>
      <c r="C733" t="str">
        <f>TEXT(Tabla24[[#This Row],[Fecha]],"mmmm")</f>
        <v>marzo</v>
      </c>
      <c r="D733" t="str">
        <f>TEXT(Tabla24[[#This Row],[Fecha]],"aaaa")</f>
        <v>2024</v>
      </c>
      <c r="E733" t="s">
        <v>33</v>
      </c>
      <c r="F733" t="s">
        <v>23</v>
      </c>
      <c r="G733" t="s">
        <v>24</v>
      </c>
      <c r="H733" t="s">
        <v>14</v>
      </c>
      <c r="I733" t="s">
        <v>26</v>
      </c>
      <c r="J733">
        <v>14</v>
      </c>
      <c r="K733">
        <v>38743</v>
      </c>
      <c r="L733">
        <f>Tabla24[[#This Row],[Precio_Unitario]]*Tabla24[[#This Row],[Unidades_Vendidas]]</f>
        <v>542402</v>
      </c>
      <c r="M733" t="s">
        <v>36</v>
      </c>
    </row>
    <row r="734" spans="1:13" x14ac:dyDescent="0.25">
      <c r="A734" t="s">
        <v>167</v>
      </c>
      <c r="B734" t="str">
        <f>TEXT(Tabla24[[#This Row],[Fecha]],"dddd")</f>
        <v>domingo</v>
      </c>
      <c r="C734" t="str">
        <f>TEXT(Tabla24[[#This Row],[Fecha]],"mmmm")</f>
        <v>agosto</v>
      </c>
      <c r="D734" t="str">
        <f>TEXT(Tabla24[[#This Row],[Fecha]],"aaaa")</f>
        <v>2024</v>
      </c>
      <c r="E734" t="s">
        <v>11</v>
      </c>
      <c r="F734" t="s">
        <v>12</v>
      </c>
      <c r="G734" t="s">
        <v>24</v>
      </c>
      <c r="H734" t="s">
        <v>30</v>
      </c>
      <c r="I734" t="s">
        <v>40</v>
      </c>
      <c r="J734">
        <v>6</v>
      </c>
      <c r="K734">
        <v>55804</v>
      </c>
      <c r="L734">
        <f>Tabla24[[#This Row],[Precio_Unitario]]*Tabla24[[#This Row],[Unidades_Vendidas]]</f>
        <v>334824</v>
      </c>
      <c r="M734" t="s">
        <v>27</v>
      </c>
    </row>
    <row r="735" spans="1:13" x14ac:dyDescent="0.25">
      <c r="A735" t="s">
        <v>286</v>
      </c>
      <c r="B735" t="str">
        <f>TEXT(Tabla24[[#This Row],[Fecha]],"dddd")</f>
        <v>domingo</v>
      </c>
      <c r="C735" t="str">
        <f>TEXT(Tabla24[[#This Row],[Fecha]],"mmmm")</f>
        <v>agosto</v>
      </c>
      <c r="D735" t="str">
        <f>TEXT(Tabla24[[#This Row],[Fecha]],"aaaa")</f>
        <v>2024</v>
      </c>
      <c r="E735" t="s">
        <v>33</v>
      </c>
      <c r="F735" t="s">
        <v>29</v>
      </c>
      <c r="G735" t="s">
        <v>39</v>
      </c>
      <c r="H735" t="s">
        <v>30</v>
      </c>
      <c r="I735" t="s">
        <v>40</v>
      </c>
      <c r="J735">
        <v>8</v>
      </c>
      <c r="K735">
        <v>21109</v>
      </c>
      <c r="L735">
        <f>Tabla24[[#This Row],[Precio_Unitario]]*Tabla24[[#This Row],[Unidades_Vendidas]]</f>
        <v>168872</v>
      </c>
      <c r="M735" t="s">
        <v>36</v>
      </c>
    </row>
    <row r="736" spans="1:13" x14ac:dyDescent="0.25">
      <c r="A736" t="s">
        <v>309</v>
      </c>
      <c r="B736" t="str">
        <f>TEXT(Tabla24[[#This Row],[Fecha]],"dddd")</f>
        <v>domingo</v>
      </c>
      <c r="C736" t="str">
        <f>TEXT(Tabla24[[#This Row],[Fecha]],"mmmm")</f>
        <v>mayo</v>
      </c>
      <c r="D736" t="str">
        <f>TEXT(Tabla24[[#This Row],[Fecha]],"aaaa")</f>
        <v>2024</v>
      </c>
      <c r="E736" t="s">
        <v>22</v>
      </c>
      <c r="F736" t="s">
        <v>12</v>
      </c>
      <c r="G736" t="s">
        <v>39</v>
      </c>
      <c r="H736" t="s">
        <v>25</v>
      </c>
      <c r="I736" t="s">
        <v>40</v>
      </c>
      <c r="J736">
        <v>20</v>
      </c>
      <c r="K736">
        <v>17814</v>
      </c>
      <c r="L736">
        <f>Tabla24[[#This Row],[Precio_Unitario]]*Tabla24[[#This Row],[Unidades_Vendidas]]</f>
        <v>356280</v>
      </c>
      <c r="M736" t="s">
        <v>36</v>
      </c>
    </row>
    <row r="737" spans="1:13" x14ac:dyDescent="0.25">
      <c r="A737" t="s">
        <v>303</v>
      </c>
      <c r="B737" t="str">
        <f>TEXT(Tabla24[[#This Row],[Fecha]],"dddd")</f>
        <v>miércoles</v>
      </c>
      <c r="C737" t="str">
        <f>TEXT(Tabla24[[#This Row],[Fecha]],"mmmm")</f>
        <v>octubre</v>
      </c>
      <c r="D737" t="str">
        <f>TEXT(Tabla24[[#This Row],[Fecha]],"aaaa")</f>
        <v>2024</v>
      </c>
      <c r="E737" t="s">
        <v>11</v>
      </c>
      <c r="F737" t="s">
        <v>38</v>
      </c>
      <c r="G737" t="s">
        <v>24</v>
      </c>
      <c r="H737" t="s">
        <v>35</v>
      </c>
      <c r="I737" t="s">
        <v>40</v>
      </c>
      <c r="J737">
        <v>5</v>
      </c>
      <c r="K737">
        <v>56195</v>
      </c>
      <c r="L737">
        <f>Tabla24[[#This Row],[Precio_Unitario]]*Tabla24[[#This Row],[Unidades_Vendidas]]</f>
        <v>280975</v>
      </c>
      <c r="M737" t="s">
        <v>20</v>
      </c>
    </row>
    <row r="738" spans="1:13" x14ac:dyDescent="0.25">
      <c r="A738" t="s">
        <v>162</v>
      </c>
      <c r="B738" t="str">
        <f>TEXT(Tabla24[[#This Row],[Fecha]],"dddd")</f>
        <v>viernes</v>
      </c>
      <c r="C738" t="str">
        <f>TEXT(Tabla24[[#This Row],[Fecha]],"mmmm")</f>
        <v>mayo</v>
      </c>
      <c r="D738" t="str">
        <f>TEXT(Tabla24[[#This Row],[Fecha]],"aaaa")</f>
        <v>2024</v>
      </c>
      <c r="E738" t="s">
        <v>42</v>
      </c>
      <c r="F738" t="s">
        <v>38</v>
      </c>
      <c r="G738" t="s">
        <v>39</v>
      </c>
      <c r="H738" t="s">
        <v>30</v>
      </c>
      <c r="I738" t="s">
        <v>40</v>
      </c>
      <c r="J738">
        <v>11</v>
      </c>
      <c r="K738">
        <v>59665</v>
      </c>
      <c r="L738">
        <f>Tabla24[[#This Row],[Precio_Unitario]]*Tabla24[[#This Row],[Unidades_Vendidas]]</f>
        <v>656315</v>
      </c>
      <c r="M738" t="s">
        <v>20</v>
      </c>
    </row>
    <row r="739" spans="1:13" x14ac:dyDescent="0.25">
      <c r="A739" t="s">
        <v>110</v>
      </c>
      <c r="B739" t="str">
        <f>TEXT(Tabla24[[#This Row],[Fecha]],"dddd")</f>
        <v>martes</v>
      </c>
      <c r="C739" t="str">
        <f>TEXT(Tabla24[[#This Row],[Fecha]],"mmmm")</f>
        <v>enero</v>
      </c>
      <c r="D739" t="str">
        <f>TEXT(Tabla24[[#This Row],[Fecha]],"aaaa")</f>
        <v>2024</v>
      </c>
      <c r="E739" t="s">
        <v>42</v>
      </c>
      <c r="F739" t="s">
        <v>29</v>
      </c>
      <c r="G739" t="s">
        <v>13</v>
      </c>
      <c r="H739" t="s">
        <v>35</v>
      </c>
      <c r="I739" t="s">
        <v>26</v>
      </c>
      <c r="J739">
        <v>17</v>
      </c>
      <c r="K739">
        <v>18874</v>
      </c>
      <c r="L739">
        <f>Tabla24[[#This Row],[Precio_Unitario]]*Tabla24[[#This Row],[Unidades_Vendidas]]</f>
        <v>320858</v>
      </c>
      <c r="M739" t="s">
        <v>20</v>
      </c>
    </row>
    <row r="740" spans="1:13" x14ac:dyDescent="0.25">
      <c r="A740" t="s">
        <v>249</v>
      </c>
      <c r="B740" t="str">
        <f>TEXT(Tabla24[[#This Row],[Fecha]],"dddd")</f>
        <v>sábado</v>
      </c>
      <c r="C740" t="str">
        <f>TEXT(Tabla24[[#This Row],[Fecha]],"mmmm")</f>
        <v>mayo</v>
      </c>
      <c r="D740" t="str">
        <f>TEXT(Tabla24[[#This Row],[Fecha]],"aaaa")</f>
        <v>2024</v>
      </c>
      <c r="E740" t="s">
        <v>33</v>
      </c>
      <c r="F740" t="s">
        <v>34</v>
      </c>
      <c r="G740" t="s">
        <v>44</v>
      </c>
      <c r="H740" t="s">
        <v>25</v>
      </c>
      <c r="I740" t="s">
        <v>40</v>
      </c>
      <c r="J740">
        <v>10</v>
      </c>
      <c r="K740">
        <v>35392</v>
      </c>
      <c r="L740">
        <f>Tabla24[[#This Row],[Precio_Unitario]]*Tabla24[[#This Row],[Unidades_Vendidas]]</f>
        <v>353920</v>
      </c>
      <c r="M740" t="s">
        <v>27</v>
      </c>
    </row>
    <row r="741" spans="1:13" x14ac:dyDescent="0.25">
      <c r="A741" t="s">
        <v>258</v>
      </c>
      <c r="B741" t="str">
        <f>TEXT(Tabla24[[#This Row],[Fecha]],"dddd")</f>
        <v>martes</v>
      </c>
      <c r="C741" t="str">
        <f>TEXT(Tabla24[[#This Row],[Fecha]],"mmmm")</f>
        <v>marzo</v>
      </c>
      <c r="D741" t="str">
        <f>TEXT(Tabla24[[#This Row],[Fecha]],"aaaa")</f>
        <v>2024</v>
      </c>
      <c r="E741" t="s">
        <v>33</v>
      </c>
      <c r="F741" t="s">
        <v>34</v>
      </c>
      <c r="G741" t="s">
        <v>24</v>
      </c>
      <c r="H741" t="s">
        <v>30</v>
      </c>
      <c r="I741" t="s">
        <v>26</v>
      </c>
      <c r="J741">
        <v>4</v>
      </c>
      <c r="K741">
        <v>54621</v>
      </c>
      <c r="L741">
        <f>Tabla24[[#This Row],[Precio_Unitario]]*Tabla24[[#This Row],[Unidades_Vendidas]]</f>
        <v>218484</v>
      </c>
      <c r="M741" t="s">
        <v>20</v>
      </c>
    </row>
    <row r="742" spans="1:13" x14ac:dyDescent="0.25">
      <c r="A742" t="s">
        <v>119</v>
      </c>
      <c r="B742" t="str">
        <f>TEXT(Tabla24[[#This Row],[Fecha]],"dddd")</f>
        <v>miércoles</v>
      </c>
      <c r="C742" t="str">
        <f>TEXT(Tabla24[[#This Row],[Fecha]],"mmmm")</f>
        <v>julio</v>
      </c>
      <c r="D742" t="str">
        <f>TEXT(Tabla24[[#This Row],[Fecha]],"aaaa")</f>
        <v>2024</v>
      </c>
      <c r="E742" t="s">
        <v>33</v>
      </c>
      <c r="F742" t="s">
        <v>12</v>
      </c>
      <c r="G742" t="s">
        <v>13</v>
      </c>
      <c r="H742" t="s">
        <v>14</v>
      </c>
      <c r="I742" t="s">
        <v>15</v>
      </c>
      <c r="J742">
        <v>2</v>
      </c>
      <c r="K742">
        <v>52934</v>
      </c>
      <c r="L742">
        <f>Tabla24[[#This Row],[Precio_Unitario]]*Tabla24[[#This Row],[Unidades_Vendidas]]</f>
        <v>105868</v>
      </c>
      <c r="M742" t="s">
        <v>27</v>
      </c>
    </row>
    <row r="743" spans="1:13" x14ac:dyDescent="0.25">
      <c r="A743" t="s">
        <v>210</v>
      </c>
      <c r="B743" t="str">
        <f>TEXT(Tabla24[[#This Row],[Fecha]],"dddd")</f>
        <v>sábado</v>
      </c>
      <c r="C743" t="str">
        <f>TEXT(Tabla24[[#This Row],[Fecha]],"mmmm")</f>
        <v>agosto</v>
      </c>
      <c r="D743" t="str">
        <f>TEXT(Tabla24[[#This Row],[Fecha]],"aaaa")</f>
        <v>2024</v>
      </c>
      <c r="E743" t="s">
        <v>18</v>
      </c>
      <c r="F743" t="s">
        <v>12</v>
      </c>
      <c r="G743" t="s">
        <v>13</v>
      </c>
      <c r="H743" t="s">
        <v>14</v>
      </c>
      <c r="I743" t="s">
        <v>15</v>
      </c>
      <c r="J743">
        <v>20</v>
      </c>
      <c r="K743">
        <v>34520</v>
      </c>
      <c r="L743">
        <f>Tabla24[[#This Row],[Precio_Unitario]]*Tabla24[[#This Row],[Unidades_Vendidas]]</f>
        <v>690400</v>
      </c>
      <c r="M743" t="s">
        <v>20</v>
      </c>
    </row>
    <row r="744" spans="1:13" x14ac:dyDescent="0.25">
      <c r="A744" t="s">
        <v>345</v>
      </c>
      <c r="B744" t="str">
        <f>TEXT(Tabla24[[#This Row],[Fecha]],"dddd")</f>
        <v>domingo</v>
      </c>
      <c r="C744" t="str">
        <f>TEXT(Tabla24[[#This Row],[Fecha]],"mmmm")</f>
        <v>septiembre</v>
      </c>
      <c r="D744" t="str">
        <f>TEXT(Tabla24[[#This Row],[Fecha]],"aaaa")</f>
        <v>2024</v>
      </c>
      <c r="E744" t="s">
        <v>42</v>
      </c>
      <c r="F744" t="s">
        <v>23</v>
      </c>
      <c r="G744" t="s">
        <v>48</v>
      </c>
      <c r="H744" t="s">
        <v>19</v>
      </c>
      <c r="I744" t="s">
        <v>26</v>
      </c>
      <c r="J744">
        <v>3</v>
      </c>
      <c r="K744">
        <v>18869</v>
      </c>
      <c r="L744">
        <f>Tabla24[[#This Row],[Precio_Unitario]]*Tabla24[[#This Row],[Unidades_Vendidas]]</f>
        <v>56607</v>
      </c>
      <c r="M744" t="s">
        <v>36</v>
      </c>
    </row>
    <row r="745" spans="1:13" x14ac:dyDescent="0.25">
      <c r="A745" t="s">
        <v>259</v>
      </c>
      <c r="B745" t="str">
        <f>TEXT(Tabla24[[#This Row],[Fecha]],"dddd")</f>
        <v>lunes</v>
      </c>
      <c r="C745" t="str">
        <f>TEXT(Tabla24[[#This Row],[Fecha]],"mmmm")</f>
        <v>noviembre</v>
      </c>
      <c r="D745" t="str">
        <f>TEXT(Tabla24[[#This Row],[Fecha]],"aaaa")</f>
        <v>2024</v>
      </c>
      <c r="E745" t="s">
        <v>42</v>
      </c>
      <c r="F745" t="s">
        <v>12</v>
      </c>
      <c r="G745" t="s">
        <v>39</v>
      </c>
      <c r="H745" t="s">
        <v>14</v>
      </c>
      <c r="I745" t="s">
        <v>15</v>
      </c>
      <c r="J745">
        <v>3</v>
      </c>
      <c r="K745">
        <v>41923</v>
      </c>
      <c r="L745">
        <f>Tabla24[[#This Row],[Precio_Unitario]]*Tabla24[[#This Row],[Unidades_Vendidas]]</f>
        <v>125769</v>
      </c>
      <c r="M745" t="s">
        <v>20</v>
      </c>
    </row>
    <row r="746" spans="1:13" x14ac:dyDescent="0.25">
      <c r="A746" t="s">
        <v>99</v>
      </c>
      <c r="B746" t="str">
        <f>TEXT(Tabla24[[#This Row],[Fecha]],"dddd")</f>
        <v>martes</v>
      </c>
      <c r="C746" t="str">
        <f>TEXT(Tabla24[[#This Row],[Fecha]],"mmmm")</f>
        <v>abril</v>
      </c>
      <c r="D746" t="str">
        <f>TEXT(Tabla24[[#This Row],[Fecha]],"aaaa")</f>
        <v>2024</v>
      </c>
      <c r="E746" t="s">
        <v>42</v>
      </c>
      <c r="F746" t="s">
        <v>23</v>
      </c>
      <c r="G746" t="s">
        <v>13</v>
      </c>
      <c r="H746" t="s">
        <v>30</v>
      </c>
      <c r="I746" t="s">
        <v>15</v>
      </c>
      <c r="J746">
        <v>20</v>
      </c>
      <c r="K746">
        <v>20646</v>
      </c>
      <c r="L746">
        <f>Tabla24[[#This Row],[Precio_Unitario]]*Tabla24[[#This Row],[Unidades_Vendidas]]</f>
        <v>412920</v>
      </c>
      <c r="M746" t="s">
        <v>16</v>
      </c>
    </row>
    <row r="747" spans="1:13" x14ac:dyDescent="0.25">
      <c r="A747" t="s">
        <v>128</v>
      </c>
      <c r="B747" t="str">
        <f>TEXT(Tabla24[[#This Row],[Fecha]],"dddd")</f>
        <v>miércoles</v>
      </c>
      <c r="C747" t="str">
        <f>TEXT(Tabla24[[#This Row],[Fecha]],"mmmm")</f>
        <v>febrero</v>
      </c>
      <c r="D747" t="str">
        <f>TEXT(Tabla24[[#This Row],[Fecha]],"aaaa")</f>
        <v>2024</v>
      </c>
      <c r="E747" t="s">
        <v>42</v>
      </c>
      <c r="F747" t="s">
        <v>29</v>
      </c>
      <c r="G747" t="s">
        <v>48</v>
      </c>
      <c r="H747" t="s">
        <v>19</v>
      </c>
      <c r="I747" t="s">
        <v>26</v>
      </c>
      <c r="J747">
        <v>12</v>
      </c>
      <c r="K747">
        <v>55078</v>
      </c>
      <c r="L747">
        <f>Tabla24[[#This Row],[Precio_Unitario]]*Tabla24[[#This Row],[Unidades_Vendidas]]</f>
        <v>660936</v>
      </c>
      <c r="M747" t="s">
        <v>20</v>
      </c>
    </row>
    <row r="748" spans="1:13" x14ac:dyDescent="0.25">
      <c r="A748" t="s">
        <v>224</v>
      </c>
      <c r="B748" t="str">
        <f>TEXT(Tabla24[[#This Row],[Fecha]],"dddd")</f>
        <v>lunes</v>
      </c>
      <c r="C748" t="str">
        <f>TEXT(Tabla24[[#This Row],[Fecha]],"mmmm")</f>
        <v>agosto</v>
      </c>
      <c r="D748" t="str">
        <f>TEXT(Tabla24[[#This Row],[Fecha]],"aaaa")</f>
        <v>2024</v>
      </c>
      <c r="E748" t="s">
        <v>22</v>
      </c>
      <c r="F748" t="s">
        <v>29</v>
      </c>
      <c r="G748" t="s">
        <v>48</v>
      </c>
      <c r="H748" t="s">
        <v>14</v>
      </c>
      <c r="I748" t="s">
        <v>26</v>
      </c>
      <c r="J748">
        <v>3</v>
      </c>
      <c r="K748">
        <v>23853</v>
      </c>
      <c r="L748">
        <f>Tabla24[[#This Row],[Precio_Unitario]]*Tabla24[[#This Row],[Unidades_Vendidas]]</f>
        <v>71559</v>
      </c>
      <c r="M748" t="s">
        <v>16</v>
      </c>
    </row>
    <row r="749" spans="1:13" x14ac:dyDescent="0.25">
      <c r="A749" t="s">
        <v>153</v>
      </c>
      <c r="B749" t="str">
        <f>TEXT(Tabla24[[#This Row],[Fecha]],"dddd")</f>
        <v>lunes</v>
      </c>
      <c r="C749" t="str">
        <f>TEXT(Tabla24[[#This Row],[Fecha]],"mmmm")</f>
        <v>enero</v>
      </c>
      <c r="D749" t="str">
        <f>TEXT(Tabla24[[#This Row],[Fecha]],"aaaa")</f>
        <v>2024</v>
      </c>
      <c r="E749" t="s">
        <v>33</v>
      </c>
      <c r="F749" t="s">
        <v>29</v>
      </c>
      <c r="G749" t="s">
        <v>48</v>
      </c>
      <c r="H749" t="s">
        <v>25</v>
      </c>
      <c r="I749" t="s">
        <v>40</v>
      </c>
      <c r="J749">
        <v>9</v>
      </c>
      <c r="K749">
        <v>50206</v>
      </c>
      <c r="L749">
        <f>Tabla24[[#This Row],[Precio_Unitario]]*Tabla24[[#This Row],[Unidades_Vendidas]]</f>
        <v>451854</v>
      </c>
      <c r="M749" t="s">
        <v>16</v>
      </c>
    </row>
    <row r="750" spans="1:13" x14ac:dyDescent="0.25">
      <c r="A750" t="s">
        <v>183</v>
      </c>
      <c r="B750" t="str">
        <f>TEXT(Tabla24[[#This Row],[Fecha]],"dddd")</f>
        <v>sábado</v>
      </c>
      <c r="C750" t="str">
        <f>TEXT(Tabla24[[#This Row],[Fecha]],"mmmm")</f>
        <v>noviembre</v>
      </c>
      <c r="D750" t="str">
        <f>TEXT(Tabla24[[#This Row],[Fecha]],"aaaa")</f>
        <v>2024</v>
      </c>
      <c r="E750" t="s">
        <v>22</v>
      </c>
      <c r="F750" t="s">
        <v>23</v>
      </c>
      <c r="G750" t="s">
        <v>39</v>
      </c>
      <c r="H750" t="s">
        <v>35</v>
      </c>
      <c r="I750" t="s">
        <v>40</v>
      </c>
      <c r="J750">
        <v>17</v>
      </c>
      <c r="K750">
        <v>43244</v>
      </c>
      <c r="L750">
        <f>Tabla24[[#This Row],[Precio_Unitario]]*Tabla24[[#This Row],[Unidades_Vendidas]]</f>
        <v>735148</v>
      </c>
      <c r="M750" t="s">
        <v>16</v>
      </c>
    </row>
    <row r="751" spans="1:13" x14ac:dyDescent="0.25">
      <c r="A751" t="s">
        <v>77</v>
      </c>
      <c r="B751" t="str">
        <f>TEXT(Tabla24[[#This Row],[Fecha]],"dddd")</f>
        <v>jueves</v>
      </c>
      <c r="C751" t="str">
        <f>TEXT(Tabla24[[#This Row],[Fecha]],"mmmm")</f>
        <v>junio</v>
      </c>
      <c r="D751" t="str">
        <f>TEXT(Tabla24[[#This Row],[Fecha]],"aaaa")</f>
        <v>2024</v>
      </c>
      <c r="E751" t="s">
        <v>11</v>
      </c>
      <c r="F751" t="s">
        <v>34</v>
      </c>
      <c r="G751" t="s">
        <v>44</v>
      </c>
      <c r="H751" t="s">
        <v>35</v>
      </c>
      <c r="I751" t="s">
        <v>15</v>
      </c>
      <c r="J751">
        <v>1</v>
      </c>
      <c r="K751">
        <v>23327</v>
      </c>
      <c r="L751">
        <f>Tabla24[[#This Row],[Precio_Unitario]]*Tabla24[[#This Row],[Unidades_Vendidas]]</f>
        <v>23327</v>
      </c>
      <c r="M751" t="s">
        <v>36</v>
      </c>
    </row>
    <row r="752" spans="1:13" x14ac:dyDescent="0.25">
      <c r="A752" t="s">
        <v>257</v>
      </c>
      <c r="B752" t="str">
        <f>TEXT(Tabla24[[#This Row],[Fecha]],"dddd")</f>
        <v>viernes</v>
      </c>
      <c r="C752" t="str">
        <f>TEXT(Tabla24[[#This Row],[Fecha]],"mmmm")</f>
        <v>marzo</v>
      </c>
      <c r="D752" t="str">
        <f>TEXT(Tabla24[[#This Row],[Fecha]],"aaaa")</f>
        <v>2024</v>
      </c>
      <c r="E752" t="s">
        <v>22</v>
      </c>
      <c r="F752" t="s">
        <v>29</v>
      </c>
      <c r="G752" t="s">
        <v>24</v>
      </c>
      <c r="H752" t="s">
        <v>35</v>
      </c>
      <c r="I752" t="s">
        <v>26</v>
      </c>
      <c r="J752">
        <v>11</v>
      </c>
      <c r="K752">
        <v>58384</v>
      </c>
      <c r="L752">
        <f>Tabla24[[#This Row],[Precio_Unitario]]*Tabla24[[#This Row],[Unidades_Vendidas]]</f>
        <v>642224</v>
      </c>
      <c r="M752" t="s">
        <v>16</v>
      </c>
    </row>
    <row r="753" spans="1:13" x14ac:dyDescent="0.25">
      <c r="A753" t="s">
        <v>85</v>
      </c>
      <c r="B753" t="str">
        <f>TEXT(Tabla24[[#This Row],[Fecha]],"dddd")</f>
        <v>sábado</v>
      </c>
      <c r="C753" t="str">
        <f>TEXT(Tabla24[[#This Row],[Fecha]],"mmmm")</f>
        <v>julio</v>
      </c>
      <c r="D753" t="str">
        <f>TEXT(Tabla24[[#This Row],[Fecha]],"aaaa")</f>
        <v>2024</v>
      </c>
      <c r="E753" t="s">
        <v>42</v>
      </c>
      <c r="F753" t="s">
        <v>29</v>
      </c>
      <c r="G753" t="s">
        <v>13</v>
      </c>
      <c r="H753" t="s">
        <v>25</v>
      </c>
      <c r="I753" t="s">
        <v>26</v>
      </c>
      <c r="J753">
        <v>4</v>
      </c>
      <c r="K753">
        <v>19540</v>
      </c>
      <c r="L753">
        <f>Tabla24[[#This Row],[Precio_Unitario]]*Tabla24[[#This Row],[Unidades_Vendidas]]</f>
        <v>78160</v>
      </c>
      <c r="M753" t="s">
        <v>36</v>
      </c>
    </row>
    <row r="754" spans="1:13" x14ac:dyDescent="0.25">
      <c r="A754" t="s">
        <v>65</v>
      </c>
      <c r="B754" t="str">
        <f>TEXT(Tabla24[[#This Row],[Fecha]],"dddd")</f>
        <v>viernes</v>
      </c>
      <c r="C754" t="str">
        <f>TEXT(Tabla24[[#This Row],[Fecha]],"mmmm")</f>
        <v>abril</v>
      </c>
      <c r="D754" t="str">
        <f>TEXT(Tabla24[[#This Row],[Fecha]],"aaaa")</f>
        <v>2024</v>
      </c>
      <c r="E754" t="s">
        <v>42</v>
      </c>
      <c r="F754" t="s">
        <v>23</v>
      </c>
      <c r="G754" t="s">
        <v>48</v>
      </c>
      <c r="H754" t="s">
        <v>30</v>
      </c>
      <c r="I754" t="s">
        <v>40</v>
      </c>
      <c r="J754">
        <v>4</v>
      </c>
      <c r="K754">
        <v>36849</v>
      </c>
      <c r="L754">
        <f>Tabla24[[#This Row],[Precio_Unitario]]*Tabla24[[#This Row],[Unidades_Vendidas]]</f>
        <v>147396</v>
      </c>
      <c r="M754" t="s">
        <v>20</v>
      </c>
    </row>
    <row r="755" spans="1:13" x14ac:dyDescent="0.25">
      <c r="A755" t="s">
        <v>306</v>
      </c>
      <c r="B755" t="str">
        <f>TEXT(Tabla24[[#This Row],[Fecha]],"dddd")</f>
        <v>domingo</v>
      </c>
      <c r="C755" t="str">
        <f>TEXT(Tabla24[[#This Row],[Fecha]],"mmmm")</f>
        <v>junio</v>
      </c>
      <c r="D755" t="str">
        <f>TEXT(Tabla24[[#This Row],[Fecha]],"aaaa")</f>
        <v>2024</v>
      </c>
      <c r="E755" t="s">
        <v>42</v>
      </c>
      <c r="F755" t="s">
        <v>23</v>
      </c>
      <c r="G755" t="s">
        <v>44</v>
      </c>
      <c r="H755" t="s">
        <v>30</v>
      </c>
      <c r="I755" t="s">
        <v>40</v>
      </c>
      <c r="J755">
        <v>3</v>
      </c>
      <c r="K755">
        <v>25974</v>
      </c>
      <c r="L755">
        <f>Tabla24[[#This Row],[Precio_Unitario]]*Tabla24[[#This Row],[Unidades_Vendidas]]</f>
        <v>77922</v>
      </c>
      <c r="M755" t="s">
        <v>16</v>
      </c>
    </row>
    <row r="756" spans="1:13" x14ac:dyDescent="0.25">
      <c r="A756" t="s">
        <v>346</v>
      </c>
      <c r="B756" t="str">
        <f>TEXT(Tabla24[[#This Row],[Fecha]],"dddd")</f>
        <v>domingo</v>
      </c>
      <c r="C756" t="str">
        <f>TEXT(Tabla24[[#This Row],[Fecha]],"mmmm")</f>
        <v>septiembre</v>
      </c>
      <c r="D756" t="str">
        <f>TEXT(Tabla24[[#This Row],[Fecha]],"aaaa")</f>
        <v>2024</v>
      </c>
      <c r="E756" t="s">
        <v>18</v>
      </c>
      <c r="F756" t="s">
        <v>34</v>
      </c>
      <c r="G756" t="s">
        <v>13</v>
      </c>
      <c r="H756" t="s">
        <v>19</v>
      </c>
      <c r="I756" t="s">
        <v>15</v>
      </c>
      <c r="J756">
        <v>7</v>
      </c>
      <c r="K756">
        <v>18274</v>
      </c>
      <c r="L756">
        <f>Tabla24[[#This Row],[Precio_Unitario]]*Tabla24[[#This Row],[Unidades_Vendidas]]</f>
        <v>127918</v>
      </c>
      <c r="M756" t="s">
        <v>27</v>
      </c>
    </row>
    <row r="757" spans="1:13" x14ac:dyDescent="0.25">
      <c r="A757" t="s">
        <v>336</v>
      </c>
      <c r="B757" t="str">
        <f>TEXT(Tabla24[[#This Row],[Fecha]],"dddd")</f>
        <v>jueves</v>
      </c>
      <c r="C757" t="str">
        <f>TEXT(Tabla24[[#This Row],[Fecha]],"mmmm")</f>
        <v>julio</v>
      </c>
      <c r="D757" t="str">
        <f>TEXT(Tabla24[[#This Row],[Fecha]],"aaaa")</f>
        <v>2024</v>
      </c>
      <c r="E757" t="s">
        <v>33</v>
      </c>
      <c r="F757" t="s">
        <v>29</v>
      </c>
      <c r="G757" t="s">
        <v>24</v>
      </c>
      <c r="H757" t="s">
        <v>14</v>
      </c>
      <c r="I757" t="s">
        <v>26</v>
      </c>
      <c r="J757">
        <v>10</v>
      </c>
      <c r="K757">
        <v>29155</v>
      </c>
      <c r="L757">
        <f>Tabla24[[#This Row],[Precio_Unitario]]*Tabla24[[#This Row],[Unidades_Vendidas]]</f>
        <v>291550</v>
      </c>
      <c r="M757" t="s">
        <v>27</v>
      </c>
    </row>
    <row r="758" spans="1:13" x14ac:dyDescent="0.25">
      <c r="A758" t="s">
        <v>339</v>
      </c>
      <c r="B758" t="str">
        <f>TEXT(Tabla24[[#This Row],[Fecha]],"dddd")</f>
        <v>martes</v>
      </c>
      <c r="C758" t="str">
        <f>TEXT(Tabla24[[#This Row],[Fecha]],"mmmm")</f>
        <v>mayo</v>
      </c>
      <c r="D758" t="str">
        <f>TEXT(Tabla24[[#This Row],[Fecha]],"aaaa")</f>
        <v>2024</v>
      </c>
      <c r="E758" t="s">
        <v>18</v>
      </c>
      <c r="F758" t="s">
        <v>38</v>
      </c>
      <c r="G758" t="s">
        <v>48</v>
      </c>
      <c r="H758" t="s">
        <v>14</v>
      </c>
      <c r="I758" t="s">
        <v>15</v>
      </c>
      <c r="J758">
        <v>8</v>
      </c>
      <c r="K758">
        <v>47471</v>
      </c>
      <c r="L758">
        <f>Tabla24[[#This Row],[Precio_Unitario]]*Tabla24[[#This Row],[Unidades_Vendidas]]</f>
        <v>379768</v>
      </c>
      <c r="M758" t="s">
        <v>20</v>
      </c>
    </row>
    <row r="759" spans="1:13" x14ac:dyDescent="0.25">
      <c r="A759" t="s">
        <v>81</v>
      </c>
      <c r="B759" t="str">
        <f>TEXT(Tabla24[[#This Row],[Fecha]],"dddd")</f>
        <v>sábado</v>
      </c>
      <c r="C759" t="str">
        <f>TEXT(Tabla24[[#This Row],[Fecha]],"mmmm")</f>
        <v>diciembre</v>
      </c>
      <c r="D759" t="str">
        <f>TEXT(Tabla24[[#This Row],[Fecha]],"aaaa")</f>
        <v>2024</v>
      </c>
      <c r="E759" t="s">
        <v>22</v>
      </c>
      <c r="F759" t="s">
        <v>29</v>
      </c>
      <c r="G759" t="s">
        <v>39</v>
      </c>
      <c r="H759" t="s">
        <v>14</v>
      </c>
      <c r="I759" t="s">
        <v>26</v>
      </c>
      <c r="J759">
        <v>6</v>
      </c>
      <c r="K759">
        <v>40720</v>
      </c>
      <c r="L759">
        <f>Tabla24[[#This Row],[Precio_Unitario]]*Tabla24[[#This Row],[Unidades_Vendidas]]</f>
        <v>244320</v>
      </c>
      <c r="M759" t="s">
        <v>36</v>
      </c>
    </row>
    <row r="760" spans="1:13" x14ac:dyDescent="0.25">
      <c r="A760" t="s">
        <v>73</v>
      </c>
      <c r="B760" t="str">
        <f>TEXT(Tabla24[[#This Row],[Fecha]],"dddd")</f>
        <v>jueves</v>
      </c>
      <c r="C760" t="str">
        <f>TEXT(Tabla24[[#This Row],[Fecha]],"mmmm")</f>
        <v>febrero</v>
      </c>
      <c r="D760" t="str">
        <f>TEXT(Tabla24[[#This Row],[Fecha]],"aaaa")</f>
        <v>2024</v>
      </c>
      <c r="E760" t="s">
        <v>42</v>
      </c>
      <c r="F760" t="s">
        <v>23</v>
      </c>
      <c r="G760" t="s">
        <v>44</v>
      </c>
      <c r="H760" t="s">
        <v>25</v>
      </c>
      <c r="I760" t="s">
        <v>15</v>
      </c>
      <c r="J760">
        <v>19</v>
      </c>
      <c r="K760">
        <v>55963</v>
      </c>
      <c r="L760">
        <f>Tabla24[[#This Row],[Precio_Unitario]]*Tabla24[[#This Row],[Unidades_Vendidas]]</f>
        <v>1063297</v>
      </c>
      <c r="M760" t="s">
        <v>16</v>
      </c>
    </row>
    <row r="761" spans="1:13" x14ac:dyDescent="0.25">
      <c r="A761" t="s">
        <v>110</v>
      </c>
      <c r="B761" t="str">
        <f>TEXT(Tabla24[[#This Row],[Fecha]],"dddd")</f>
        <v>martes</v>
      </c>
      <c r="C761" t="str">
        <f>TEXT(Tabla24[[#This Row],[Fecha]],"mmmm")</f>
        <v>enero</v>
      </c>
      <c r="D761" t="str">
        <f>TEXT(Tabla24[[#This Row],[Fecha]],"aaaa")</f>
        <v>2024</v>
      </c>
      <c r="E761" t="s">
        <v>18</v>
      </c>
      <c r="F761" t="s">
        <v>23</v>
      </c>
      <c r="G761" t="s">
        <v>13</v>
      </c>
      <c r="H761" t="s">
        <v>19</v>
      </c>
      <c r="I761" t="s">
        <v>26</v>
      </c>
      <c r="J761">
        <v>7</v>
      </c>
      <c r="K761">
        <v>34621</v>
      </c>
      <c r="L761">
        <f>Tabla24[[#This Row],[Precio_Unitario]]*Tabla24[[#This Row],[Unidades_Vendidas]]</f>
        <v>242347</v>
      </c>
      <c r="M761" t="s">
        <v>16</v>
      </c>
    </row>
    <row r="762" spans="1:13" x14ac:dyDescent="0.25">
      <c r="A762" t="s">
        <v>54</v>
      </c>
      <c r="B762" t="str">
        <f>TEXT(Tabla24[[#This Row],[Fecha]],"dddd")</f>
        <v>sábado</v>
      </c>
      <c r="C762" t="str">
        <f>TEXT(Tabla24[[#This Row],[Fecha]],"mmmm")</f>
        <v>marzo</v>
      </c>
      <c r="D762" t="str">
        <f>TEXT(Tabla24[[#This Row],[Fecha]],"aaaa")</f>
        <v>2024</v>
      </c>
      <c r="E762" t="s">
        <v>42</v>
      </c>
      <c r="F762" t="s">
        <v>23</v>
      </c>
      <c r="G762" t="s">
        <v>39</v>
      </c>
      <c r="H762" t="s">
        <v>19</v>
      </c>
      <c r="I762" t="s">
        <v>15</v>
      </c>
      <c r="J762">
        <v>15</v>
      </c>
      <c r="K762">
        <v>58096</v>
      </c>
      <c r="L762">
        <f>Tabla24[[#This Row],[Precio_Unitario]]*Tabla24[[#This Row],[Unidades_Vendidas]]</f>
        <v>871440</v>
      </c>
      <c r="M762" t="s">
        <v>27</v>
      </c>
    </row>
    <row r="763" spans="1:13" x14ac:dyDescent="0.25">
      <c r="A763" t="s">
        <v>347</v>
      </c>
      <c r="B763" t="str">
        <f>TEXT(Tabla24[[#This Row],[Fecha]],"dddd")</f>
        <v>viernes</v>
      </c>
      <c r="C763" t="str">
        <f>TEXT(Tabla24[[#This Row],[Fecha]],"mmmm")</f>
        <v>julio</v>
      </c>
      <c r="D763" t="str">
        <f>TEXT(Tabla24[[#This Row],[Fecha]],"aaaa")</f>
        <v>2024</v>
      </c>
      <c r="E763" t="s">
        <v>33</v>
      </c>
      <c r="F763" t="s">
        <v>38</v>
      </c>
      <c r="G763" t="s">
        <v>13</v>
      </c>
      <c r="H763" t="s">
        <v>14</v>
      </c>
      <c r="I763" t="s">
        <v>15</v>
      </c>
      <c r="J763">
        <v>6</v>
      </c>
      <c r="K763">
        <v>31780</v>
      </c>
      <c r="L763">
        <f>Tabla24[[#This Row],[Precio_Unitario]]*Tabla24[[#This Row],[Unidades_Vendidas]]</f>
        <v>190680</v>
      </c>
      <c r="M763" t="s">
        <v>20</v>
      </c>
    </row>
    <row r="764" spans="1:13" x14ac:dyDescent="0.25">
      <c r="A764" t="s">
        <v>348</v>
      </c>
      <c r="B764" t="str">
        <f>TEXT(Tabla24[[#This Row],[Fecha]],"dddd")</f>
        <v>lunes</v>
      </c>
      <c r="C764" t="str">
        <f>TEXT(Tabla24[[#This Row],[Fecha]],"mmmm")</f>
        <v>julio</v>
      </c>
      <c r="D764" t="str">
        <f>TEXT(Tabla24[[#This Row],[Fecha]],"aaaa")</f>
        <v>2024</v>
      </c>
      <c r="E764" t="s">
        <v>11</v>
      </c>
      <c r="F764" t="s">
        <v>23</v>
      </c>
      <c r="G764" t="s">
        <v>48</v>
      </c>
      <c r="H764" t="s">
        <v>14</v>
      </c>
      <c r="I764" t="s">
        <v>40</v>
      </c>
      <c r="J764">
        <v>15</v>
      </c>
      <c r="K764">
        <v>35441</v>
      </c>
      <c r="L764">
        <f>Tabla24[[#This Row],[Precio_Unitario]]*Tabla24[[#This Row],[Unidades_Vendidas]]</f>
        <v>531615</v>
      </c>
      <c r="M764" t="s">
        <v>36</v>
      </c>
    </row>
    <row r="765" spans="1:13" x14ac:dyDescent="0.25">
      <c r="A765" t="s">
        <v>184</v>
      </c>
      <c r="B765" t="str">
        <f>TEXT(Tabla24[[#This Row],[Fecha]],"dddd")</f>
        <v>domingo</v>
      </c>
      <c r="C765" t="str">
        <f>TEXT(Tabla24[[#This Row],[Fecha]],"mmmm")</f>
        <v>septiembre</v>
      </c>
      <c r="D765" t="str">
        <f>TEXT(Tabla24[[#This Row],[Fecha]],"aaaa")</f>
        <v>2024</v>
      </c>
      <c r="E765" t="s">
        <v>42</v>
      </c>
      <c r="F765" t="s">
        <v>29</v>
      </c>
      <c r="G765" t="s">
        <v>24</v>
      </c>
      <c r="H765" t="s">
        <v>35</v>
      </c>
      <c r="I765" t="s">
        <v>15</v>
      </c>
      <c r="J765">
        <v>1</v>
      </c>
      <c r="K765">
        <v>25866</v>
      </c>
      <c r="L765">
        <f>Tabla24[[#This Row],[Precio_Unitario]]*Tabla24[[#This Row],[Unidades_Vendidas]]</f>
        <v>25866</v>
      </c>
      <c r="M765" t="s">
        <v>27</v>
      </c>
    </row>
    <row r="766" spans="1:13" x14ac:dyDescent="0.25">
      <c r="A766" t="s">
        <v>64</v>
      </c>
      <c r="B766" t="str">
        <f>TEXT(Tabla24[[#This Row],[Fecha]],"dddd")</f>
        <v>martes</v>
      </c>
      <c r="C766" t="str">
        <f>TEXT(Tabla24[[#This Row],[Fecha]],"mmmm")</f>
        <v>octubre</v>
      </c>
      <c r="D766" t="str">
        <f>TEXT(Tabla24[[#This Row],[Fecha]],"aaaa")</f>
        <v>2024</v>
      </c>
      <c r="E766" t="s">
        <v>33</v>
      </c>
      <c r="F766" t="s">
        <v>38</v>
      </c>
      <c r="G766" t="s">
        <v>44</v>
      </c>
      <c r="H766" t="s">
        <v>19</v>
      </c>
      <c r="I766" t="s">
        <v>40</v>
      </c>
      <c r="J766">
        <v>5</v>
      </c>
      <c r="K766">
        <v>25876</v>
      </c>
      <c r="L766">
        <f>Tabla24[[#This Row],[Precio_Unitario]]*Tabla24[[#This Row],[Unidades_Vendidas]]</f>
        <v>129380</v>
      </c>
      <c r="M766" t="s">
        <v>27</v>
      </c>
    </row>
    <row r="767" spans="1:13" x14ac:dyDescent="0.25">
      <c r="A767" t="s">
        <v>349</v>
      </c>
      <c r="B767" t="str">
        <f>TEXT(Tabla24[[#This Row],[Fecha]],"dddd")</f>
        <v>domingo</v>
      </c>
      <c r="C767" t="str">
        <f>TEXT(Tabla24[[#This Row],[Fecha]],"mmmm")</f>
        <v>julio</v>
      </c>
      <c r="D767" t="str">
        <f>TEXT(Tabla24[[#This Row],[Fecha]],"aaaa")</f>
        <v>2024</v>
      </c>
      <c r="E767" t="s">
        <v>22</v>
      </c>
      <c r="F767" t="s">
        <v>34</v>
      </c>
      <c r="G767" t="s">
        <v>24</v>
      </c>
      <c r="H767" t="s">
        <v>19</v>
      </c>
      <c r="I767" t="s">
        <v>15</v>
      </c>
      <c r="J767">
        <v>15</v>
      </c>
      <c r="K767">
        <v>51006</v>
      </c>
      <c r="L767">
        <f>Tabla24[[#This Row],[Precio_Unitario]]*Tabla24[[#This Row],[Unidades_Vendidas]]</f>
        <v>765090</v>
      </c>
      <c r="M767" t="s">
        <v>27</v>
      </c>
    </row>
    <row r="768" spans="1:13" x14ac:dyDescent="0.25">
      <c r="A768" t="s">
        <v>306</v>
      </c>
      <c r="B768" t="str">
        <f>TEXT(Tabla24[[#This Row],[Fecha]],"dddd")</f>
        <v>domingo</v>
      </c>
      <c r="C768" t="str">
        <f>TEXT(Tabla24[[#This Row],[Fecha]],"mmmm")</f>
        <v>junio</v>
      </c>
      <c r="D768" t="str">
        <f>TEXT(Tabla24[[#This Row],[Fecha]],"aaaa")</f>
        <v>2024</v>
      </c>
      <c r="E768" t="s">
        <v>42</v>
      </c>
      <c r="F768" t="s">
        <v>23</v>
      </c>
      <c r="G768" t="s">
        <v>44</v>
      </c>
      <c r="H768" t="s">
        <v>30</v>
      </c>
      <c r="I768" t="s">
        <v>15</v>
      </c>
      <c r="J768">
        <v>18</v>
      </c>
      <c r="K768">
        <v>36181</v>
      </c>
      <c r="L768">
        <f>Tabla24[[#This Row],[Precio_Unitario]]*Tabla24[[#This Row],[Unidades_Vendidas]]</f>
        <v>651258</v>
      </c>
      <c r="M768" t="s">
        <v>20</v>
      </c>
    </row>
    <row r="769" spans="1:13" x14ac:dyDescent="0.25">
      <c r="A769" t="s">
        <v>262</v>
      </c>
      <c r="B769" t="str">
        <f>TEXT(Tabla24[[#This Row],[Fecha]],"dddd")</f>
        <v>viernes</v>
      </c>
      <c r="C769" t="str">
        <f>TEXT(Tabla24[[#This Row],[Fecha]],"mmmm")</f>
        <v>enero</v>
      </c>
      <c r="D769" t="str">
        <f>TEXT(Tabla24[[#This Row],[Fecha]],"aaaa")</f>
        <v>2024</v>
      </c>
      <c r="E769" t="s">
        <v>18</v>
      </c>
      <c r="F769" t="s">
        <v>29</v>
      </c>
      <c r="G769" t="s">
        <v>13</v>
      </c>
      <c r="H769" t="s">
        <v>25</v>
      </c>
      <c r="I769" t="s">
        <v>26</v>
      </c>
      <c r="J769">
        <v>16</v>
      </c>
      <c r="K769">
        <v>56976</v>
      </c>
      <c r="L769">
        <f>Tabla24[[#This Row],[Precio_Unitario]]*Tabla24[[#This Row],[Unidades_Vendidas]]</f>
        <v>911616</v>
      </c>
      <c r="M769" t="s">
        <v>16</v>
      </c>
    </row>
    <row r="770" spans="1:13" x14ac:dyDescent="0.25">
      <c r="A770" t="s">
        <v>350</v>
      </c>
      <c r="B770" t="str">
        <f>TEXT(Tabla24[[#This Row],[Fecha]],"dddd")</f>
        <v>domingo</v>
      </c>
      <c r="C770" t="str">
        <f>TEXT(Tabla24[[#This Row],[Fecha]],"mmmm")</f>
        <v>junio</v>
      </c>
      <c r="D770" t="str">
        <f>TEXT(Tabla24[[#This Row],[Fecha]],"aaaa")</f>
        <v>2024</v>
      </c>
      <c r="E770" t="s">
        <v>22</v>
      </c>
      <c r="F770" t="s">
        <v>23</v>
      </c>
      <c r="G770" t="s">
        <v>13</v>
      </c>
      <c r="H770" t="s">
        <v>25</v>
      </c>
      <c r="I770" t="s">
        <v>26</v>
      </c>
      <c r="J770">
        <v>13</v>
      </c>
      <c r="K770">
        <v>37344</v>
      </c>
      <c r="L770">
        <f>Tabla24[[#This Row],[Precio_Unitario]]*Tabla24[[#This Row],[Unidades_Vendidas]]</f>
        <v>485472</v>
      </c>
      <c r="M770" t="s">
        <v>36</v>
      </c>
    </row>
    <row r="771" spans="1:13" x14ac:dyDescent="0.25">
      <c r="A771" t="s">
        <v>106</v>
      </c>
      <c r="B771" t="str">
        <f>TEXT(Tabla24[[#This Row],[Fecha]],"dddd")</f>
        <v>domingo</v>
      </c>
      <c r="C771" t="str">
        <f>TEXT(Tabla24[[#This Row],[Fecha]],"mmmm")</f>
        <v>diciembre</v>
      </c>
      <c r="D771" t="str">
        <f>TEXT(Tabla24[[#This Row],[Fecha]],"aaaa")</f>
        <v>2024</v>
      </c>
      <c r="E771" t="s">
        <v>18</v>
      </c>
      <c r="F771" t="s">
        <v>23</v>
      </c>
      <c r="G771" t="s">
        <v>39</v>
      </c>
      <c r="H771" t="s">
        <v>14</v>
      </c>
      <c r="I771" t="s">
        <v>40</v>
      </c>
      <c r="J771">
        <v>17</v>
      </c>
      <c r="K771">
        <v>57513</v>
      </c>
      <c r="L771">
        <f>Tabla24[[#This Row],[Precio_Unitario]]*Tabla24[[#This Row],[Unidades_Vendidas]]</f>
        <v>977721</v>
      </c>
      <c r="M771" t="s">
        <v>20</v>
      </c>
    </row>
    <row r="772" spans="1:13" x14ac:dyDescent="0.25">
      <c r="A772" t="s">
        <v>271</v>
      </c>
      <c r="B772" t="str">
        <f>TEXT(Tabla24[[#This Row],[Fecha]],"dddd")</f>
        <v>martes</v>
      </c>
      <c r="C772" t="str">
        <f>TEXT(Tabla24[[#This Row],[Fecha]],"mmmm")</f>
        <v>junio</v>
      </c>
      <c r="D772" t="str">
        <f>TEXT(Tabla24[[#This Row],[Fecha]],"aaaa")</f>
        <v>2024</v>
      </c>
      <c r="E772" t="s">
        <v>11</v>
      </c>
      <c r="F772" t="s">
        <v>29</v>
      </c>
      <c r="G772" t="s">
        <v>24</v>
      </c>
      <c r="H772" t="s">
        <v>25</v>
      </c>
      <c r="I772" t="s">
        <v>40</v>
      </c>
      <c r="J772">
        <v>14</v>
      </c>
      <c r="K772">
        <v>45769</v>
      </c>
      <c r="L772">
        <f>Tabla24[[#This Row],[Precio_Unitario]]*Tabla24[[#This Row],[Unidades_Vendidas]]</f>
        <v>640766</v>
      </c>
      <c r="M772" t="s">
        <v>27</v>
      </c>
    </row>
    <row r="773" spans="1:13" x14ac:dyDescent="0.25">
      <c r="A773" t="s">
        <v>351</v>
      </c>
      <c r="B773" t="str">
        <f>TEXT(Tabla24[[#This Row],[Fecha]],"dddd")</f>
        <v>lunes</v>
      </c>
      <c r="C773" t="str">
        <f>TEXT(Tabla24[[#This Row],[Fecha]],"mmmm")</f>
        <v>abril</v>
      </c>
      <c r="D773" t="str">
        <f>TEXT(Tabla24[[#This Row],[Fecha]],"aaaa")</f>
        <v>2024</v>
      </c>
      <c r="E773" t="s">
        <v>18</v>
      </c>
      <c r="F773" t="s">
        <v>12</v>
      </c>
      <c r="G773" t="s">
        <v>48</v>
      </c>
      <c r="H773" t="s">
        <v>14</v>
      </c>
      <c r="I773" t="s">
        <v>40</v>
      </c>
      <c r="J773">
        <v>7</v>
      </c>
      <c r="K773">
        <v>54783</v>
      </c>
      <c r="L773">
        <f>Tabla24[[#This Row],[Precio_Unitario]]*Tabla24[[#This Row],[Unidades_Vendidas]]</f>
        <v>383481</v>
      </c>
      <c r="M773" t="s">
        <v>20</v>
      </c>
    </row>
    <row r="774" spans="1:13" x14ac:dyDescent="0.25">
      <c r="A774" t="s">
        <v>211</v>
      </c>
      <c r="B774" t="str">
        <f>TEXT(Tabla24[[#This Row],[Fecha]],"dddd")</f>
        <v>domingo</v>
      </c>
      <c r="C774" t="str">
        <f>TEXT(Tabla24[[#This Row],[Fecha]],"mmmm")</f>
        <v>marzo</v>
      </c>
      <c r="D774" t="str">
        <f>TEXT(Tabla24[[#This Row],[Fecha]],"aaaa")</f>
        <v>2024</v>
      </c>
      <c r="E774" t="s">
        <v>18</v>
      </c>
      <c r="F774" t="s">
        <v>34</v>
      </c>
      <c r="G774" t="s">
        <v>24</v>
      </c>
      <c r="H774" t="s">
        <v>35</v>
      </c>
      <c r="I774" t="s">
        <v>40</v>
      </c>
      <c r="J774">
        <v>3</v>
      </c>
      <c r="K774">
        <v>46044</v>
      </c>
      <c r="L774">
        <f>Tabla24[[#This Row],[Precio_Unitario]]*Tabla24[[#This Row],[Unidades_Vendidas]]</f>
        <v>138132</v>
      </c>
      <c r="M774" t="s">
        <v>36</v>
      </c>
    </row>
    <row r="775" spans="1:13" x14ac:dyDescent="0.25">
      <c r="A775" t="s">
        <v>173</v>
      </c>
      <c r="B775" t="str">
        <f>TEXT(Tabla24[[#This Row],[Fecha]],"dddd")</f>
        <v>miércoles</v>
      </c>
      <c r="C775" t="str">
        <f>TEXT(Tabla24[[#This Row],[Fecha]],"mmmm")</f>
        <v>abril</v>
      </c>
      <c r="D775" t="str">
        <f>TEXT(Tabla24[[#This Row],[Fecha]],"aaaa")</f>
        <v>2024</v>
      </c>
      <c r="E775" t="s">
        <v>42</v>
      </c>
      <c r="F775" t="s">
        <v>12</v>
      </c>
      <c r="G775" t="s">
        <v>13</v>
      </c>
      <c r="H775" t="s">
        <v>30</v>
      </c>
      <c r="I775" t="s">
        <v>15</v>
      </c>
      <c r="J775">
        <v>10</v>
      </c>
      <c r="K775">
        <v>52650</v>
      </c>
      <c r="L775">
        <f>Tabla24[[#This Row],[Precio_Unitario]]*Tabla24[[#This Row],[Unidades_Vendidas]]</f>
        <v>526500</v>
      </c>
      <c r="M775" t="s">
        <v>36</v>
      </c>
    </row>
    <row r="776" spans="1:13" x14ac:dyDescent="0.25">
      <c r="A776" t="s">
        <v>50</v>
      </c>
      <c r="B776" t="str">
        <f>TEXT(Tabla24[[#This Row],[Fecha]],"dddd")</f>
        <v>viernes</v>
      </c>
      <c r="C776" t="str">
        <f>TEXT(Tabla24[[#This Row],[Fecha]],"mmmm")</f>
        <v>agosto</v>
      </c>
      <c r="D776" t="str">
        <f>TEXT(Tabla24[[#This Row],[Fecha]],"aaaa")</f>
        <v>2024</v>
      </c>
      <c r="E776" t="s">
        <v>42</v>
      </c>
      <c r="F776" t="s">
        <v>38</v>
      </c>
      <c r="G776" t="s">
        <v>13</v>
      </c>
      <c r="H776" t="s">
        <v>14</v>
      </c>
      <c r="I776" t="s">
        <v>40</v>
      </c>
      <c r="J776">
        <v>6</v>
      </c>
      <c r="K776">
        <v>23901</v>
      </c>
      <c r="L776">
        <f>Tabla24[[#This Row],[Precio_Unitario]]*Tabla24[[#This Row],[Unidades_Vendidas]]</f>
        <v>143406</v>
      </c>
      <c r="M776" t="s">
        <v>16</v>
      </c>
    </row>
    <row r="777" spans="1:13" x14ac:dyDescent="0.25">
      <c r="A777" t="s">
        <v>165</v>
      </c>
      <c r="B777" t="str">
        <f>TEXT(Tabla24[[#This Row],[Fecha]],"dddd")</f>
        <v>sábado</v>
      </c>
      <c r="C777" t="str">
        <f>TEXT(Tabla24[[#This Row],[Fecha]],"mmmm")</f>
        <v>noviembre</v>
      </c>
      <c r="D777" t="str">
        <f>TEXT(Tabla24[[#This Row],[Fecha]],"aaaa")</f>
        <v>2024</v>
      </c>
      <c r="E777" t="s">
        <v>33</v>
      </c>
      <c r="F777" t="s">
        <v>34</v>
      </c>
      <c r="G777" t="s">
        <v>24</v>
      </c>
      <c r="H777" t="s">
        <v>30</v>
      </c>
      <c r="I777" t="s">
        <v>15</v>
      </c>
      <c r="J777">
        <v>11</v>
      </c>
      <c r="K777">
        <v>19868</v>
      </c>
      <c r="L777">
        <f>Tabla24[[#This Row],[Precio_Unitario]]*Tabla24[[#This Row],[Unidades_Vendidas]]</f>
        <v>218548</v>
      </c>
      <c r="M777" t="s">
        <v>20</v>
      </c>
    </row>
    <row r="778" spans="1:13" x14ac:dyDescent="0.25">
      <c r="A778" t="s">
        <v>250</v>
      </c>
      <c r="B778" t="str">
        <f>TEXT(Tabla24[[#This Row],[Fecha]],"dddd")</f>
        <v>martes</v>
      </c>
      <c r="C778" t="str">
        <f>TEXT(Tabla24[[#This Row],[Fecha]],"mmmm")</f>
        <v>octubre</v>
      </c>
      <c r="D778" t="str">
        <f>TEXT(Tabla24[[#This Row],[Fecha]],"aaaa")</f>
        <v>2024</v>
      </c>
      <c r="E778" t="s">
        <v>18</v>
      </c>
      <c r="F778" t="s">
        <v>12</v>
      </c>
      <c r="G778" t="s">
        <v>44</v>
      </c>
      <c r="H778" t="s">
        <v>14</v>
      </c>
      <c r="I778" t="s">
        <v>40</v>
      </c>
      <c r="J778">
        <v>4</v>
      </c>
      <c r="K778">
        <v>35312</v>
      </c>
      <c r="L778">
        <f>Tabla24[[#This Row],[Precio_Unitario]]*Tabla24[[#This Row],[Unidades_Vendidas]]</f>
        <v>141248</v>
      </c>
      <c r="M778" t="s">
        <v>36</v>
      </c>
    </row>
    <row r="779" spans="1:13" x14ac:dyDescent="0.25">
      <c r="A779" t="s">
        <v>175</v>
      </c>
      <c r="B779" t="str">
        <f>TEXT(Tabla24[[#This Row],[Fecha]],"dddd")</f>
        <v>domingo</v>
      </c>
      <c r="C779" t="str">
        <f>TEXT(Tabla24[[#This Row],[Fecha]],"mmmm")</f>
        <v>febrero</v>
      </c>
      <c r="D779" t="str">
        <f>TEXT(Tabla24[[#This Row],[Fecha]],"aaaa")</f>
        <v>2024</v>
      </c>
      <c r="E779" t="s">
        <v>11</v>
      </c>
      <c r="F779" t="s">
        <v>38</v>
      </c>
      <c r="G779" t="s">
        <v>24</v>
      </c>
      <c r="H779" t="s">
        <v>14</v>
      </c>
      <c r="I779" t="s">
        <v>26</v>
      </c>
      <c r="J779">
        <v>20</v>
      </c>
      <c r="K779">
        <v>30156</v>
      </c>
      <c r="L779">
        <f>Tabla24[[#This Row],[Precio_Unitario]]*Tabla24[[#This Row],[Unidades_Vendidas]]</f>
        <v>603120</v>
      </c>
      <c r="M779" t="s">
        <v>27</v>
      </c>
    </row>
    <row r="780" spans="1:13" x14ac:dyDescent="0.25">
      <c r="A780" t="s">
        <v>331</v>
      </c>
      <c r="B780" t="str">
        <f>TEXT(Tabla24[[#This Row],[Fecha]],"dddd")</f>
        <v>sábado</v>
      </c>
      <c r="C780" t="str">
        <f>TEXT(Tabla24[[#This Row],[Fecha]],"mmmm")</f>
        <v>enero</v>
      </c>
      <c r="D780" t="str">
        <f>TEXT(Tabla24[[#This Row],[Fecha]],"aaaa")</f>
        <v>2024</v>
      </c>
      <c r="E780" t="s">
        <v>42</v>
      </c>
      <c r="F780" t="s">
        <v>23</v>
      </c>
      <c r="G780" t="s">
        <v>48</v>
      </c>
      <c r="H780" t="s">
        <v>35</v>
      </c>
      <c r="I780" t="s">
        <v>40</v>
      </c>
      <c r="J780">
        <v>7</v>
      </c>
      <c r="K780">
        <v>59159</v>
      </c>
      <c r="L780">
        <f>Tabla24[[#This Row],[Precio_Unitario]]*Tabla24[[#This Row],[Unidades_Vendidas]]</f>
        <v>414113</v>
      </c>
      <c r="M780" t="s">
        <v>27</v>
      </c>
    </row>
    <row r="781" spans="1:13" x14ac:dyDescent="0.25">
      <c r="A781" t="s">
        <v>95</v>
      </c>
      <c r="B781" t="str">
        <f>TEXT(Tabla24[[#This Row],[Fecha]],"dddd")</f>
        <v>jueves</v>
      </c>
      <c r="C781" t="str">
        <f>TEXT(Tabla24[[#This Row],[Fecha]],"mmmm")</f>
        <v>abril</v>
      </c>
      <c r="D781" t="str">
        <f>TEXT(Tabla24[[#This Row],[Fecha]],"aaaa")</f>
        <v>2024</v>
      </c>
      <c r="E781" t="s">
        <v>33</v>
      </c>
      <c r="F781" t="s">
        <v>12</v>
      </c>
      <c r="G781" t="s">
        <v>39</v>
      </c>
      <c r="H781" t="s">
        <v>30</v>
      </c>
      <c r="I781" t="s">
        <v>26</v>
      </c>
      <c r="J781">
        <v>1</v>
      </c>
      <c r="K781">
        <v>34285</v>
      </c>
      <c r="L781">
        <f>Tabla24[[#This Row],[Precio_Unitario]]*Tabla24[[#This Row],[Unidades_Vendidas]]</f>
        <v>34285</v>
      </c>
      <c r="M781" t="s">
        <v>36</v>
      </c>
    </row>
    <row r="782" spans="1:13" x14ac:dyDescent="0.25">
      <c r="A782" t="s">
        <v>325</v>
      </c>
      <c r="B782" t="str">
        <f>TEXT(Tabla24[[#This Row],[Fecha]],"dddd")</f>
        <v>jueves</v>
      </c>
      <c r="C782" t="str">
        <f>TEXT(Tabla24[[#This Row],[Fecha]],"mmmm")</f>
        <v>diciembre</v>
      </c>
      <c r="D782" t="str">
        <f>TEXT(Tabla24[[#This Row],[Fecha]],"aaaa")</f>
        <v>2024</v>
      </c>
      <c r="E782" t="s">
        <v>22</v>
      </c>
      <c r="F782" t="s">
        <v>34</v>
      </c>
      <c r="G782" t="s">
        <v>24</v>
      </c>
      <c r="H782" t="s">
        <v>19</v>
      </c>
      <c r="I782" t="s">
        <v>26</v>
      </c>
      <c r="J782">
        <v>2</v>
      </c>
      <c r="K782">
        <v>47733</v>
      </c>
      <c r="L782">
        <f>Tabla24[[#This Row],[Precio_Unitario]]*Tabla24[[#This Row],[Unidades_Vendidas]]</f>
        <v>95466</v>
      </c>
      <c r="M782" t="s">
        <v>16</v>
      </c>
    </row>
    <row r="783" spans="1:13" x14ac:dyDescent="0.25">
      <c r="A783" t="s">
        <v>170</v>
      </c>
      <c r="B783" t="str">
        <f>TEXT(Tabla24[[#This Row],[Fecha]],"dddd")</f>
        <v>viernes</v>
      </c>
      <c r="C783" t="str">
        <f>TEXT(Tabla24[[#This Row],[Fecha]],"mmmm")</f>
        <v>agosto</v>
      </c>
      <c r="D783" t="str">
        <f>TEXT(Tabla24[[#This Row],[Fecha]],"aaaa")</f>
        <v>2024</v>
      </c>
      <c r="E783" t="s">
        <v>22</v>
      </c>
      <c r="F783" t="s">
        <v>38</v>
      </c>
      <c r="G783" t="s">
        <v>48</v>
      </c>
      <c r="H783" t="s">
        <v>30</v>
      </c>
      <c r="I783" t="s">
        <v>15</v>
      </c>
      <c r="J783">
        <v>19</v>
      </c>
      <c r="K783">
        <v>57172</v>
      </c>
      <c r="L783">
        <f>Tabla24[[#This Row],[Precio_Unitario]]*Tabla24[[#This Row],[Unidades_Vendidas]]</f>
        <v>1086268</v>
      </c>
      <c r="M783" t="s">
        <v>27</v>
      </c>
    </row>
    <row r="784" spans="1:13" x14ac:dyDescent="0.25">
      <c r="A784" t="s">
        <v>258</v>
      </c>
      <c r="B784" t="str">
        <f>TEXT(Tabla24[[#This Row],[Fecha]],"dddd")</f>
        <v>martes</v>
      </c>
      <c r="C784" t="str">
        <f>TEXT(Tabla24[[#This Row],[Fecha]],"mmmm")</f>
        <v>marzo</v>
      </c>
      <c r="D784" t="str">
        <f>TEXT(Tabla24[[#This Row],[Fecha]],"aaaa")</f>
        <v>2024</v>
      </c>
      <c r="E784" t="s">
        <v>42</v>
      </c>
      <c r="F784" t="s">
        <v>38</v>
      </c>
      <c r="G784" t="s">
        <v>24</v>
      </c>
      <c r="H784" t="s">
        <v>35</v>
      </c>
      <c r="I784" t="s">
        <v>40</v>
      </c>
      <c r="J784">
        <v>9</v>
      </c>
      <c r="K784">
        <v>43141</v>
      </c>
      <c r="L784">
        <f>Tabla24[[#This Row],[Precio_Unitario]]*Tabla24[[#This Row],[Unidades_Vendidas]]</f>
        <v>388269</v>
      </c>
      <c r="M784" t="s">
        <v>27</v>
      </c>
    </row>
    <row r="785" spans="1:13" x14ac:dyDescent="0.25">
      <c r="A785" t="s">
        <v>94</v>
      </c>
      <c r="B785" t="str">
        <f>TEXT(Tabla24[[#This Row],[Fecha]],"dddd")</f>
        <v>miércoles</v>
      </c>
      <c r="C785" t="str">
        <f>TEXT(Tabla24[[#This Row],[Fecha]],"mmmm")</f>
        <v>mayo</v>
      </c>
      <c r="D785" t="str">
        <f>TEXT(Tabla24[[#This Row],[Fecha]],"aaaa")</f>
        <v>2024</v>
      </c>
      <c r="E785" t="s">
        <v>11</v>
      </c>
      <c r="F785" t="s">
        <v>29</v>
      </c>
      <c r="G785" t="s">
        <v>48</v>
      </c>
      <c r="H785" t="s">
        <v>30</v>
      </c>
      <c r="I785" t="s">
        <v>40</v>
      </c>
      <c r="J785">
        <v>2</v>
      </c>
      <c r="K785">
        <v>24213</v>
      </c>
      <c r="L785">
        <f>Tabla24[[#This Row],[Precio_Unitario]]*Tabla24[[#This Row],[Unidades_Vendidas]]</f>
        <v>48426</v>
      </c>
      <c r="M785" t="s">
        <v>36</v>
      </c>
    </row>
    <row r="786" spans="1:13" x14ac:dyDescent="0.25">
      <c r="A786" t="s">
        <v>352</v>
      </c>
      <c r="B786" t="str">
        <f>TEXT(Tabla24[[#This Row],[Fecha]],"dddd")</f>
        <v>miércoles</v>
      </c>
      <c r="C786" t="str">
        <f>TEXT(Tabla24[[#This Row],[Fecha]],"mmmm")</f>
        <v>enero</v>
      </c>
      <c r="D786" t="str">
        <f>TEXT(Tabla24[[#This Row],[Fecha]],"aaaa")</f>
        <v>2024</v>
      </c>
      <c r="E786" t="s">
        <v>33</v>
      </c>
      <c r="F786" t="s">
        <v>12</v>
      </c>
      <c r="G786" t="s">
        <v>48</v>
      </c>
      <c r="H786" t="s">
        <v>19</v>
      </c>
      <c r="I786" t="s">
        <v>15</v>
      </c>
      <c r="J786">
        <v>20</v>
      </c>
      <c r="K786">
        <v>42758</v>
      </c>
      <c r="L786">
        <f>Tabla24[[#This Row],[Precio_Unitario]]*Tabla24[[#This Row],[Unidades_Vendidas]]</f>
        <v>855160</v>
      </c>
      <c r="M786" t="s">
        <v>20</v>
      </c>
    </row>
    <row r="787" spans="1:13" x14ac:dyDescent="0.25">
      <c r="A787" t="s">
        <v>333</v>
      </c>
      <c r="B787" t="str">
        <f>TEXT(Tabla24[[#This Row],[Fecha]],"dddd")</f>
        <v>domingo</v>
      </c>
      <c r="C787" t="str">
        <f>TEXT(Tabla24[[#This Row],[Fecha]],"mmmm")</f>
        <v>julio</v>
      </c>
      <c r="D787" t="str">
        <f>TEXT(Tabla24[[#This Row],[Fecha]],"aaaa")</f>
        <v>2024</v>
      </c>
      <c r="E787" t="s">
        <v>22</v>
      </c>
      <c r="F787" t="s">
        <v>29</v>
      </c>
      <c r="G787" t="s">
        <v>13</v>
      </c>
      <c r="H787" t="s">
        <v>14</v>
      </c>
      <c r="I787" t="s">
        <v>40</v>
      </c>
      <c r="J787">
        <v>16</v>
      </c>
      <c r="K787">
        <v>30632</v>
      </c>
      <c r="L787">
        <f>Tabla24[[#This Row],[Precio_Unitario]]*Tabla24[[#This Row],[Unidades_Vendidas]]</f>
        <v>490112</v>
      </c>
      <c r="M787" t="s">
        <v>27</v>
      </c>
    </row>
    <row r="788" spans="1:13" x14ac:dyDescent="0.25">
      <c r="A788" t="s">
        <v>348</v>
      </c>
      <c r="B788" t="str">
        <f>TEXT(Tabla24[[#This Row],[Fecha]],"dddd")</f>
        <v>lunes</v>
      </c>
      <c r="C788" t="str">
        <f>TEXT(Tabla24[[#This Row],[Fecha]],"mmmm")</f>
        <v>julio</v>
      </c>
      <c r="D788" t="str">
        <f>TEXT(Tabla24[[#This Row],[Fecha]],"aaaa")</f>
        <v>2024</v>
      </c>
      <c r="E788" t="s">
        <v>33</v>
      </c>
      <c r="F788" t="s">
        <v>29</v>
      </c>
      <c r="G788" t="s">
        <v>24</v>
      </c>
      <c r="H788" t="s">
        <v>19</v>
      </c>
      <c r="I788" t="s">
        <v>15</v>
      </c>
      <c r="J788">
        <v>11</v>
      </c>
      <c r="K788">
        <v>18885</v>
      </c>
      <c r="L788">
        <f>Tabla24[[#This Row],[Precio_Unitario]]*Tabla24[[#This Row],[Unidades_Vendidas]]</f>
        <v>207735</v>
      </c>
      <c r="M788" t="s">
        <v>36</v>
      </c>
    </row>
    <row r="789" spans="1:13" x14ac:dyDescent="0.25">
      <c r="A789" t="s">
        <v>281</v>
      </c>
      <c r="B789" t="str">
        <f>TEXT(Tabla24[[#This Row],[Fecha]],"dddd")</f>
        <v>sábado</v>
      </c>
      <c r="C789" t="str">
        <f>TEXT(Tabla24[[#This Row],[Fecha]],"mmmm")</f>
        <v>enero</v>
      </c>
      <c r="D789" t="str">
        <f>TEXT(Tabla24[[#This Row],[Fecha]],"aaaa")</f>
        <v>2024</v>
      </c>
      <c r="E789" t="s">
        <v>11</v>
      </c>
      <c r="F789" t="s">
        <v>29</v>
      </c>
      <c r="G789" t="s">
        <v>44</v>
      </c>
      <c r="H789" t="s">
        <v>30</v>
      </c>
      <c r="I789" t="s">
        <v>40</v>
      </c>
      <c r="J789">
        <v>4</v>
      </c>
      <c r="K789">
        <v>35109</v>
      </c>
      <c r="L789">
        <f>Tabla24[[#This Row],[Precio_Unitario]]*Tabla24[[#This Row],[Unidades_Vendidas]]</f>
        <v>140436</v>
      </c>
      <c r="M789" t="s">
        <v>20</v>
      </c>
    </row>
    <row r="790" spans="1:13" x14ac:dyDescent="0.25">
      <c r="A790" t="s">
        <v>221</v>
      </c>
      <c r="B790" t="str">
        <f>TEXT(Tabla24[[#This Row],[Fecha]],"dddd")</f>
        <v>viernes</v>
      </c>
      <c r="C790" t="str">
        <f>TEXT(Tabla24[[#This Row],[Fecha]],"mmmm")</f>
        <v>noviembre</v>
      </c>
      <c r="D790" t="str">
        <f>TEXT(Tabla24[[#This Row],[Fecha]],"aaaa")</f>
        <v>2024</v>
      </c>
      <c r="E790" t="s">
        <v>18</v>
      </c>
      <c r="F790" t="s">
        <v>29</v>
      </c>
      <c r="G790" t="s">
        <v>13</v>
      </c>
      <c r="H790" t="s">
        <v>25</v>
      </c>
      <c r="I790" t="s">
        <v>15</v>
      </c>
      <c r="J790">
        <v>7</v>
      </c>
      <c r="K790">
        <v>45517</v>
      </c>
      <c r="L790">
        <f>Tabla24[[#This Row],[Precio_Unitario]]*Tabla24[[#This Row],[Unidades_Vendidas]]</f>
        <v>318619</v>
      </c>
      <c r="M790" t="s">
        <v>27</v>
      </c>
    </row>
    <row r="791" spans="1:13" x14ac:dyDescent="0.25">
      <c r="A791" t="s">
        <v>105</v>
      </c>
      <c r="B791" t="str">
        <f>TEXT(Tabla24[[#This Row],[Fecha]],"dddd")</f>
        <v>martes</v>
      </c>
      <c r="C791" t="str">
        <f>TEXT(Tabla24[[#This Row],[Fecha]],"mmmm")</f>
        <v>enero</v>
      </c>
      <c r="D791" t="str">
        <f>TEXT(Tabla24[[#This Row],[Fecha]],"aaaa")</f>
        <v>2024</v>
      </c>
      <c r="E791" t="s">
        <v>22</v>
      </c>
      <c r="F791" t="s">
        <v>23</v>
      </c>
      <c r="G791" t="s">
        <v>48</v>
      </c>
      <c r="H791" t="s">
        <v>30</v>
      </c>
      <c r="I791" t="s">
        <v>26</v>
      </c>
      <c r="J791">
        <v>19</v>
      </c>
      <c r="K791">
        <v>42126</v>
      </c>
      <c r="L791">
        <f>Tabla24[[#This Row],[Precio_Unitario]]*Tabla24[[#This Row],[Unidades_Vendidas]]</f>
        <v>800394</v>
      </c>
      <c r="M791" t="s">
        <v>36</v>
      </c>
    </row>
    <row r="792" spans="1:13" x14ac:dyDescent="0.25">
      <c r="A792" t="s">
        <v>353</v>
      </c>
      <c r="B792" t="str">
        <f>TEXT(Tabla24[[#This Row],[Fecha]],"dddd")</f>
        <v>martes</v>
      </c>
      <c r="C792" t="str">
        <f>TEXT(Tabla24[[#This Row],[Fecha]],"mmmm")</f>
        <v>junio</v>
      </c>
      <c r="D792" t="str">
        <f>TEXT(Tabla24[[#This Row],[Fecha]],"aaaa")</f>
        <v>2024</v>
      </c>
      <c r="E792" t="s">
        <v>11</v>
      </c>
      <c r="F792" t="s">
        <v>38</v>
      </c>
      <c r="G792" t="s">
        <v>13</v>
      </c>
      <c r="H792" t="s">
        <v>19</v>
      </c>
      <c r="I792" t="s">
        <v>40</v>
      </c>
      <c r="J792">
        <v>6</v>
      </c>
      <c r="K792">
        <v>33036</v>
      </c>
      <c r="L792">
        <f>Tabla24[[#This Row],[Precio_Unitario]]*Tabla24[[#This Row],[Unidades_Vendidas]]</f>
        <v>198216</v>
      </c>
      <c r="M792" t="s">
        <v>27</v>
      </c>
    </row>
    <row r="793" spans="1:13" x14ac:dyDescent="0.25">
      <c r="A793" t="s">
        <v>112</v>
      </c>
      <c r="B793" t="str">
        <f>TEXT(Tabla24[[#This Row],[Fecha]],"dddd")</f>
        <v>viernes</v>
      </c>
      <c r="C793" t="str">
        <f>TEXT(Tabla24[[#This Row],[Fecha]],"mmmm")</f>
        <v>septiembre</v>
      </c>
      <c r="D793" t="str">
        <f>TEXT(Tabla24[[#This Row],[Fecha]],"aaaa")</f>
        <v>2024</v>
      </c>
      <c r="E793" t="s">
        <v>18</v>
      </c>
      <c r="F793" t="s">
        <v>34</v>
      </c>
      <c r="G793" t="s">
        <v>24</v>
      </c>
      <c r="H793" t="s">
        <v>19</v>
      </c>
      <c r="I793" t="s">
        <v>26</v>
      </c>
      <c r="J793">
        <v>8</v>
      </c>
      <c r="K793">
        <v>39455</v>
      </c>
      <c r="L793">
        <f>Tabla24[[#This Row],[Precio_Unitario]]*Tabla24[[#This Row],[Unidades_Vendidas]]</f>
        <v>315640</v>
      </c>
      <c r="M793" t="s">
        <v>36</v>
      </c>
    </row>
    <row r="794" spans="1:13" x14ac:dyDescent="0.25">
      <c r="A794" t="s">
        <v>46</v>
      </c>
      <c r="B794" t="str">
        <f>TEXT(Tabla24[[#This Row],[Fecha]],"dddd")</f>
        <v>miércoles</v>
      </c>
      <c r="C794" t="str">
        <f>TEXT(Tabla24[[#This Row],[Fecha]],"mmmm")</f>
        <v>marzo</v>
      </c>
      <c r="D794" t="str">
        <f>TEXT(Tabla24[[#This Row],[Fecha]],"aaaa")</f>
        <v>2024</v>
      </c>
      <c r="E794" t="s">
        <v>22</v>
      </c>
      <c r="F794" t="s">
        <v>12</v>
      </c>
      <c r="G794" t="s">
        <v>44</v>
      </c>
      <c r="H794" t="s">
        <v>30</v>
      </c>
      <c r="I794" t="s">
        <v>40</v>
      </c>
      <c r="J794">
        <v>3</v>
      </c>
      <c r="K794">
        <v>37397</v>
      </c>
      <c r="L794">
        <f>Tabla24[[#This Row],[Precio_Unitario]]*Tabla24[[#This Row],[Unidades_Vendidas]]</f>
        <v>112191</v>
      </c>
      <c r="M794" t="s">
        <v>20</v>
      </c>
    </row>
    <row r="795" spans="1:13" x14ac:dyDescent="0.25">
      <c r="A795" t="s">
        <v>274</v>
      </c>
      <c r="B795" t="str">
        <f>TEXT(Tabla24[[#This Row],[Fecha]],"dddd")</f>
        <v>sábado</v>
      </c>
      <c r="C795" t="str">
        <f>TEXT(Tabla24[[#This Row],[Fecha]],"mmmm")</f>
        <v>enero</v>
      </c>
      <c r="D795" t="str">
        <f>TEXT(Tabla24[[#This Row],[Fecha]],"aaaa")</f>
        <v>2024</v>
      </c>
      <c r="E795" t="s">
        <v>22</v>
      </c>
      <c r="F795" t="s">
        <v>23</v>
      </c>
      <c r="G795" t="s">
        <v>44</v>
      </c>
      <c r="H795" t="s">
        <v>35</v>
      </c>
      <c r="I795" t="s">
        <v>26</v>
      </c>
      <c r="J795">
        <v>5</v>
      </c>
      <c r="K795">
        <v>26352</v>
      </c>
      <c r="L795">
        <f>Tabla24[[#This Row],[Precio_Unitario]]*Tabla24[[#This Row],[Unidades_Vendidas]]</f>
        <v>131760</v>
      </c>
      <c r="M795" t="s">
        <v>36</v>
      </c>
    </row>
    <row r="796" spans="1:13" x14ac:dyDescent="0.25">
      <c r="A796" t="s">
        <v>286</v>
      </c>
      <c r="B796" t="str">
        <f>TEXT(Tabla24[[#This Row],[Fecha]],"dddd")</f>
        <v>domingo</v>
      </c>
      <c r="C796" t="str">
        <f>TEXT(Tabla24[[#This Row],[Fecha]],"mmmm")</f>
        <v>agosto</v>
      </c>
      <c r="D796" t="str">
        <f>TEXT(Tabla24[[#This Row],[Fecha]],"aaaa")</f>
        <v>2024</v>
      </c>
      <c r="E796" t="s">
        <v>18</v>
      </c>
      <c r="F796" t="s">
        <v>38</v>
      </c>
      <c r="G796" t="s">
        <v>13</v>
      </c>
      <c r="H796" t="s">
        <v>25</v>
      </c>
      <c r="I796" t="s">
        <v>15</v>
      </c>
      <c r="J796">
        <v>19</v>
      </c>
      <c r="K796">
        <v>37346</v>
      </c>
      <c r="L796">
        <f>Tabla24[[#This Row],[Precio_Unitario]]*Tabla24[[#This Row],[Unidades_Vendidas]]</f>
        <v>709574</v>
      </c>
      <c r="M796" t="s">
        <v>16</v>
      </c>
    </row>
    <row r="797" spans="1:13" x14ac:dyDescent="0.25">
      <c r="A797" t="s">
        <v>84</v>
      </c>
      <c r="B797" t="str">
        <f>TEXT(Tabla24[[#This Row],[Fecha]],"dddd")</f>
        <v>miércoles</v>
      </c>
      <c r="C797" t="str">
        <f>TEXT(Tabla24[[#This Row],[Fecha]],"mmmm")</f>
        <v>febrero</v>
      </c>
      <c r="D797" t="str">
        <f>TEXT(Tabla24[[#This Row],[Fecha]],"aaaa")</f>
        <v>2024</v>
      </c>
      <c r="E797" t="s">
        <v>42</v>
      </c>
      <c r="F797" t="s">
        <v>23</v>
      </c>
      <c r="G797" t="s">
        <v>48</v>
      </c>
      <c r="H797" t="s">
        <v>35</v>
      </c>
      <c r="I797" t="s">
        <v>15</v>
      </c>
      <c r="J797">
        <v>10</v>
      </c>
      <c r="K797">
        <v>40715</v>
      </c>
      <c r="L797">
        <f>Tabla24[[#This Row],[Precio_Unitario]]*Tabla24[[#This Row],[Unidades_Vendidas]]</f>
        <v>407150</v>
      </c>
      <c r="M797" t="s">
        <v>16</v>
      </c>
    </row>
    <row r="798" spans="1:13" x14ac:dyDescent="0.25">
      <c r="A798" t="s">
        <v>151</v>
      </c>
      <c r="B798" t="str">
        <f>TEXT(Tabla24[[#This Row],[Fecha]],"dddd")</f>
        <v>domingo</v>
      </c>
      <c r="C798" t="str">
        <f>TEXT(Tabla24[[#This Row],[Fecha]],"mmmm")</f>
        <v>mayo</v>
      </c>
      <c r="D798" t="str">
        <f>TEXT(Tabla24[[#This Row],[Fecha]],"aaaa")</f>
        <v>2024</v>
      </c>
      <c r="E798" t="s">
        <v>11</v>
      </c>
      <c r="F798" t="s">
        <v>34</v>
      </c>
      <c r="G798" t="s">
        <v>48</v>
      </c>
      <c r="H798" t="s">
        <v>35</v>
      </c>
      <c r="I798" t="s">
        <v>15</v>
      </c>
      <c r="J798">
        <v>12</v>
      </c>
      <c r="K798">
        <v>29285</v>
      </c>
      <c r="L798">
        <f>Tabla24[[#This Row],[Precio_Unitario]]*Tabla24[[#This Row],[Unidades_Vendidas]]</f>
        <v>351420</v>
      </c>
      <c r="M798" t="s">
        <v>36</v>
      </c>
    </row>
    <row r="799" spans="1:13" x14ac:dyDescent="0.25">
      <c r="A799" t="s">
        <v>183</v>
      </c>
      <c r="B799" t="str">
        <f>TEXT(Tabla24[[#This Row],[Fecha]],"dddd")</f>
        <v>sábado</v>
      </c>
      <c r="C799" t="str">
        <f>TEXT(Tabla24[[#This Row],[Fecha]],"mmmm")</f>
        <v>noviembre</v>
      </c>
      <c r="D799" t="str">
        <f>TEXT(Tabla24[[#This Row],[Fecha]],"aaaa")</f>
        <v>2024</v>
      </c>
      <c r="E799" t="s">
        <v>18</v>
      </c>
      <c r="F799" t="s">
        <v>12</v>
      </c>
      <c r="G799" t="s">
        <v>39</v>
      </c>
      <c r="H799" t="s">
        <v>19</v>
      </c>
      <c r="I799" t="s">
        <v>26</v>
      </c>
      <c r="J799">
        <v>6</v>
      </c>
      <c r="K799">
        <v>27802</v>
      </c>
      <c r="L799">
        <f>Tabla24[[#This Row],[Precio_Unitario]]*Tabla24[[#This Row],[Unidades_Vendidas]]</f>
        <v>166812</v>
      </c>
      <c r="M799" t="s">
        <v>27</v>
      </c>
    </row>
    <row r="800" spans="1:13" x14ac:dyDescent="0.25">
      <c r="A800" t="s">
        <v>120</v>
      </c>
      <c r="B800" t="str">
        <f>TEXT(Tabla24[[#This Row],[Fecha]],"dddd")</f>
        <v>lunes</v>
      </c>
      <c r="C800" t="str">
        <f>TEXT(Tabla24[[#This Row],[Fecha]],"mmmm")</f>
        <v>marzo</v>
      </c>
      <c r="D800" t="str">
        <f>TEXT(Tabla24[[#This Row],[Fecha]],"aaaa")</f>
        <v>2024</v>
      </c>
      <c r="E800" t="s">
        <v>18</v>
      </c>
      <c r="F800" t="s">
        <v>12</v>
      </c>
      <c r="G800" t="s">
        <v>48</v>
      </c>
      <c r="H800" t="s">
        <v>14</v>
      </c>
      <c r="I800" t="s">
        <v>15</v>
      </c>
      <c r="J800">
        <v>17</v>
      </c>
      <c r="K800">
        <v>59354</v>
      </c>
      <c r="L800">
        <f>Tabla24[[#This Row],[Precio_Unitario]]*Tabla24[[#This Row],[Unidades_Vendidas]]</f>
        <v>1009018</v>
      </c>
      <c r="M800" t="s">
        <v>27</v>
      </c>
    </row>
    <row r="801" spans="1:13" x14ac:dyDescent="0.25">
      <c r="A801" t="s">
        <v>354</v>
      </c>
      <c r="B801" t="str">
        <f>TEXT(Tabla24[[#This Row],[Fecha]],"dddd")</f>
        <v>domingo</v>
      </c>
      <c r="C801" t="str">
        <f>TEXT(Tabla24[[#This Row],[Fecha]],"mmmm")</f>
        <v>abril</v>
      </c>
      <c r="D801" t="str">
        <f>TEXT(Tabla24[[#This Row],[Fecha]],"aaaa")</f>
        <v>2024</v>
      </c>
      <c r="E801" t="s">
        <v>11</v>
      </c>
      <c r="F801" t="s">
        <v>34</v>
      </c>
      <c r="G801" t="s">
        <v>44</v>
      </c>
      <c r="H801" t="s">
        <v>35</v>
      </c>
      <c r="I801" t="s">
        <v>40</v>
      </c>
      <c r="J801">
        <v>5</v>
      </c>
      <c r="K801">
        <v>53899</v>
      </c>
      <c r="L801">
        <f>Tabla24[[#This Row],[Precio_Unitario]]*Tabla24[[#This Row],[Unidades_Vendidas]]</f>
        <v>269495</v>
      </c>
      <c r="M801" t="s">
        <v>16</v>
      </c>
    </row>
    <row r="802" spans="1:13" x14ac:dyDescent="0.25">
      <c r="A802" t="s">
        <v>330</v>
      </c>
      <c r="B802" t="str">
        <f>TEXT(Tabla24[[#This Row],[Fecha]],"dddd")</f>
        <v>miércoles</v>
      </c>
      <c r="C802" t="str">
        <f>TEXT(Tabla24[[#This Row],[Fecha]],"mmmm")</f>
        <v>agosto</v>
      </c>
      <c r="D802" t="str">
        <f>TEXT(Tabla24[[#This Row],[Fecha]],"aaaa")</f>
        <v>2024</v>
      </c>
      <c r="E802" t="s">
        <v>33</v>
      </c>
      <c r="F802" t="s">
        <v>34</v>
      </c>
      <c r="G802" t="s">
        <v>48</v>
      </c>
      <c r="H802" t="s">
        <v>14</v>
      </c>
      <c r="I802" t="s">
        <v>26</v>
      </c>
      <c r="J802">
        <v>12</v>
      </c>
      <c r="K802">
        <v>35819</v>
      </c>
      <c r="L802">
        <f>Tabla24[[#This Row],[Precio_Unitario]]*Tabla24[[#This Row],[Unidades_Vendidas]]</f>
        <v>429828</v>
      </c>
      <c r="M802" t="s">
        <v>36</v>
      </c>
    </row>
    <row r="803" spans="1:13" x14ac:dyDescent="0.25">
      <c r="A803" t="s">
        <v>325</v>
      </c>
      <c r="B803" t="str">
        <f>TEXT(Tabla24[[#This Row],[Fecha]],"dddd")</f>
        <v>jueves</v>
      </c>
      <c r="C803" t="str">
        <f>TEXT(Tabla24[[#This Row],[Fecha]],"mmmm")</f>
        <v>diciembre</v>
      </c>
      <c r="D803" t="str">
        <f>TEXT(Tabla24[[#This Row],[Fecha]],"aaaa")</f>
        <v>2024</v>
      </c>
      <c r="E803" t="s">
        <v>18</v>
      </c>
      <c r="F803" t="s">
        <v>23</v>
      </c>
      <c r="G803" t="s">
        <v>39</v>
      </c>
      <c r="H803" t="s">
        <v>19</v>
      </c>
      <c r="I803" t="s">
        <v>26</v>
      </c>
      <c r="J803">
        <v>7</v>
      </c>
      <c r="K803">
        <v>23856</v>
      </c>
      <c r="L803">
        <f>Tabla24[[#This Row],[Precio_Unitario]]*Tabla24[[#This Row],[Unidades_Vendidas]]</f>
        <v>166992</v>
      </c>
      <c r="M803" t="s">
        <v>20</v>
      </c>
    </row>
    <row r="804" spans="1:13" x14ac:dyDescent="0.25">
      <c r="A804" t="s">
        <v>52</v>
      </c>
      <c r="B804" t="str">
        <f>TEXT(Tabla24[[#This Row],[Fecha]],"dddd")</f>
        <v>jueves</v>
      </c>
      <c r="C804" t="str">
        <f>TEXT(Tabla24[[#This Row],[Fecha]],"mmmm")</f>
        <v>diciembre</v>
      </c>
      <c r="D804" t="str">
        <f>TEXT(Tabla24[[#This Row],[Fecha]],"aaaa")</f>
        <v>2024</v>
      </c>
      <c r="E804" t="s">
        <v>33</v>
      </c>
      <c r="F804" t="s">
        <v>38</v>
      </c>
      <c r="G804" t="s">
        <v>13</v>
      </c>
      <c r="H804" t="s">
        <v>35</v>
      </c>
      <c r="I804" t="s">
        <v>40</v>
      </c>
      <c r="J804">
        <v>3</v>
      </c>
      <c r="K804">
        <v>29685</v>
      </c>
      <c r="L804">
        <f>Tabla24[[#This Row],[Precio_Unitario]]*Tabla24[[#This Row],[Unidades_Vendidas]]</f>
        <v>89055</v>
      </c>
      <c r="M804" t="s">
        <v>16</v>
      </c>
    </row>
    <row r="805" spans="1:13" x14ac:dyDescent="0.25">
      <c r="A805" t="s">
        <v>229</v>
      </c>
      <c r="B805" t="str">
        <f>TEXT(Tabla24[[#This Row],[Fecha]],"dddd")</f>
        <v>viernes</v>
      </c>
      <c r="C805" t="str">
        <f>TEXT(Tabla24[[#This Row],[Fecha]],"mmmm")</f>
        <v>agosto</v>
      </c>
      <c r="D805" t="str">
        <f>TEXT(Tabla24[[#This Row],[Fecha]],"aaaa")</f>
        <v>2024</v>
      </c>
      <c r="E805" t="s">
        <v>18</v>
      </c>
      <c r="F805" t="s">
        <v>23</v>
      </c>
      <c r="G805" t="s">
        <v>44</v>
      </c>
      <c r="H805" t="s">
        <v>35</v>
      </c>
      <c r="I805" t="s">
        <v>40</v>
      </c>
      <c r="J805">
        <v>10</v>
      </c>
      <c r="K805">
        <v>17382</v>
      </c>
      <c r="L805">
        <f>Tabla24[[#This Row],[Precio_Unitario]]*Tabla24[[#This Row],[Unidades_Vendidas]]</f>
        <v>173820</v>
      </c>
      <c r="M805" t="s">
        <v>16</v>
      </c>
    </row>
    <row r="806" spans="1:13" x14ac:dyDescent="0.25">
      <c r="A806" t="s">
        <v>355</v>
      </c>
      <c r="B806" t="str">
        <f>TEXT(Tabla24[[#This Row],[Fecha]],"dddd")</f>
        <v>miércoles</v>
      </c>
      <c r="C806" t="str">
        <f>TEXT(Tabla24[[#This Row],[Fecha]],"mmmm")</f>
        <v>septiembre</v>
      </c>
      <c r="D806" t="str">
        <f>TEXT(Tabla24[[#This Row],[Fecha]],"aaaa")</f>
        <v>2024</v>
      </c>
      <c r="E806" t="s">
        <v>11</v>
      </c>
      <c r="F806" t="s">
        <v>38</v>
      </c>
      <c r="G806" t="s">
        <v>39</v>
      </c>
      <c r="H806" t="s">
        <v>19</v>
      </c>
      <c r="I806" t="s">
        <v>40</v>
      </c>
      <c r="J806">
        <v>1</v>
      </c>
      <c r="K806">
        <v>26934</v>
      </c>
      <c r="L806">
        <f>Tabla24[[#This Row],[Precio_Unitario]]*Tabla24[[#This Row],[Unidades_Vendidas]]</f>
        <v>26934</v>
      </c>
      <c r="M806" t="s">
        <v>20</v>
      </c>
    </row>
    <row r="807" spans="1:13" x14ac:dyDescent="0.25">
      <c r="A807" t="s">
        <v>93</v>
      </c>
      <c r="B807" t="str">
        <f>TEXT(Tabla24[[#This Row],[Fecha]],"dddd")</f>
        <v>sábado</v>
      </c>
      <c r="C807" t="str">
        <f>TEXT(Tabla24[[#This Row],[Fecha]],"mmmm")</f>
        <v>marzo</v>
      </c>
      <c r="D807" t="str">
        <f>TEXT(Tabla24[[#This Row],[Fecha]],"aaaa")</f>
        <v>2024</v>
      </c>
      <c r="E807" t="s">
        <v>18</v>
      </c>
      <c r="F807" t="s">
        <v>29</v>
      </c>
      <c r="G807" t="s">
        <v>44</v>
      </c>
      <c r="H807" t="s">
        <v>14</v>
      </c>
      <c r="I807" t="s">
        <v>26</v>
      </c>
      <c r="J807">
        <v>5</v>
      </c>
      <c r="K807">
        <v>33723</v>
      </c>
      <c r="L807">
        <f>Tabla24[[#This Row],[Precio_Unitario]]*Tabla24[[#This Row],[Unidades_Vendidas]]</f>
        <v>168615</v>
      </c>
      <c r="M807" t="s">
        <v>20</v>
      </c>
    </row>
    <row r="808" spans="1:13" x14ac:dyDescent="0.25">
      <c r="A808" t="s">
        <v>133</v>
      </c>
      <c r="B808" t="str">
        <f>TEXT(Tabla24[[#This Row],[Fecha]],"dddd")</f>
        <v>viernes</v>
      </c>
      <c r="C808" t="str">
        <f>TEXT(Tabla24[[#This Row],[Fecha]],"mmmm")</f>
        <v>junio</v>
      </c>
      <c r="D808" t="str">
        <f>TEXT(Tabla24[[#This Row],[Fecha]],"aaaa")</f>
        <v>2024</v>
      </c>
      <c r="E808" t="s">
        <v>33</v>
      </c>
      <c r="F808" t="s">
        <v>12</v>
      </c>
      <c r="G808" t="s">
        <v>48</v>
      </c>
      <c r="H808" t="s">
        <v>14</v>
      </c>
      <c r="I808" t="s">
        <v>40</v>
      </c>
      <c r="J808">
        <v>15</v>
      </c>
      <c r="K808">
        <v>47792</v>
      </c>
      <c r="L808">
        <f>Tabla24[[#This Row],[Precio_Unitario]]*Tabla24[[#This Row],[Unidades_Vendidas]]</f>
        <v>716880</v>
      </c>
      <c r="M808" t="s">
        <v>27</v>
      </c>
    </row>
    <row r="809" spans="1:13" x14ac:dyDescent="0.25">
      <c r="A809" t="s">
        <v>185</v>
      </c>
      <c r="B809" t="str">
        <f>TEXT(Tabla24[[#This Row],[Fecha]],"dddd")</f>
        <v>domingo</v>
      </c>
      <c r="C809" t="str">
        <f>TEXT(Tabla24[[#This Row],[Fecha]],"mmmm")</f>
        <v>noviembre</v>
      </c>
      <c r="D809" t="str">
        <f>TEXT(Tabla24[[#This Row],[Fecha]],"aaaa")</f>
        <v>2024</v>
      </c>
      <c r="E809" t="s">
        <v>42</v>
      </c>
      <c r="F809" t="s">
        <v>34</v>
      </c>
      <c r="G809" t="s">
        <v>24</v>
      </c>
      <c r="H809" t="s">
        <v>35</v>
      </c>
      <c r="I809" t="s">
        <v>40</v>
      </c>
      <c r="J809">
        <v>16</v>
      </c>
      <c r="K809">
        <v>40664</v>
      </c>
      <c r="L809">
        <f>Tabla24[[#This Row],[Precio_Unitario]]*Tabla24[[#This Row],[Unidades_Vendidas]]</f>
        <v>650624</v>
      </c>
      <c r="M809" t="s">
        <v>36</v>
      </c>
    </row>
    <row r="810" spans="1:13" x14ac:dyDescent="0.25">
      <c r="A810" t="s">
        <v>125</v>
      </c>
      <c r="B810" t="str">
        <f>TEXT(Tabla24[[#This Row],[Fecha]],"dddd")</f>
        <v>martes</v>
      </c>
      <c r="C810" t="str">
        <f>TEXT(Tabla24[[#This Row],[Fecha]],"mmmm")</f>
        <v>septiembre</v>
      </c>
      <c r="D810" t="str">
        <f>TEXT(Tabla24[[#This Row],[Fecha]],"aaaa")</f>
        <v>2024</v>
      </c>
      <c r="E810" t="s">
        <v>42</v>
      </c>
      <c r="F810" t="s">
        <v>34</v>
      </c>
      <c r="G810" t="s">
        <v>24</v>
      </c>
      <c r="H810" t="s">
        <v>14</v>
      </c>
      <c r="I810" t="s">
        <v>26</v>
      </c>
      <c r="J810">
        <v>11</v>
      </c>
      <c r="K810">
        <v>47857</v>
      </c>
      <c r="L810">
        <f>Tabla24[[#This Row],[Precio_Unitario]]*Tabla24[[#This Row],[Unidades_Vendidas]]</f>
        <v>526427</v>
      </c>
      <c r="M810" t="s">
        <v>36</v>
      </c>
    </row>
    <row r="811" spans="1:13" x14ac:dyDescent="0.25">
      <c r="A811" t="s">
        <v>281</v>
      </c>
      <c r="B811" t="str">
        <f>TEXT(Tabla24[[#This Row],[Fecha]],"dddd")</f>
        <v>sábado</v>
      </c>
      <c r="C811" t="str">
        <f>TEXT(Tabla24[[#This Row],[Fecha]],"mmmm")</f>
        <v>enero</v>
      </c>
      <c r="D811" t="str">
        <f>TEXT(Tabla24[[#This Row],[Fecha]],"aaaa")</f>
        <v>2024</v>
      </c>
      <c r="E811" t="s">
        <v>22</v>
      </c>
      <c r="F811" t="s">
        <v>34</v>
      </c>
      <c r="G811" t="s">
        <v>39</v>
      </c>
      <c r="H811" t="s">
        <v>30</v>
      </c>
      <c r="I811" t="s">
        <v>26</v>
      </c>
      <c r="J811">
        <v>17</v>
      </c>
      <c r="K811">
        <v>42796</v>
      </c>
      <c r="L811">
        <f>Tabla24[[#This Row],[Precio_Unitario]]*Tabla24[[#This Row],[Unidades_Vendidas]]</f>
        <v>727532</v>
      </c>
      <c r="M811" t="s">
        <v>20</v>
      </c>
    </row>
    <row r="812" spans="1:13" x14ac:dyDescent="0.25">
      <c r="A812" t="s">
        <v>158</v>
      </c>
      <c r="B812" t="str">
        <f>TEXT(Tabla24[[#This Row],[Fecha]],"dddd")</f>
        <v>viernes</v>
      </c>
      <c r="C812" t="str">
        <f>TEXT(Tabla24[[#This Row],[Fecha]],"mmmm")</f>
        <v>enero</v>
      </c>
      <c r="D812" t="str">
        <f>TEXT(Tabla24[[#This Row],[Fecha]],"aaaa")</f>
        <v>2024</v>
      </c>
      <c r="E812" t="s">
        <v>42</v>
      </c>
      <c r="F812" t="s">
        <v>34</v>
      </c>
      <c r="G812" t="s">
        <v>39</v>
      </c>
      <c r="H812" t="s">
        <v>25</v>
      </c>
      <c r="I812" t="s">
        <v>26</v>
      </c>
      <c r="J812">
        <v>19</v>
      </c>
      <c r="K812">
        <v>37199</v>
      </c>
      <c r="L812">
        <f>Tabla24[[#This Row],[Precio_Unitario]]*Tabla24[[#This Row],[Unidades_Vendidas]]</f>
        <v>706781</v>
      </c>
      <c r="M812" t="s">
        <v>27</v>
      </c>
    </row>
    <row r="813" spans="1:13" x14ac:dyDescent="0.25">
      <c r="A813" t="s">
        <v>101</v>
      </c>
      <c r="B813" t="str">
        <f>TEXT(Tabla24[[#This Row],[Fecha]],"dddd")</f>
        <v>miércoles</v>
      </c>
      <c r="C813" t="str">
        <f>TEXT(Tabla24[[#This Row],[Fecha]],"mmmm")</f>
        <v>diciembre</v>
      </c>
      <c r="D813" t="str">
        <f>TEXT(Tabla24[[#This Row],[Fecha]],"aaaa")</f>
        <v>2024</v>
      </c>
      <c r="E813" t="s">
        <v>18</v>
      </c>
      <c r="F813" t="s">
        <v>23</v>
      </c>
      <c r="G813" t="s">
        <v>39</v>
      </c>
      <c r="H813" t="s">
        <v>35</v>
      </c>
      <c r="I813" t="s">
        <v>26</v>
      </c>
      <c r="J813">
        <v>19</v>
      </c>
      <c r="K813">
        <v>59330</v>
      </c>
      <c r="L813">
        <f>Tabla24[[#This Row],[Precio_Unitario]]*Tabla24[[#This Row],[Unidades_Vendidas]]</f>
        <v>1127270</v>
      </c>
      <c r="M813" t="s">
        <v>27</v>
      </c>
    </row>
    <row r="814" spans="1:13" x14ac:dyDescent="0.25">
      <c r="A814" t="s">
        <v>236</v>
      </c>
      <c r="B814" t="str">
        <f>TEXT(Tabla24[[#This Row],[Fecha]],"dddd")</f>
        <v>jueves</v>
      </c>
      <c r="C814" t="str">
        <f>TEXT(Tabla24[[#This Row],[Fecha]],"mmmm")</f>
        <v>marzo</v>
      </c>
      <c r="D814" t="str">
        <f>TEXT(Tabla24[[#This Row],[Fecha]],"aaaa")</f>
        <v>2024</v>
      </c>
      <c r="E814" t="s">
        <v>18</v>
      </c>
      <c r="F814" t="s">
        <v>34</v>
      </c>
      <c r="G814" t="s">
        <v>48</v>
      </c>
      <c r="H814" t="s">
        <v>19</v>
      </c>
      <c r="I814" t="s">
        <v>15</v>
      </c>
      <c r="J814">
        <v>8</v>
      </c>
      <c r="K814">
        <v>45822</v>
      </c>
      <c r="L814">
        <f>Tabla24[[#This Row],[Precio_Unitario]]*Tabla24[[#This Row],[Unidades_Vendidas]]</f>
        <v>366576</v>
      </c>
      <c r="M814" t="s">
        <v>36</v>
      </c>
    </row>
    <row r="815" spans="1:13" x14ac:dyDescent="0.25">
      <c r="A815" t="s">
        <v>225</v>
      </c>
      <c r="B815" t="str">
        <f>TEXT(Tabla24[[#This Row],[Fecha]],"dddd")</f>
        <v>miércoles</v>
      </c>
      <c r="C815" t="str">
        <f>TEXT(Tabla24[[#This Row],[Fecha]],"mmmm")</f>
        <v>marzo</v>
      </c>
      <c r="D815" t="str">
        <f>TEXT(Tabla24[[#This Row],[Fecha]],"aaaa")</f>
        <v>2024</v>
      </c>
      <c r="E815" t="s">
        <v>42</v>
      </c>
      <c r="F815" t="s">
        <v>29</v>
      </c>
      <c r="G815" t="s">
        <v>24</v>
      </c>
      <c r="H815" t="s">
        <v>30</v>
      </c>
      <c r="I815" t="s">
        <v>15</v>
      </c>
      <c r="J815">
        <v>3</v>
      </c>
      <c r="K815">
        <v>26220</v>
      </c>
      <c r="L815">
        <f>Tabla24[[#This Row],[Precio_Unitario]]*Tabla24[[#This Row],[Unidades_Vendidas]]</f>
        <v>78660</v>
      </c>
      <c r="M815" t="s">
        <v>16</v>
      </c>
    </row>
    <row r="816" spans="1:13" x14ac:dyDescent="0.25">
      <c r="A816" t="s">
        <v>279</v>
      </c>
      <c r="B816" t="str">
        <f>TEXT(Tabla24[[#This Row],[Fecha]],"dddd")</f>
        <v>miércoles</v>
      </c>
      <c r="C816" t="str">
        <f>TEXT(Tabla24[[#This Row],[Fecha]],"mmmm")</f>
        <v>marzo</v>
      </c>
      <c r="D816" t="str">
        <f>TEXT(Tabla24[[#This Row],[Fecha]],"aaaa")</f>
        <v>2024</v>
      </c>
      <c r="E816" t="s">
        <v>18</v>
      </c>
      <c r="F816" t="s">
        <v>23</v>
      </c>
      <c r="G816" t="s">
        <v>44</v>
      </c>
      <c r="H816" t="s">
        <v>19</v>
      </c>
      <c r="I816" t="s">
        <v>40</v>
      </c>
      <c r="J816">
        <v>4</v>
      </c>
      <c r="K816">
        <v>39554</v>
      </c>
      <c r="L816">
        <f>Tabla24[[#This Row],[Precio_Unitario]]*Tabla24[[#This Row],[Unidades_Vendidas]]</f>
        <v>158216</v>
      </c>
      <c r="M816" t="s">
        <v>36</v>
      </c>
    </row>
    <row r="817" spans="1:13" x14ac:dyDescent="0.25">
      <c r="A817" t="s">
        <v>356</v>
      </c>
      <c r="B817" t="str">
        <f>TEXT(Tabla24[[#This Row],[Fecha]],"dddd")</f>
        <v>jueves</v>
      </c>
      <c r="C817" t="str">
        <f>TEXT(Tabla24[[#This Row],[Fecha]],"mmmm")</f>
        <v>septiembre</v>
      </c>
      <c r="D817" t="str">
        <f>TEXT(Tabla24[[#This Row],[Fecha]],"aaaa")</f>
        <v>2024</v>
      </c>
      <c r="E817" t="s">
        <v>18</v>
      </c>
      <c r="F817" t="s">
        <v>38</v>
      </c>
      <c r="G817" t="s">
        <v>13</v>
      </c>
      <c r="H817" t="s">
        <v>14</v>
      </c>
      <c r="I817" t="s">
        <v>40</v>
      </c>
      <c r="J817">
        <v>18</v>
      </c>
      <c r="K817">
        <v>52229</v>
      </c>
      <c r="L817">
        <f>Tabla24[[#This Row],[Precio_Unitario]]*Tabla24[[#This Row],[Unidades_Vendidas]]</f>
        <v>940122</v>
      </c>
      <c r="M817" t="s">
        <v>36</v>
      </c>
    </row>
    <row r="818" spans="1:13" x14ac:dyDescent="0.25">
      <c r="A818" t="s">
        <v>241</v>
      </c>
      <c r="B818" t="str">
        <f>TEXT(Tabla24[[#This Row],[Fecha]],"dddd")</f>
        <v>domingo</v>
      </c>
      <c r="C818" t="str">
        <f>TEXT(Tabla24[[#This Row],[Fecha]],"mmmm")</f>
        <v>febrero</v>
      </c>
      <c r="D818" t="str">
        <f>TEXT(Tabla24[[#This Row],[Fecha]],"aaaa")</f>
        <v>2024</v>
      </c>
      <c r="E818" t="s">
        <v>42</v>
      </c>
      <c r="F818" t="s">
        <v>29</v>
      </c>
      <c r="G818" t="s">
        <v>24</v>
      </c>
      <c r="H818" t="s">
        <v>35</v>
      </c>
      <c r="I818" t="s">
        <v>26</v>
      </c>
      <c r="J818">
        <v>16</v>
      </c>
      <c r="K818">
        <v>53109</v>
      </c>
      <c r="L818">
        <f>Tabla24[[#This Row],[Precio_Unitario]]*Tabla24[[#This Row],[Unidades_Vendidas]]</f>
        <v>849744</v>
      </c>
      <c r="M818" t="s">
        <v>27</v>
      </c>
    </row>
    <row r="819" spans="1:13" x14ac:dyDescent="0.25">
      <c r="A819" t="s">
        <v>125</v>
      </c>
      <c r="B819" t="str">
        <f>TEXT(Tabla24[[#This Row],[Fecha]],"dddd")</f>
        <v>martes</v>
      </c>
      <c r="C819" t="str">
        <f>TEXT(Tabla24[[#This Row],[Fecha]],"mmmm")</f>
        <v>septiembre</v>
      </c>
      <c r="D819" t="str">
        <f>TEXT(Tabla24[[#This Row],[Fecha]],"aaaa")</f>
        <v>2024</v>
      </c>
      <c r="E819" t="s">
        <v>18</v>
      </c>
      <c r="F819" t="s">
        <v>23</v>
      </c>
      <c r="G819" t="s">
        <v>13</v>
      </c>
      <c r="H819" t="s">
        <v>35</v>
      </c>
      <c r="I819" t="s">
        <v>40</v>
      </c>
      <c r="J819">
        <v>2</v>
      </c>
      <c r="K819">
        <v>42542</v>
      </c>
      <c r="L819">
        <f>Tabla24[[#This Row],[Precio_Unitario]]*Tabla24[[#This Row],[Unidades_Vendidas]]</f>
        <v>85084</v>
      </c>
      <c r="M819" t="s">
        <v>27</v>
      </c>
    </row>
    <row r="820" spans="1:13" x14ac:dyDescent="0.25">
      <c r="A820" t="s">
        <v>342</v>
      </c>
      <c r="B820" t="str">
        <f>TEXT(Tabla24[[#This Row],[Fecha]],"dddd")</f>
        <v>viernes</v>
      </c>
      <c r="C820" t="str">
        <f>TEXT(Tabla24[[#This Row],[Fecha]],"mmmm")</f>
        <v>julio</v>
      </c>
      <c r="D820" t="str">
        <f>TEXT(Tabla24[[#This Row],[Fecha]],"aaaa")</f>
        <v>2024</v>
      </c>
      <c r="E820" t="s">
        <v>22</v>
      </c>
      <c r="F820" t="s">
        <v>34</v>
      </c>
      <c r="G820" t="s">
        <v>13</v>
      </c>
      <c r="H820" t="s">
        <v>35</v>
      </c>
      <c r="I820" t="s">
        <v>15</v>
      </c>
      <c r="J820">
        <v>20</v>
      </c>
      <c r="K820">
        <v>29779</v>
      </c>
      <c r="L820">
        <f>Tabla24[[#This Row],[Precio_Unitario]]*Tabla24[[#This Row],[Unidades_Vendidas]]</f>
        <v>595580</v>
      </c>
      <c r="M820" t="s">
        <v>20</v>
      </c>
    </row>
    <row r="821" spans="1:13" x14ac:dyDescent="0.25">
      <c r="A821" t="s">
        <v>266</v>
      </c>
      <c r="B821" t="str">
        <f>TEXT(Tabla24[[#This Row],[Fecha]],"dddd")</f>
        <v>miércoles</v>
      </c>
      <c r="C821" t="str">
        <f>TEXT(Tabla24[[#This Row],[Fecha]],"mmmm")</f>
        <v>octubre</v>
      </c>
      <c r="D821" t="str">
        <f>TEXT(Tabla24[[#This Row],[Fecha]],"aaaa")</f>
        <v>2024</v>
      </c>
      <c r="E821" t="s">
        <v>33</v>
      </c>
      <c r="F821" t="s">
        <v>12</v>
      </c>
      <c r="G821" t="s">
        <v>44</v>
      </c>
      <c r="H821" t="s">
        <v>19</v>
      </c>
      <c r="I821" t="s">
        <v>26</v>
      </c>
      <c r="J821">
        <v>10</v>
      </c>
      <c r="K821">
        <v>23320</v>
      </c>
      <c r="L821">
        <f>Tabla24[[#This Row],[Precio_Unitario]]*Tabla24[[#This Row],[Unidades_Vendidas]]</f>
        <v>233200</v>
      </c>
      <c r="M821" t="s">
        <v>27</v>
      </c>
    </row>
    <row r="822" spans="1:13" x14ac:dyDescent="0.25">
      <c r="A822" t="s">
        <v>256</v>
      </c>
      <c r="B822" t="str">
        <f>TEXT(Tabla24[[#This Row],[Fecha]],"dddd")</f>
        <v>martes</v>
      </c>
      <c r="C822" t="str">
        <f>TEXT(Tabla24[[#This Row],[Fecha]],"mmmm")</f>
        <v>noviembre</v>
      </c>
      <c r="D822" t="str">
        <f>TEXT(Tabla24[[#This Row],[Fecha]],"aaaa")</f>
        <v>2024</v>
      </c>
      <c r="E822" t="s">
        <v>42</v>
      </c>
      <c r="F822" t="s">
        <v>12</v>
      </c>
      <c r="G822" t="s">
        <v>48</v>
      </c>
      <c r="H822" t="s">
        <v>35</v>
      </c>
      <c r="I822" t="s">
        <v>15</v>
      </c>
      <c r="J822">
        <v>7</v>
      </c>
      <c r="K822">
        <v>29926</v>
      </c>
      <c r="L822">
        <f>Tabla24[[#This Row],[Precio_Unitario]]*Tabla24[[#This Row],[Unidades_Vendidas]]</f>
        <v>209482</v>
      </c>
      <c r="M822" t="s">
        <v>36</v>
      </c>
    </row>
    <row r="823" spans="1:13" x14ac:dyDescent="0.25">
      <c r="A823" t="s">
        <v>246</v>
      </c>
      <c r="B823" t="str">
        <f>TEXT(Tabla24[[#This Row],[Fecha]],"dddd")</f>
        <v>martes</v>
      </c>
      <c r="C823" t="str">
        <f>TEXT(Tabla24[[#This Row],[Fecha]],"mmmm")</f>
        <v>noviembre</v>
      </c>
      <c r="D823" t="str">
        <f>TEXT(Tabla24[[#This Row],[Fecha]],"aaaa")</f>
        <v>2024</v>
      </c>
      <c r="E823" t="s">
        <v>42</v>
      </c>
      <c r="F823" t="s">
        <v>23</v>
      </c>
      <c r="G823" t="s">
        <v>39</v>
      </c>
      <c r="H823" t="s">
        <v>30</v>
      </c>
      <c r="I823" t="s">
        <v>40</v>
      </c>
      <c r="J823">
        <v>13</v>
      </c>
      <c r="K823">
        <v>23157</v>
      </c>
      <c r="L823">
        <f>Tabla24[[#This Row],[Precio_Unitario]]*Tabla24[[#This Row],[Unidades_Vendidas]]</f>
        <v>301041</v>
      </c>
      <c r="M823" t="s">
        <v>16</v>
      </c>
    </row>
    <row r="824" spans="1:13" x14ac:dyDescent="0.25">
      <c r="A824" t="s">
        <v>89</v>
      </c>
      <c r="B824" t="str">
        <f>TEXT(Tabla24[[#This Row],[Fecha]],"dddd")</f>
        <v>lunes</v>
      </c>
      <c r="C824" t="str">
        <f>TEXT(Tabla24[[#This Row],[Fecha]],"mmmm")</f>
        <v>agosto</v>
      </c>
      <c r="D824" t="str">
        <f>TEXT(Tabla24[[#This Row],[Fecha]],"aaaa")</f>
        <v>2024</v>
      </c>
      <c r="E824" t="s">
        <v>42</v>
      </c>
      <c r="F824" t="s">
        <v>34</v>
      </c>
      <c r="G824" t="s">
        <v>44</v>
      </c>
      <c r="H824" t="s">
        <v>19</v>
      </c>
      <c r="I824" t="s">
        <v>26</v>
      </c>
      <c r="J824">
        <v>17</v>
      </c>
      <c r="K824">
        <v>28321</v>
      </c>
      <c r="L824">
        <f>Tabla24[[#This Row],[Precio_Unitario]]*Tabla24[[#This Row],[Unidades_Vendidas]]</f>
        <v>481457</v>
      </c>
      <c r="M824" t="s">
        <v>27</v>
      </c>
    </row>
    <row r="825" spans="1:13" x14ac:dyDescent="0.25">
      <c r="A825" t="s">
        <v>345</v>
      </c>
      <c r="B825" t="str">
        <f>TEXT(Tabla24[[#This Row],[Fecha]],"dddd")</f>
        <v>domingo</v>
      </c>
      <c r="C825" t="str">
        <f>TEXT(Tabla24[[#This Row],[Fecha]],"mmmm")</f>
        <v>septiembre</v>
      </c>
      <c r="D825" t="str">
        <f>TEXT(Tabla24[[#This Row],[Fecha]],"aaaa")</f>
        <v>2024</v>
      </c>
      <c r="E825" t="s">
        <v>11</v>
      </c>
      <c r="F825" t="s">
        <v>12</v>
      </c>
      <c r="G825" t="s">
        <v>48</v>
      </c>
      <c r="H825" t="s">
        <v>30</v>
      </c>
      <c r="I825" t="s">
        <v>26</v>
      </c>
      <c r="J825">
        <v>11</v>
      </c>
      <c r="K825">
        <v>28315</v>
      </c>
      <c r="L825">
        <f>Tabla24[[#This Row],[Precio_Unitario]]*Tabla24[[#This Row],[Unidades_Vendidas]]</f>
        <v>311465</v>
      </c>
      <c r="M825" t="s">
        <v>16</v>
      </c>
    </row>
    <row r="826" spans="1:13" x14ac:dyDescent="0.25">
      <c r="A826" t="s">
        <v>247</v>
      </c>
      <c r="B826" t="str">
        <f>TEXT(Tabla24[[#This Row],[Fecha]],"dddd")</f>
        <v>miércoles</v>
      </c>
      <c r="C826" t="str">
        <f>TEXT(Tabla24[[#This Row],[Fecha]],"mmmm")</f>
        <v>febrero</v>
      </c>
      <c r="D826" t="str">
        <f>TEXT(Tabla24[[#This Row],[Fecha]],"aaaa")</f>
        <v>2024</v>
      </c>
      <c r="E826" t="s">
        <v>18</v>
      </c>
      <c r="F826" t="s">
        <v>34</v>
      </c>
      <c r="G826" t="s">
        <v>44</v>
      </c>
      <c r="H826" t="s">
        <v>30</v>
      </c>
      <c r="I826" t="s">
        <v>26</v>
      </c>
      <c r="J826">
        <v>1</v>
      </c>
      <c r="K826">
        <v>31785</v>
      </c>
      <c r="L826">
        <f>Tabla24[[#This Row],[Precio_Unitario]]*Tabla24[[#This Row],[Unidades_Vendidas]]</f>
        <v>31785</v>
      </c>
      <c r="M826" t="s">
        <v>20</v>
      </c>
    </row>
    <row r="827" spans="1:13" x14ac:dyDescent="0.25">
      <c r="A827" t="s">
        <v>239</v>
      </c>
      <c r="B827" t="str">
        <f>TEXT(Tabla24[[#This Row],[Fecha]],"dddd")</f>
        <v>sábado</v>
      </c>
      <c r="C827" t="str">
        <f>TEXT(Tabla24[[#This Row],[Fecha]],"mmmm")</f>
        <v>marzo</v>
      </c>
      <c r="D827" t="str">
        <f>TEXT(Tabla24[[#This Row],[Fecha]],"aaaa")</f>
        <v>2024</v>
      </c>
      <c r="E827" t="s">
        <v>22</v>
      </c>
      <c r="F827" t="s">
        <v>23</v>
      </c>
      <c r="G827" t="s">
        <v>13</v>
      </c>
      <c r="H827" t="s">
        <v>30</v>
      </c>
      <c r="I827" t="s">
        <v>26</v>
      </c>
      <c r="J827">
        <v>8</v>
      </c>
      <c r="K827">
        <v>46410</v>
      </c>
      <c r="L827">
        <f>Tabla24[[#This Row],[Precio_Unitario]]*Tabla24[[#This Row],[Unidades_Vendidas]]</f>
        <v>371280</v>
      </c>
      <c r="M827" t="s">
        <v>16</v>
      </c>
    </row>
    <row r="828" spans="1:13" x14ac:dyDescent="0.25">
      <c r="A828" t="s">
        <v>357</v>
      </c>
      <c r="B828" t="str">
        <f>TEXT(Tabla24[[#This Row],[Fecha]],"dddd")</f>
        <v>jueves</v>
      </c>
      <c r="C828" t="str">
        <f>TEXT(Tabla24[[#This Row],[Fecha]],"mmmm")</f>
        <v>agosto</v>
      </c>
      <c r="D828" t="str">
        <f>TEXT(Tabla24[[#This Row],[Fecha]],"aaaa")</f>
        <v>2024</v>
      </c>
      <c r="E828" t="s">
        <v>11</v>
      </c>
      <c r="F828" t="s">
        <v>12</v>
      </c>
      <c r="G828" t="s">
        <v>44</v>
      </c>
      <c r="H828" t="s">
        <v>19</v>
      </c>
      <c r="I828" t="s">
        <v>15</v>
      </c>
      <c r="J828">
        <v>20</v>
      </c>
      <c r="K828">
        <v>33760</v>
      </c>
      <c r="L828">
        <f>Tabla24[[#This Row],[Precio_Unitario]]*Tabla24[[#This Row],[Unidades_Vendidas]]</f>
        <v>675200</v>
      </c>
      <c r="M828" t="s">
        <v>20</v>
      </c>
    </row>
    <row r="829" spans="1:13" x14ac:dyDescent="0.25">
      <c r="A829" t="s">
        <v>133</v>
      </c>
      <c r="B829" t="str">
        <f>TEXT(Tabla24[[#This Row],[Fecha]],"dddd")</f>
        <v>viernes</v>
      </c>
      <c r="C829" t="str">
        <f>TEXT(Tabla24[[#This Row],[Fecha]],"mmmm")</f>
        <v>junio</v>
      </c>
      <c r="D829" t="str">
        <f>TEXT(Tabla24[[#This Row],[Fecha]],"aaaa")</f>
        <v>2024</v>
      </c>
      <c r="E829" t="s">
        <v>42</v>
      </c>
      <c r="F829" t="s">
        <v>23</v>
      </c>
      <c r="G829" t="s">
        <v>13</v>
      </c>
      <c r="H829" t="s">
        <v>35</v>
      </c>
      <c r="I829" t="s">
        <v>26</v>
      </c>
      <c r="J829">
        <v>1</v>
      </c>
      <c r="K829">
        <v>23038</v>
      </c>
      <c r="L829">
        <f>Tabla24[[#This Row],[Precio_Unitario]]*Tabla24[[#This Row],[Unidades_Vendidas]]</f>
        <v>23038</v>
      </c>
      <c r="M829" t="s">
        <v>20</v>
      </c>
    </row>
    <row r="830" spans="1:13" x14ac:dyDescent="0.25">
      <c r="A830" t="s">
        <v>198</v>
      </c>
      <c r="B830" t="str">
        <f>TEXT(Tabla24[[#This Row],[Fecha]],"dddd")</f>
        <v>viernes</v>
      </c>
      <c r="C830" t="str">
        <f>TEXT(Tabla24[[#This Row],[Fecha]],"mmmm")</f>
        <v>marzo</v>
      </c>
      <c r="D830" t="str">
        <f>TEXT(Tabla24[[#This Row],[Fecha]],"aaaa")</f>
        <v>2024</v>
      </c>
      <c r="E830" t="s">
        <v>42</v>
      </c>
      <c r="F830" t="s">
        <v>34</v>
      </c>
      <c r="G830" t="s">
        <v>44</v>
      </c>
      <c r="H830" t="s">
        <v>30</v>
      </c>
      <c r="I830" t="s">
        <v>40</v>
      </c>
      <c r="J830">
        <v>17</v>
      </c>
      <c r="K830">
        <v>50855</v>
      </c>
      <c r="L830">
        <f>Tabla24[[#This Row],[Precio_Unitario]]*Tabla24[[#This Row],[Unidades_Vendidas]]</f>
        <v>864535</v>
      </c>
      <c r="M830" t="s">
        <v>16</v>
      </c>
    </row>
    <row r="831" spans="1:13" x14ac:dyDescent="0.25">
      <c r="A831" t="s">
        <v>110</v>
      </c>
      <c r="B831" t="str">
        <f>TEXT(Tabla24[[#This Row],[Fecha]],"dddd")</f>
        <v>martes</v>
      </c>
      <c r="C831" t="str">
        <f>TEXT(Tabla24[[#This Row],[Fecha]],"mmmm")</f>
        <v>enero</v>
      </c>
      <c r="D831" t="str">
        <f>TEXT(Tabla24[[#This Row],[Fecha]],"aaaa")</f>
        <v>2024</v>
      </c>
      <c r="E831" t="s">
        <v>33</v>
      </c>
      <c r="F831" t="s">
        <v>29</v>
      </c>
      <c r="G831" t="s">
        <v>48</v>
      </c>
      <c r="H831" t="s">
        <v>19</v>
      </c>
      <c r="I831" t="s">
        <v>15</v>
      </c>
      <c r="J831">
        <v>17</v>
      </c>
      <c r="K831">
        <v>36333</v>
      </c>
      <c r="L831">
        <f>Tabla24[[#This Row],[Precio_Unitario]]*Tabla24[[#This Row],[Unidades_Vendidas]]</f>
        <v>617661</v>
      </c>
      <c r="M831" t="s">
        <v>20</v>
      </c>
    </row>
    <row r="832" spans="1:13" x14ac:dyDescent="0.25">
      <c r="A832" t="s">
        <v>358</v>
      </c>
      <c r="B832" t="str">
        <f>TEXT(Tabla24[[#This Row],[Fecha]],"dddd")</f>
        <v>martes</v>
      </c>
      <c r="C832" t="str">
        <f>TEXT(Tabla24[[#This Row],[Fecha]],"mmmm")</f>
        <v>octubre</v>
      </c>
      <c r="D832" t="str">
        <f>TEXT(Tabla24[[#This Row],[Fecha]],"aaaa")</f>
        <v>2024</v>
      </c>
      <c r="E832" t="s">
        <v>33</v>
      </c>
      <c r="F832" t="s">
        <v>23</v>
      </c>
      <c r="G832" t="s">
        <v>13</v>
      </c>
      <c r="H832" t="s">
        <v>14</v>
      </c>
      <c r="I832" t="s">
        <v>40</v>
      </c>
      <c r="J832">
        <v>17</v>
      </c>
      <c r="K832">
        <v>22335</v>
      </c>
      <c r="L832">
        <f>Tabla24[[#This Row],[Precio_Unitario]]*Tabla24[[#This Row],[Unidades_Vendidas]]</f>
        <v>379695</v>
      </c>
      <c r="M832" t="s">
        <v>16</v>
      </c>
    </row>
    <row r="833" spans="1:13" x14ac:dyDescent="0.25">
      <c r="A833" t="s">
        <v>17</v>
      </c>
      <c r="B833" t="str">
        <f>TEXT(Tabla24[[#This Row],[Fecha]],"dddd")</f>
        <v>lunes</v>
      </c>
      <c r="C833" t="str">
        <f>TEXT(Tabla24[[#This Row],[Fecha]],"mmmm")</f>
        <v>septiembre</v>
      </c>
      <c r="D833" t="str">
        <f>TEXT(Tabla24[[#This Row],[Fecha]],"aaaa")</f>
        <v>2024</v>
      </c>
      <c r="E833" t="s">
        <v>33</v>
      </c>
      <c r="F833" t="s">
        <v>23</v>
      </c>
      <c r="G833" t="s">
        <v>44</v>
      </c>
      <c r="H833" t="s">
        <v>19</v>
      </c>
      <c r="I833" t="s">
        <v>40</v>
      </c>
      <c r="J833">
        <v>5</v>
      </c>
      <c r="K833">
        <v>34703</v>
      </c>
      <c r="L833">
        <f>Tabla24[[#This Row],[Precio_Unitario]]*Tabla24[[#This Row],[Unidades_Vendidas]]</f>
        <v>173515</v>
      </c>
      <c r="M833" t="s">
        <v>20</v>
      </c>
    </row>
    <row r="834" spans="1:13" x14ac:dyDescent="0.25">
      <c r="A834" t="s">
        <v>359</v>
      </c>
      <c r="B834" t="str">
        <f>TEXT(Tabla24[[#This Row],[Fecha]],"dddd")</f>
        <v>domingo</v>
      </c>
      <c r="C834" t="str">
        <f>TEXT(Tabla24[[#This Row],[Fecha]],"mmmm")</f>
        <v>marzo</v>
      </c>
      <c r="D834" t="str">
        <f>TEXT(Tabla24[[#This Row],[Fecha]],"aaaa")</f>
        <v>2024</v>
      </c>
      <c r="E834" t="s">
        <v>33</v>
      </c>
      <c r="F834" t="s">
        <v>23</v>
      </c>
      <c r="G834" t="s">
        <v>44</v>
      </c>
      <c r="H834" t="s">
        <v>25</v>
      </c>
      <c r="I834" t="s">
        <v>15</v>
      </c>
      <c r="J834">
        <v>4</v>
      </c>
      <c r="K834">
        <v>17660</v>
      </c>
      <c r="L834">
        <f>Tabla24[[#This Row],[Precio_Unitario]]*Tabla24[[#This Row],[Unidades_Vendidas]]</f>
        <v>70640</v>
      </c>
      <c r="M834" t="s">
        <v>36</v>
      </c>
    </row>
    <row r="835" spans="1:13" x14ac:dyDescent="0.25">
      <c r="A835" t="s">
        <v>309</v>
      </c>
      <c r="B835" t="str">
        <f>TEXT(Tabla24[[#This Row],[Fecha]],"dddd")</f>
        <v>domingo</v>
      </c>
      <c r="C835" t="str">
        <f>TEXT(Tabla24[[#This Row],[Fecha]],"mmmm")</f>
        <v>mayo</v>
      </c>
      <c r="D835" t="str">
        <f>TEXT(Tabla24[[#This Row],[Fecha]],"aaaa")</f>
        <v>2024</v>
      </c>
      <c r="E835" t="s">
        <v>11</v>
      </c>
      <c r="F835" t="s">
        <v>29</v>
      </c>
      <c r="G835" t="s">
        <v>44</v>
      </c>
      <c r="H835" t="s">
        <v>19</v>
      </c>
      <c r="I835" t="s">
        <v>15</v>
      </c>
      <c r="J835">
        <v>17</v>
      </c>
      <c r="K835">
        <v>54607</v>
      </c>
      <c r="L835">
        <f>Tabla24[[#This Row],[Precio_Unitario]]*Tabla24[[#This Row],[Unidades_Vendidas]]</f>
        <v>928319</v>
      </c>
      <c r="M835" t="s">
        <v>20</v>
      </c>
    </row>
    <row r="836" spans="1:13" x14ac:dyDescent="0.25">
      <c r="A836" t="s">
        <v>300</v>
      </c>
      <c r="B836" t="str">
        <f>TEXT(Tabla24[[#This Row],[Fecha]],"dddd")</f>
        <v>martes</v>
      </c>
      <c r="C836" t="str">
        <f>TEXT(Tabla24[[#This Row],[Fecha]],"mmmm")</f>
        <v>febrero</v>
      </c>
      <c r="D836" t="str">
        <f>TEXT(Tabla24[[#This Row],[Fecha]],"aaaa")</f>
        <v>2024</v>
      </c>
      <c r="E836" t="s">
        <v>18</v>
      </c>
      <c r="F836" t="s">
        <v>12</v>
      </c>
      <c r="G836" t="s">
        <v>44</v>
      </c>
      <c r="H836" t="s">
        <v>35</v>
      </c>
      <c r="I836" t="s">
        <v>15</v>
      </c>
      <c r="J836">
        <v>11</v>
      </c>
      <c r="K836">
        <v>40196</v>
      </c>
      <c r="L836">
        <f>Tabla24[[#This Row],[Precio_Unitario]]*Tabla24[[#This Row],[Unidades_Vendidas]]</f>
        <v>442156</v>
      </c>
      <c r="M836" t="s">
        <v>27</v>
      </c>
    </row>
    <row r="837" spans="1:13" x14ac:dyDescent="0.25">
      <c r="A837" t="s">
        <v>147</v>
      </c>
      <c r="B837" t="str">
        <f>TEXT(Tabla24[[#This Row],[Fecha]],"dddd")</f>
        <v>jueves</v>
      </c>
      <c r="C837" t="str">
        <f>TEXT(Tabla24[[#This Row],[Fecha]],"mmmm")</f>
        <v>noviembre</v>
      </c>
      <c r="D837" t="str">
        <f>TEXT(Tabla24[[#This Row],[Fecha]],"aaaa")</f>
        <v>2024</v>
      </c>
      <c r="E837" t="s">
        <v>33</v>
      </c>
      <c r="F837" t="s">
        <v>38</v>
      </c>
      <c r="G837" t="s">
        <v>39</v>
      </c>
      <c r="H837" t="s">
        <v>30</v>
      </c>
      <c r="I837" t="s">
        <v>40</v>
      </c>
      <c r="J837">
        <v>5</v>
      </c>
      <c r="K837">
        <v>46244</v>
      </c>
      <c r="L837">
        <f>Tabla24[[#This Row],[Precio_Unitario]]*Tabla24[[#This Row],[Unidades_Vendidas]]</f>
        <v>231220</v>
      </c>
      <c r="M837" t="s">
        <v>27</v>
      </c>
    </row>
    <row r="838" spans="1:13" x14ac:dyDescent="0.25">
      <c r="A838" t="s">
        <v>124</v>
      </c>
      <c r="B838" t="str">
        <f>TEXT(Tabla24[[#This Row],[Fecha]],"dddd")</f>
        <v>sábado</v>
      </c>
      <c r="C838" t="str">
        <f>TEXT(Tabla24[[#This Row],[Fecha]],"mmmm")</f>
        <v>junio</v>
      </c>
      <c r="D838" t="str">
        <f>TEXT(Tabla24[[#This Row],[Fecha]],"aaaa")</f>
        <v>2024</v>
      </c>
      <c r="E838" t="s">
        <v>42</v>
      </c>
      <c r="F838" t="s">
        <v>34</v>
      </c>
      <c r="G838" t="s">
        <v>48</v>
      </c>
      <c r="H838" t="s">
        <v>19</v>
      </c>
      <c r="I838" t="s">
        <v>40</v>
      </c>
      <c r="J838">
        <v>10</v>
      </c>
      <c r="K838">
        <v>58318</v>
      </c>
      <c r="L838">
        <f>Tabla24[[#This Row],[Precio_Unitario]]*Tabla24[[#This Row],[Unidades_Vendidas]]</f>
        <v>583180</v>
      </c>
      <c r="M838" t="s">
        <v>20</v>
      </c>
    </row>
    <row r="839" spans="1:13" x14ac:dyDescent="0.25">
      <c r="A839" t="s">
        <v>360</v>
      </c>
      <c r="B839" t="str">
        <f>TEXT(Tabla24[[#This Row],[Fecha]],"dddd")</f>
        <v>martes</v>
      </c>
      <c r="C839" t="str">
        <f>TEXT(Tabla24[[#This Row],[Fecha]],"mmmm")</f>
        <v>abril</v>
      </c>
      <c r="D839" t="str">
        <f>TEXT(Tabla24[[#This Row],[Fecha]],"aaaa")</f>
        <v>2024</v>
      </c>
      <c r="E839" t="s">
        <v>18</v>
      </c>
      <c r="F839" t="s">
        <v>38</v>
      </c>
      <c r="G839" t="s">
        <v>39</v>
      </c>
      <c r="H839" t="s">
        <v>19</v>
      </c>
      <c r="I839" t="s">
        <v>26</v>
      </c>
      <c r="J839">
        <v>9</v>
      </c>
      <c r="K839">
        <v>16283</v>
      </c>
      <c r="L839">
        <f>Tabla24[[#This Row],[Precio_Unitario]]*Tabla24[[#This Row],[Unidades_Vendidas]]</f>
        <v>146547</v>
      </c>
      <c r="M839" t="s">
        <v>36</v>
      </c>
    </row>
    <row r="840" spans="1:13" x14ac:dyDescent="0.25">
      <c r="A840" t="s">
        <v>203</v>
      </c>
      <c r="B840" t="str">
        <f>TEXT(Tabla24[[#This Row],[Fecha]],"dddd")</f>
        <v>martes</v>
      </c>
      <c r="C840" t="str">
        <f>TEXT(Tabla24[[#This Row],[Fecha]],"mmmm")</f>
        <v>junio</v>
      </c>
      <c r="D840" t="str">
        <f>TEXT(Tabla24[[#This Row],[Fecha]],"aaaa")</f>
        <v>2024</v>
      </c>
      <c r="E840" t="s">
        <v>33</v>
      </c>
      <c r="F840" t="s">
        <v>23</v>
      </c>
      <c r="G840" t="s">
        <v>48</v>
      </c>
      <c r="H840" t="s">
        <v>30</v>
      </c>
      <c r="I840" t="s">
        <v>40</v>
      </c>
      <c r="J840">
        <v>10</v>
      </c>
      <c r="K840">
        <v>23813</v>
      </c>
      <c r="L840">
        <f>Tabla24[[#This Row],[Precio_Unitario]]*Tabla24[[#This Row],[Unidades_Vendidas]]</f>
        <v>238130</v>
      </c>
      <c r="M840" t="s">
        <v>36</v>
      </c>
    </row>
    <row r="841" spans="1:13" x14ac:dyDescent="0.25">
      <c r="A841" t="s">
        <v>122</v>
      </c>
      <c r="B841" t="str">
        <f>TEXT(Tabla24[[#This Row],[Fecha]],"dddd")</f>
        <v>viernes</v>
      </c>
      <c r="C841" t="str">
        <f>TEXT(Tabla24[[#This Row],[Fecha]],"mmmm")</f>
        <v>enero</v>
      </c>
      <c r="D841" t="str">
        <f>TEXT(Tabla24[[#This Row],[Fecha]],"aaaa")</f>
        <v>2024</v>
      </c>
      <c r="E841" t="s">
        <v>22</v>
      </c>
      <c r="F841" t="s">
        <v>29</v>
      </c>
      <c r="G841" t="s">
        <v>24</v>
      </c>
      <c r="H841" t="s">
        <v>19</v>
      </c>
      <c r="I841" t="s">
        <v>15</v>
      </c>
      <c r="J841">
        <v>7</v>
      </c>
      <c r="K841">
        <v>53800</v>
      </c>
      <c r="L841">
        <f>Tabla24[[#This Row],[Precio_Unitario]]*Tabla24[[#This Row],[Unidades_Vendidas]]</f>
        <v>376600</v>
      </c>
      <c r="M841" t="s">
        <v>16</v>
      </c>
    </row>
    <row r="842" spans="1:13" x14ac:dyDescent="0.25">
      <c r="A842" t="s">
        <v>171</v>
      </c>
      <c r="B842" t="str">
        <f>TEXT(Tabla24[[#This Row],[Fecha]],"dddd")</f>
        <v>miércoles</v>
      </c>
      <c r="C842" t="str">
        <f>TEXT(Tabla24[[#This Row],[Fecha]],"mmmm")</f>
        <v>noviembre</v>
      </c>
      <c r="D842" t="str">
        <f>TEXT(Tabla24[[#This Row],[Fecha]],"aaaa")</f>
        <v>2024</v>
      </c>
      <c r="E842" t="s">
        <v>11</v>
      </c>
      <c r="F842" t="s">
        <v>12</v>
      </c>
      <c r="G842" t="s">
        <v>48</v>
      </c>
      <c r="H842" t="s">
        <v>35</v>
      </c>
      <c r="I842" t="s">
        <v>26</v>
      </c>
      <c r="J842">
        <v>6</v>
      </c>
      <c r="K842">
        <v>24569</v>
      </c>
      <c r="L842">
        <f>Tabla24[[#This Row],[Precio_Unitario]]*Tabla24[[#This Row],[Unidades_Vendidas]]</f>
        <v>147414</v>
      </c>
      <c r="M842" t="s">
        <v>27</v>
      </c>
    </row>
    <row r="843" spans="1:13" x14ac:dyDescent="0.25">
      <c r="A843" t="s">
        <v>227</v>
      </c>
      <c r="B843" t="str">
        <f>TEXT(Tabla24[[#This Row],[Fecha]],"dddd")</f>
        <v>jueves</v>
      </c>
      <c r="C843" t="str">
        <f>TEXT(Tabla24[[#This Row],[Fecha]],"mmmm")</f>
        <v>enero</v>
      </c>
      <c r="D843" t="str">
        <f>TEXT(Tabla24[[#This Row],[Fecha]],"aaaa")</f>
        <v>2024</v>
      </c>
      <c r="E843" t="s">
        <v>11</v>
      </c>
      <c r="F843" t="s">
        <v>34</v>
      </c>
      <c r="G843" t="s">
        <v>48</v>
      </c>
      <c r="H843" t="s">
        <v>19</v>
      </c>
      <c r="I843" t="s">
        <v>15</v>
      </c>
      <c r="J843">
        <v>18</v>
      </c>
      <c r="K843">
        <v>46562</v>
      </c>
      <c r="L843">
        <f>Tabla24[[#This Row],[Precio_Unitario]]*Tabla24[[#This Row],[Unidades_Vendidas]]</f>
        <v>838116</v>
      </c>
      <c r="M843" t="s">
        <v>20</v>
      </c>
    </row>
    <row r="844" spans="1:13" x14ac:dyDescent="0.25">
      <c r="A844" t="s">
        <v>10</v>
      </c>
      <c r="B844" t="str">
        <f>TEXT(Tabla24[[#This Row],[Fecha]],"dddd")</f>
        <v>martes</v>
      </c>
      <c r="C844" t="str">
        <f>TEXT(Tabla24[[#This Row],[Fecha]],"mmmm")</f>
        <v>julio</v>
      </c>
      <c r="D844" t="str">
        <f>TEXT(Tabla24[[#This Row],[Fecha]],"aaaa")</f>
        <v>2024</v>
      </c>
      <c r="E844" t="s">
        <v>33</v>
      </c>
      <c r="F844" t="s">
        <v>12</v>
      </c>
      <c r="G844" t="s">
        <v>24</v>
      </c>
      <c r="H844" t="s">
        <v>19</v>
      </c>
      <c r="I844" t="s">
        <v>40</v>
      </c>
      <c r="J844">
        <v>18</v>
      </c>
      <c r="K844">
        <v>43965</v>
      </c>
      <c r="L844">
        <f>Tabla24[[#This Row],[Precio_Unitario]]*Tabla24[[#This Row],[Unidades_Vendidas]]</f>
        <v>791370</v>
      </c>
      <c r="M844" t="s">
        <v>20</v>
      </c>
    </row>
    <row r="845" spans="1:13" x14ac:dyDescent="0.25">
      <c r="A845" t="s">
        <v>151</v>
      </c>
      <c r="B845" t="str">
        <f>TEXT(Tabla24[[#This Row],[Fecha]],"dddd")</f>
        <v>domingo</v>
      </c>
      <c r="C845" t="str">
        <f>TEXT(Tabla24[[#This Row],[Fecha]],"mmmm")</f>
        <v>mayo</v>
      </c>
      <c r="D845" t="str">
        <f>TEXT(Tabla24[[#This Row],[Fecha]],"aaaa")</f>
        <v>2024</v>
      </c>
      <c r="E845" t="s">
        <v>42</v>
      </c>
      <c r="F845" t="s">
        <v>29</v>
      </c>
      <c r="G845" t="s">
        <v>24</v>
      </c>
      <c r="H845" t="s">
        <v>14</v>
      </c>
      <c r="I845" t="s">
        <v>26</v>
      </c>
      <c r="J845">
        <v>20</v>
      </c>
      <c r="K845">
        <v>54565</v>
      </c>
      <c r="L845">
        <f>Tabla24[[#This Row],[Precio_Unitario]]*Tabla24[[#This Row],[Unidades_Vendidas]]</f>
        <v>1091300</v>
      </c>
      <c r="M845" t="s">
        <v>20</v>
      </c>
    </row>
    <row r="846" spans="1:13" x14ac:dyDescent="0.25">
      <c r="A846" t="s">
        <v>260</v>
      </c>
      <c r="B846" t="str">
        <f>TEXT(Tabla24[[#This Row],[Fecha]],"dddd")</f>
        <v>viernes</v>
      </c>
      <c r="C846" t="str">
        <f>TEXT(Tabla24[[#This Row],[Fecha]],"mmmm")</f>
        <v>noviembre</v>
      </c>
      <c r="D846" t="str">
        <f>TEXT(Tabla24[[#This Row],[Fecha]],"aaaa")</f>
        <v>2024</v>
      </c>
      <c r="E846" t="s">
        <v>11</v>
      </c>
      <c r="F846" t="s">
        <v>12</v>
      </c>
      <c r="G846" t="s">
        <v>48</v>
      </c>
      <c r="H846" t="s">
        <v>30</v>
      </c>
      <c r="I846" t="s">
        <v>40</v>
      </c>
      <c r="J846">
        <v>8</v>
      </c>
      <c r="K846">
        <v>19371</v>
      </c>
      <c r="L846">
        <f>Tabla24[[#This Row],[Precio_Unitario]]*Tabla24[[#This Row],[Unidades_Vendidas]]</f>
        <v>154968</v>
      </c>
      <c r="M846" t="s">
        <v>27</v>
      </c>
    </row>
    <row r="847" spans="1:13" x14ac:dyDescent="0.25">
      <c r="A847" t="s">
        <v>132</v>
      </c>
      <c r="B847" t="str">
        <f>TEXT(Tabla24[[#This Row],[Fecha]],"dddd")</f>
        <v>jueves</v>
      </c>
      <c r="C847" t="str">
        <f>TEXT(Tabla24[[#This Row],[Fecha]],"mmmm")</f>
        <v>enero</v>
      </c>
      <c r="D847" t="str">
        <f>TEXT(Tabla24[[#This Row],[Fecha]],"aaaa")</f>
        <v>2024</v>
      </c>
      <c r="E847" t="s">
        <v>18</v>
      </c>
      <c r="F847" t="s">
        <v>23</v>
      </c>
      <c r="G847" t="s">
        <v>48</v>
      </c>
      <c r="H847" t="s">
        <v>25</v>
      </c>
      <c r="I847" t="s">
        <v>40</v>
      </c>
      <c r="J847">
        <v>15</v>
      </c>
      <c r="K847">
        <v>20270</v>
      </c>
      <c r="L847">
        <f>Tabla24[[#This Row],[Precio_Unitario]]*Tabla24[[#This Row],[Unidades_Vendidas]]</f>
        <v>304050</v>
      </c>
      <c r="M847" t="s">
        <v>27</v>
      </c>
    </row>
    <row r="848" spans="1:13" x14ac:dyDescent="0.25">
      <c r="A848" t="s">
        <v>117</v>
      </c>
      <c r="B848" t="str">
        <f>TEXT(Tabla24[[#This Row],[Fecha]],"dddd")</f>
        <v>domingo</v>
      </c>
      <c r="C848" t="str">
        <f>TEXT(Tabla24[[#This Row],[Fecha]],"mmmm")</f>
        <v>enero</v>
      </c>
      <c r="D848" t="str">
        <f>TEXT(Tabla24[[#This Row],[Fecha]],"aaaa")</f>
        <v>2024</v>
      </c>
      <c r="E848" t="s">
        <v>42</v>
      </c>
      <c r="F848" t="s">
        <v>34</v>
      </c>
      <c r="G848" t="s">
        <v>24</v>
      </c>
      <c r="H848" t="s">
        <v>14</v>
      </c>
      <c r="I848" t="s">
        <v>40</v>
      </c>
      <c r="J848">
        <v>13</v>
      </c>
      <c r="K848">
        <v>32737</v>
      </c>
      <c r="L848">
        <f>Tabla24[[#This Row],[Precio_Unitario]]*Tabla24[[#This Row],[Unidades_Vendidas]]</f>
        <v>425581</v>
      </c>
      <c r="M848" t="s">
        <v>27</v>
      </c>
    </row>
    <row r="849" spans="1:13" x14ac:dyDescent="0.25">
      <c r="A849" t="s">
        <v>361</v>
      </c>
      <c r="B849" t="str">
        <f>TEXT(Tabla24[[#This Row],[Fecha]],"dddd")</f>
        <v>martes</v>
      </c>
      <c r="C849" t="str">
        <f>TEXT(Tabla24[[#This Row],[Fecha]],"mmmm")</f>
        <v>junio</v>
      </c>
      <c r="D849" t="str">
        <f>TEXT(Tabla24[[#This Row],[Fecha]],"aaaa")</f>
        <v>2024</v>
      </c>
      <c r="E849" t="s">
        <v>22</v>
      </c>
      <c r="F849" t="s">
        <v>12</v>
      </c>
      <c r="G849" t="s">
        <v>13</v>
      </c>
      <c r="H849" t="s">
        <v>19</v>
      </c>
      <c r="I849" t="s">
        <v>40</v>
      </c>
      <c r="J849">
        <v>7</v>
      </c>
      <c r="K849">
        <v>20274</v>
      </c>
      <c r="L849">
        <f>Tabla24[[#This Row],[Precio_Unitario]]*Tabla24[[#This Row],[Unidades_Vendidas]]</f>
        <v>141918</v>
      </c>
      <c r="M849" t="s">
        <v>27</v>
      </c>
    </row>
    <row r="850" spans="1:13" x14ac:dyDescent="0.25">
      <c r="A850" t="s">
        <v>259</v>
      </c>
      <c r="B850" t="str">
        <f>TEXT(Tabla24[[#This Row],[Fecha]],"dddd")</f>
        <v>lunes</v>
      </c>
      <c r="C850" t="str">
        <f>TEXT(Tabla24[[#This Row],[Fecha]],"mmmm")</f>
        <v>noviembre</v>
      </c>
      <c r="D850" t="str">
        <f>TEXT(Tabla24[[#This Row],[Fecha]],"aaaa")</f>
        <v>2024</v>
      </c>
      <c r="E850" t="s">
        <v>42</v>
      </c>
      <c r="F850" t="s">
        <v>34</v>
      </c>
      <c r="G850" t="s">
        <v>13</v>
      </c>
      <c r="H850" t="s">
        <v>14</v>
      </c>
      <c r="I850" t="s">
        <v>40</v>
      </c>
      <c r="J850">
        <v>3</v>
      </c>
      <c r="K850">
        <v>59480</v>
      </c>
      <c r="L850">
        <f>Tabla24[[#This Row],[Precio_Unitario]]*Tabla24[[#This Row],[Unidades_Vendidas]]</f>
        <v>178440</v>
      </c>
      <c r="M850" t="s">
        <v>36</v>
      </c>
    </row>
    <row r="851" spans="1:13" x14ac:dyDescent="0.25">
      <c r="A851" t="s">
        <v>166</v>
      </c>
      <c r="B851" t="str">
        <f>TEXT(Tabla24[[#This Row],[Fecha]],"dddd")</f>
        <v>lunes</v>
      </c>
      <c r="C851" t="str">
        <f>TEXT(Tabla24[[#This Row],[Fecha]],"mmmm")</f>
        <v>enero</v>
      </c>
      <c r="D851" t="str">
        <f>TEXT(Tabla24[[#This Row],[Fecha]],"aaaa")</f>
        <v>2024</v>
      </c>
      <c r="E851" t="s">
        <v>33</v>
      </c>
      <c r="F851" t="s">
        <v>29</v>
      </c>
      <c r="G851" t="s">
        <v>39</v>
      </c>
      <c r="H851" t="s">
        <v>25</v>
      </c>
      <c r="I851" t="s">
        <v>26</v>
      </c>
      <c r="J851">
        <v>11</v>
      </c>
      <c r="K851">
        <v>36165</v>
      </c>
      <c r="L851">
        <f>Tabla24[[#This Row],[Precio_Unitario]]*Tabla24[[#This Row],[Unidades_Vendidas]]</f>
        <v>397815</v>
      </c>
      <c r="M851" t="s">
        <v>27</v>
      </c>
    </row>
    <row r="852" spans="1:13" x14ac:dyDescent="0.25">
      <c r="A852" t="s">
        <v>158</v>
      </c>
      <c r="B852" t="str">
        <f>TEXT(Tabla24[[#This Row],[Fecha]],"dddd")</f>
        <v>viernes</v>
      </c>
      <c r="C852" t="str">
        <f>TEXT(Tabla24[[#This Row],[Fecha]],"mmmm")</f>
        <v>enero</v>
      </c>
      <c r="D852" t="str">
        <f>TEXT(Tabla24[[#This Row],[Fecha]],"aaaa")</f>
        <v>2024</v>
      </c>
      <c r="E852" t="s">
        <v>33</v>
      </c>
      <c r="F852" t="s">
        <v>29</v>
      </c>
      <c r="G852" t="s">
        <v>48</v>
      </c>
      <c r="H852" t="s">
        <v>25</v>
      </c>
      <c r="I852" t="s">
        <v>26</v>
      </c>
      <c r="J852">
        <v>15</v>
      </c>
      <c r="K852">
        <v>27294</v>
      </c>
      <c r="L852">
        <f>Tabla24[[#This Row],[Precio_Unitario]]*Tabla24[[#This Row],[Unidades_Vendidas]]</f>
        <v>409410</v>
      </c>
      <c r="M852" t="s">
        <v>16</v>
      </c>
    </row>
    <row r="853" spans="1:13" x14ac:dyDescent="0.25">
      <c r="A853" t="s">
        <v>115</v>
      </c>
      <c r="B853" t="str">
        <f>TEXT(Tabla24[[#This Row],[Fecha]],"dddd")</f>
        <v>lunes</v>
      </c>
      <c r="C853" t="str">
        <f>TEXT(Tabla24[[#This Row],[Fecha]],"mmmm")</f>
        <v>agosto</v>
      </c>
      <c r="D853" t="str">
        <f>TEXT(Tabla24[[#This Row],[Fecha]],"aaaa")</f>
        <v>2024</v>
      </c>
      <c r="E853" t="s">
        <v>18</v>
      </c>
      <c r="F853" t="s">
        <v>23</v>
      </c>
      <c r="G853" t="s">
        <v>24</v>
      </c>
      <c r="H853" t="s">
        <v>25</v>
      </c>
      <c r="I853" t="s">
        <v>26</v>
      </c>
      <c r="J853">
        <v>4</v>
      </c>
      <c r="K853">
        <v>16336</v>
      </c>
      <c r="L853">
        <f>Tabla24[[#This Row],[Precio_Unitario]]*Tabla24[[#This Row],[Unidades_Vendidas]]</f>
        <v>65344</v>
      </c>
      <c r="M853" t="s">
        <v>27</v>
      </c>
    </row>
    <row r="854" spans="1:13" x14ac:dyDescent="0.25">
      <c r="A854" t="s">
        <v>362</v>
      </c>
      <c r="B854" t="str">
        <f>TEXT(Tabla24[[#This Row],[Fecha]],"dddd")</f>
        <v>jueves</v>
      </c>
      <c r="C854" t="str">
        <f>TEXT(Tabla24[[#This Row],[Fecha]],"mmmm")</f>
        <v>septiembre</v>
      </c>
      <c r="D854" t="str">
        <f>TEXT(Tabla24[[#This Row],[Fecha]],"aaaa")</f>
        <v>2024</v>
      </c>
      <c r="E854" t="s">
        <v>33</v>
      </c>
      <c r="F854" t="s">
        <v>23</v>
      </c>
      <c r="G854" t="s">
        <v>13</v>
      </c>
      <c r="H854" t="s">
        <v>19</v>
      </c>
      <c r="I854" t="s">
        <v>15</v>
      </c>
      <c r="J854">
        <v>19</v>
      </c>
      <c r="K854">
        <v>37177</v>
      </c>
      <c r="L854">
        <f>Tabla24[[#This Row],[Precio_Unitario]]*Tabla24[[#This Row],[Unidades_Vendidas]]</f>
        <v>706363</v>
      </c>
      <c r="M854" t="s">
        <v>36</v>
      </c>
    </row>
    <row r="855" spans="1:13" x14ac:dyDescent="0.25">
      <c r="A855" t="s">
        <v>119</v>
      </c>
      <c r="B855" t="str">
        <f>TEXT(Tabla24[[#This Row],[Fecha]],"dddd")</f>
        <v>miércoles</v>
      </c>
      <c r="C855" t="str">
        <f>TEXT(Tabla24[[#This Row],[Fecha]],"mmmm")</f>
        <v>julio</v>
      </c>
      <c r="D855" t="str">
        <f>TEXT(Tabla24[[#This Row],[Fecha]],"aaaa")</f>
        <v>2024</v>
      </c>
      <c r="E855" t="s">
        <v>33</v>
      </c>
      <c r="F855" t="s">
        <v>29</v>
      </c>
      <c r="G855" t="s">
        <v>44</v>
      </c>
      <c r="H855" t="s">
        <v>19</v>
      </c>
      <c r="I855" t="s">
        <v>40</v>
      </c>
      <c r="J855">
        <v>17</v>
      </c>
      <c r="K855">
        <v>26960</v>
      </c>
      <c r="L855">
        <f>Tabla24[[#This Row],[Precio_Unitario]]*Tabla24[[#This Row],[Unidades_Vendidas]]</f>
        <v>458320</v>
      </c>
      <c r="M855" t="s">
        <v>16</v>
      </c>
    </row>
    <row r="856" spans="1:13" x14ac:dyDescent="0.25">
      <c r="A856" t="s">
        <v>73</v>
      </c>
      <c r="B856" t="str">
        <f>TEXT(Tabla24[[#This Row],[Fecha]],"dddd")</f>
        <v>jueves</v>
      </c>
      <c r="C856" t="str">
        <f>TEXT(Tabla24[[#This Row],[Fecha]],"mmmm")</f>
        <v>febrero</v>
      </c>
      <c r="D856" t="str">
        <f>TEXT(Tabla24[[#This Row],[Fecha]],"aaaa")</f>
        <v>2024</v>
      </c>
      <c r="E856" t="s">
        <v>22</v>
      </c>
      <c r="F856" t="s">
        <v>29</v>
      </c>
      <c r="G856" t="s">
        <v>44</v>
      </c>
      <c r="H856" t="s">
        <v>35</v>
      </c>
      <c r="I856" t="s">
        <v>26</v>
      </c>
      <c r="J856">
        <v>20</v>
      </c>
      <c r="K856">
        <v>30071</v>
      </c>
      <c r="L856">
        <f>Tabla24[[#This Row],[Precio_Unitario]]*Tabla24[[#This Row],[Unidades_Vendidas]]</f>
        <v>601420</v>
      </c>
      <c r="M856" t="s">
        <v>27</v>
      </c>
    </row>
    <row r="857" spans="1:13" x14ac:dyDescent="0.25">
      <c r="A857" t="s">
        <v>37</v>
      </c>
      <c r="B857" t="str">
        <f>TEXT(Tabla24[[#This Row],[Fecha]],"dddd")</f>
        <v>viernes</v>
      </c>
      <c r="C857" t="str">
        <f>TEXT(Tabla24[[#This Row],[Fecha]],"mmmm")</f>
        <v>noviembre</v>
      </c>
      <c r="D857" t="str">
        <f>TEXT(Tabla24[[#This Row],[Fecha]],"aaaa")</f>
        <v>2024</v>
      </c>
      <c r="E857" t="s">
        <v>22</v>
      </c>
      <c r="F857" t="s">
        <v>12</v>
      </c>
      <c r="G857" t="s">
        <v>39</v>
      </c>
      <c r="H857" t="s">
        <v>14</v>
      </c>
      <c r="I857" t="s">
        <v>15</v>
      </c>
      <c r="J857">
        <v>6</v>
      </c>
      <c r="K857">
        <v>52392</v>
      </c>
      <c r="L857">
        <f>Tabla24[[#This Row],[Precio_Unitario]]*Tabla24[[#This Row],[Unidades_Vendidas]]</f>
        <v>314352</v>
      </c>
      <c r="M857" t="s">
        <v>20</v>
      </c>
    </row>
    <row r="858" spans="1:13" x14ac:dyDescent="0.25">
      <c r="A858" t="s">
        <v>206</v>
      </c>
      <c r="B858" t="str">
        <f>TEXT(Tabla24[[#This Row],[Fecha]],"dddd")</f>
        <v>viernes</v>
      </c>
      <c r="C858" t="str">
        <f>TEXT(Tabla24[[#This Row],[Fecha]],"mmmm")</f>
        <v>febrero</v>
      </c>
      <c r="D858" t="str">
        <f>TEXT(Tabla24[[#This Row],[Fecha]],"aaaa")</f>
        <v>2024</v>
      </c>
      <c r="E858" t="s">
        <v>22</v>
      </c>
      <c r="F858" t="s">
        <v>29</v>
      </c>
      <c r="G858" t="s">
        <v>39</v>
      </c>
      <c r="H858" t="s">
        <v>25</v>
      </c>
      <c r="I858" t="s">
        <v>26</v>
      </c>
      <c r="J858">
        <v>7</v>
      </c>
      <c r="K858">
        <v>39605</v>
      </c>
      <c r="L858">
        <f>Tabla24[[#This Row],[Precio_Unitario]]*Tabla24[[#This Row],[Unidades_Vendidas]]</f>
        <v>277235</v>
      </c>
      <c r="M858" t="s">
        <v>20</v>
      </c>
    </row>
    <row r="859" spans="1:13" x14ac:dyDescent="0.25">
      <c r="A859" t="s">
        <v>315</v>
      </c>
      <c r="B859" t="str">
        <f>TEXT(Tabla24[[#This Row],[Fecha]],"dddd")</f>
        <v>domingo</v>
      </c>
      <c r="C859" t="str">
        <f>TEXT(Tabla24[[#This Row],[Fecha]],"mmmm")</f>
        <v>diciembre</v>
      </c>
      <c r="D859" t="str">
        <f>TEXT(Tabla24[[#This Row],[Fecha]],"aaaa")</f>
        <v>2024</v>
      </c>
      <c r="E859" t="s">
        <v>22</v>
      </c>
      <c r="F859" t="s">
        <v>12</v>
      </c>
      <c r="G859" t="s">
        <v>13</v>
      </c>
      <c r="H859" t="s">
        <v>19</v>
      </c>
      <c r="I859" t="s">
        <v>15</v>
      </c>
      <c r="J859">
        <v>14</v>
      </c>
      <c r="K859">
        <v>17969</v>
      </c>
      <c r="L859">
        <f>Tabla24[[#This Row],[Precio_Unitario]]*Tabla24[[#This Row],[Unidades_Vendidas]]</f>
        <v>251566</v>
      </c>
      <c r="M859" t="s">
        <v>20</v>
      </c>
    </row>
    <row r="860" spans="1:13" x14ac:dyDescent="0.25">
      <c r="A860" t="s">
        <v>363</v>
      </c>
      <c r="B860" t="str">
        <f>TEXT(Tabla24[[#This Row],[Fecha]],"dddd")</f>
        <v>miércoles</v>
      </c>
      <c r="C860" t="str">
        <f>TEXT(Tabla24[[#This Row],[Fecha]],"mmmm")</f>
        <v>junio</v>
      </c>
      <c r="D860" t="str">
        <f>TEXT(Tabla24[[#This Row],[Fecha]],"aaaa")</f>
        <v>2024</v>
      </c>
      <c r="E860" t="s">
        <v>11</v>
      </c>
      <c r="F860" t="s">
        <v>23</v>
      </c>
      <c r="G860" t="s">
        <v>48</v>
      </c>
      <c r="H860" t="s">
        <v>19</v>
      </c>
      <c r="I860" t="s">
        <v>26</v>
      </c>
      <c r="J860">
        <v>11</v>
      </c>
      <c r="K860">
        <v>49411</v>
      </c>
      <c r="L860">
        <f>Tabla24[[#This Row],[Precio_Unitario]]*Tabla24[[#This Row],[Unidades_Vendidas]]</f>
        <v>543521</v>
      </c>
      <c r="M860" t="s">
        <v>16</v>
      </c>
    </row>
    <row r="861" spans="1:13" x14ac:dyDescent="0.25">
      <c r="A861" t="s">
        <v>364</v>
      </c>
      <c r="B861" t="str">
        <f>TEXT(Tabla24[[#This Row],[Fecha]],"dddd")</f>
        <v>sábado</v>
      </c>
      <c r="C861" t="str">
        <f>TEXT(Tabla24[[#This Row],[Fecha]],"mmmm")</f>
        <v>febrero</v>
      </c>
      <c r="D861" t="str">
        <f>TEXT(Tabla24[[#This Row],[Fecha]],"aaaa")</f>
        <v>2024</v>
      </c>
      <c r="E861" t="s">
        <v>42</v>
      </c>
      <c r="F861" t="s">
        <v>23</v>
      </c>
      <c r="G861" t="s">
        <v>44</v>
      </c>
      <c r="H861" t="s">
        <v>30</v>
      </c>
      <c r="I861" t="s">
        <v>26</v>
      </c>
      <c r="J861">
        <v>13</v>
      </c>
      <c r="K861">
        <v>41983</v>
      </c>
      <c r="L861">
        <f>Tabla24[[#This Row],[Precio_Unitario]]*Tabla24[[#This Row],[Unidades_Vendidas]]</f>
        <v>545779</v>
      </c>
      <c r="M861" t="s">
        <v>20</v>
      </c>
    </row>
    <row r="862" spans="1:13" x14ac:dyDescent="0.25">
      <c r="A862" t="s">
        <v>270</v>
      </c>
      <c r="B862" t="str">
        <f>TEXT(Tabla24[[#This Row],[Fecha]],"dddd")</f>
        <v>viernes</v>
      </c>
      <c r="C862" t="str">
        <f>TEXT(Tabla24[[#This Row],[Fecha]],"mmmm")</f>
        <v>octubre</v>
      </c>
      <c r="D862" t="str">
        <f>TEXT(Tabla24[[#This Row],[Fecha]],"aaaa")</f>
        <v>2024</v>
      </c>
      <c r="E862" t="s">
        <v>33</v>
      </c>
      <c r="F862" t="s">
        <v>38</v>
      </c>
      <c r="G862" t="s">
        <v>24</v>
      </c>
      <c r="H862" t="s">
        <v>35</v>
      </c>
      <c r="I862" t="s">
        <v>26</v>
      </c>
      <c r="J862">
        <v>12</v>
      </c>
      <c r="K862">
        <v>18309</v>
      </c>
      <c r="L862">
        <f>Tabla24[[#This Row],[Precio_Unitario]]*Tabla24[[#This Row],[Unidades_Vendidas]]</f>
        <v>219708</v>
      </c>
      <c r="M862" t="s">
        <v>36</v>
      </c>
    </row>
    <row r="863" spans="1:13" x14ac:dyDescent="0.25">
      <c r="A863" t="s">
        <v>301</v>
      </c>
      <c r="B863" t="str">
        <f>TEXT(Tabla24[[#This Row],[Fecha]],"dddd")</f>
        <v>lunes</v>
      </c>
      <c r="C863" t="str">
        <f>TEXT(Tabla24[[#This Row],[Fecha]],"mmmm")</f>
        <v>octubre</v>
      </c>
      <c r="D863" t="str">
        <f>TEXT(Tabla24[[#This Row],[Fecha]],"aaaa")</f>
        <v>2024</v>
      </c>
      <c r="E863" t="s">
        <v>33</v>
      </c>
      <c r="F863" t="s">
        <v>12</v>
      </c>
      <c r="G863" t="s">
        <v>39</v>
      </c>
      <c r="H863" t="s">
        <v>14</v>
      </c>
      <c r="I863" t="s">
        <v>26</v>
      </c>
      <c r="J863">
        <v>15</v>
      </c>
      <c r="K863">
        <v>48274</v>
      </c>
      <c r="L863">
        <f>Tabla24[[#This Row],[Precio_Unitario]]*Tabla24[[#This Row],[Unidades_Vendidas]]</f>
        <v>724110</v>
      </c>
      <c r="M863" t="s">
        <v>36</v>
      </c>
    </row>
    <row r="864" spans="1:13" x14ac:dyDescent="0.25">
      <c r="A864" t="s">
        <v>247</v>
      </c>
      <c r="B864" t="str">
        <f>TEXT(Tabla24[[#This Row],[Fecha]],"dddd")</f>
        <v>miércoles</v>
      </c>
      <c r="C864" t="str">
        <f>TEXT(Tabla24[[#This Row],[Fecha]],"mmmm")</f>
        <v>febrero</v>
      </c>
      <c r="D864" t="str">
        <f>TEXT(Tabla24[[#This Row],[Fecha]],"aaaa")</f>
        <v>2024</v>
      </c>
      <c r="E864" t="s">
        <v>42</v>
      </c>
      <c r="F864" t="s">
        <v>38</v>
      </c>
      <c r="G864" t="s">
        <v>39</v>
      </c>
      <c r="H864" t="s">
        <v>30</v>
      </c>
      <c r="I864" t="s">
        <v>26</v>
      </c>
      <c r="J864">
        <v>8</v>
      </c>
      <c r="K864">
        <v>42125</v>
      </c>
      <c r="L864">
        <f>Tabla24[[#This Row],[Precio_Unitario]]*Tabla24[[#This Row],[Unidades_Vendidas]]</f>
        <v>337000</v>
      </c>
      <c r="M864" t="s">
        <v>27</v>
      </c>
    </row>
    <row r="865" spans="1:13" x14ac:dyDescent="0.25">
      <c r="A865" t="s">
        <v>191</v>
      </c>
      <c r="B865" t="str">
        <f>TEXT(Tabla24[[#This Row],[Fecha]],"dddd")</f>
        <v>sábado</v>
      </c>
      <c r="C865" t="str">
        <f>TEXT(Tabla24[[#This Row],[Fecha]],"mmmm")</f>
        <v>marzo</v>
      </c>
      <c r="D865" t="str">
        <f>TEXT(Tabla24[[#This Row],[Fecha]],"aaaa")</f>
        <v>2024</v>
      </c>
      <c r="E865" t="s">
        <v>42</v>
      </c>
      <c r="F865" t="s">
        <v>38</v>
      </c>
      <c r="G865" t="s">
        <v>39</v>
      </c>
      <c r="H865" t="s">
        <v>35</v>
      </c>
      <c r="I865" t="s">
        <v>40</v>
      </c>
      <c r="J865">
        <v>2</v>
      </c>
      <c r="K865">
        <v>42404</v>
      </c>
      <c r="L865">
        <f>Tabla24[[#This Row],[Precio_Unitario]]*Tabla24[[#This Row],[Unidades_Vendidas]]</f>
        <v>84808</v>
      </c>
      <c r="M865" t="s">
        <v>16</v>
      </c>
    </row>
    <row r="866" spans="1:13" x14ac:dyDescent="0.25">
      <c r="A866" t="s">
        <v>89</v>
      </c>
      <c r="B866" t="str">
        <f>TEXT(Tabla24[[#This Row],[Fecha]],"dddd")</f>
        <v>lunes</v>
      </c>
      <c r="C866" t="str">
        <f>TEXT(Tabla24[[#This Row],[Fecha]],"mmmm")</f>
        <v>agosto</v>
      </c>
      <c r="D866" t="str">
        <f>TEXT(Tabla24[[#This Row],[Fecha]],"aaaa")</f>
        <v>2024</v>
      </c>
      <c r="E866" t="s">
        <v>33</v>
      </c>
      <c r="F866" t="s">
        <v>23</v>
      </c>
      <c r="G866" t="s">
        <v>39</v>
      </c>
      <c r="H866" t="s">
        <v>19</v>
      </c>
      <c r="I866" t="s">
        <v>40</v>
      </c>
      <c r="J866">
        <v>20</v>
      </c>
      <c r="K866">
        <v>28971</v>
      </c>
      <c r="L866">
        <f>Tabla24[[#This Row],[Precio_Unitario]]*Tabla24[[#This Row],[Unidades_Vendidas]]</f>
        <v>579420</v>
      </c>
      <c r="M866" t="s">
        <v>27</v>
      </c>
    </row>
    <row r="867" spans="1:13" x14ac:dyDescent="0.25">
      <c r="A867" t="s">
        <v>168</v>
      </c>
      <c r="B867" t="str">
        <f>TEXT(Tabla24[[#This Row],[Fecha]],"dddd")</f>
        <v>martes</v>
      </c>
      <c r="C867" t="str">
        <f>TEXT(Tabla24[[#This Row],[Fecha]],"mmmm")</f>
        <v>enero</v>
      </c>
      <c r="D867" t="str">
        <f>TEXT(Tabla24[[#This Row],[Fecha]],"aaaa")</f>
        <v>2024</v>
      </c>
      <c r="E867" t="s">
        <v>18</v>
      </c>
      <c r="F867" t="s">
        <v>34</v>
      </c>
      <c r="G867" t="s">
        <v>13</v>
      </c>
      <c r="H867" t="s">
        <v>19</v>
      </c>
      <c r="I867" t="s">
        <v>40</v>
      </c>
      <c r="J867">
        <v>5</v>
      </c>
      <c r="K867">
        <v>24654</v>
      </c>
      <c r="L867">
        <f>Tabla24[[#This Row],[Precio_Unitario]]*Tabla24[[#This Row],[Unidades_Vendidas]]</f>
        <v>123270</v>
      </c>
      <c r="M867" t="s">
        <v>36</v>
      </c>
    </row>
    <row r="868" spans="1:13" x14ac:dyDescent="0.25">
      <c r="A868" t="s">
        <v>89</v>
      </c>
      <c r="B868" t="str">
        <f>TEXT(Tabla24[[#This Row],[Fecha]],"dddd")</f>
        <v>lunes</v>
      </c>
      <c r="C868" t="str">
        <f>TEXT(Tabla24[[#This Row],[Fecha]],"mmmm")</f>
        <v>agosto</v>
      </c>
      <c r="D868" t="str">
        <f>TEXT(Tabla24[[#This Row],[Fecha]],"aaaa")</f>
        <v>2024</v>
      </c>
      <c r="E868" t="s">
        <v>18</v>
      </c>
      <c r="F868" t="s">
        <v>29</v>
      </c>
      <c r="G868" t="s">
        <v>39</v>
      </c>
      <c r="H868" t="s">
        <v>35</v>
      </c>
      <c r="I868" t="s">
        <v>15</v>
      </c>
      <c r="J868">
        <v>2</v>
      </c>
      <c r="K868">
        <v>50289</v>
      </c>
      <c r="L868">
        <f>Tabla24[[#This Row],[Precio_Unitario]]*Tabla24[[#This Row],[Unidades_Vendidas]]</f>
        <v>100578</v>
      </c>
      <c r="M868" t="s">
        <v>16</v>
      </c>
    </row>
    <row r="869" spans="1:13" x14ac:dyDescent="0.25">
      <c r="A869" t="s">
        <v>361</v>
      </c>
      <c r="B869" t="str">
        <f>TEXT(Tabla24[[#This Row],[Fecha]],"dddd")</f>
        <v>martes</v>
      </c>
      <c r="C869" t="str">
        <f>TEXT(Tabla24[[#This Row],[Fecha]],"mmmm")</f>
        <v>junio</v>
      </c>
      <c r="D869" t="str">
        <f>TEXT(Tabla24[[#This Row],[Fecha]],"aaaa")</f>
        <v>2024</v>
      </c>
      <c r="E869" t="s">
        <v>22</v>
      </c>
      <c r="F869" t="s">
        <v>38</v>
      </c>
      <c r="G869" t="s">
        <v>13</v>
      </c>
      <c r="H869" t="s">
        <v>14</v>
      </c>
      <c r="I869" t="s">
        <v>40</v>
      </c>
      <c r="J869">
        <v>4</v>
      </c>
      <c r="K869">
        <v>21995</v>
      </c>
      <c r="L869">
        <f>Tabla24[[#This Row],[Precio_Unitario]]*Tabla24[[#This Row],[Unidades_Vendidas]]</f>
        <v>87980</v>
      </c>
      <c r="M869" t="s">
        <v>20</v>
      </c>
    </row>
    <row r="870" spans="1:13" x14ac:dyDescent="0.25">
      <c r="A870" t="s">
        <v>275</v>
      </c>
      <c r="B870" t="str">
        <f>TEXT(Tabla24[[#This Row],[Fecha]],"dddd")</f>
        <v>miércoles</v>
      </c>
      <c r="C870" t="str">
        <f>TEXT(Tabla24[[#This Row],[Fecha]],"mmmm")</f>
        <v>julio</v>
      </c>
      <c r="D870" t="str">
        <f>TEXT(Tabla24[[#This Row],[Fecha]],"aaaa")</f>
        <v>2024</v>
      </c>
      <c r="E870" t="s">
        <v>11</v>
      </c>
      <c r="F870" t="s">
        <v>23</v>
      </c>
      <c r="G870" t="s">
        <v>44</v>
      </c>
      <c r="H870" t="s">
        <v>35</v>
      </c>
      <c r="I870" t="s">
        <v>15</v>
      </c>
      <c r="J870">
        <v>5</v>
      </c>
      <c r="K870">
        <v>25949</v>
      </c>
      <c r="L870">
        <f>Tabla24[[#This Row],[Precio_Unitario]]*Tabla24[[#This Row],[Unidades_Vendidas]]</f>
        <v>129745</v>
      </c>
      <c r="M870" t="s">
        <v>27</v>
      </c>
    </row>
    <row r="871" spans="1:13" x14ac:dyDescent="0.25">
      <c r="A871" t="s">
        <v>231</v>
      </c>
      <c r="B871" t="str">
        <f>TEXT(Tabla24[[#This Row],[Fecha]],"dddd")</f>
        <v>sábado</v>
      </c>
      <c r="C871" t="str">
        <f>TEXT(Tabla24[[#This Row],[Fecha]],"mmmm")</f>
        <v>mayo</v>
      </c>
      <c r="D871" t="str">
        <f>TEXT(Tabla24[[#This Row],[Fecha]],"aaaa")</f>
        <v>2024</v>
      </c>
      <c r="E871" t="s">
        <v>42</v>
      </c>
      <c r="F871" t="s">
        <v>29</v>
      </c>
      <c r="G871" t="s">
        <v>44</v>
      </c>
      <c r="H871" t="s">
        <v>19</v>
      </c>
      <c r="I871" t="s">
        <v>40</v>
      </c>
      <c r="J871">
        <v>9</v>
      </c>
      <c r="K871">
        <v>35827</v>
      </c>
      <c r="L871">
        <f>Tabla24[[#This Row],[Precio_Unitario]]*Tabla24[[#This Row],[Unidades_Vendidas]]</f>
        <v>322443</v>
      </c>
      <c r="M871" t="s">
        <v>36</v>
      </c>
    </row>
    <row r="872" spans="1:13" x14ac:dyDescent="0.25">
      <c r="A872" t="s">
        <v>315</v>
      </c>
      <c r="B872" t="str">
        <f>TEXT(Tabla24[[#This Row],[Fecha]],"dddd")</f>
        <v>domingo</v>
      </c>
      <c r="C872" t="str">
        <f>TEXT(Tabla24[[#This Row],[Fecha]],"mmmm")</f>
        <v>diciembre</v>
      </c>
      <c r="D872" t="str">
        <f>TEXT(Tabla24[[#This Row],[Fecha]],"aaaa")</f>
        <v>2024</v>
      </c>
      <c r="E872" t="s">
        <v>33</v>
      </c>
      <c r="F872" t="s">
        <v>12</v>
      </c>
      <c r="G872" t="s">
        <v>24</v>
      </c>
      <c r="H872" t="s">
        <v>25</v>
      </c>
      <c r="I872" t="s">
        <v>40</v>
      </c>
      <c r="J872">
        <v>6</v>
      </c>
      <c r="K872">
        <v>30882</v>
      </c>
      <c r="L872">
        <f>Tabla24[[#This Row],[Precio_Unitario]]*Tabla24[[#This Row],[Unidades_Vendidas]]</f>
        <v>185292</v>
      </c>
      <c r="M872" t="s">
        <v>20</v>
      </c>
    </row>
    <row r="873" spans="1:13" x14ac:dyDescent="0.25">
      <c r="A873" t="s">
        <v>28</v>
      </c>
      <c r="B873" t="str">
        <f>TEXT(Tabla24[[#This Row],[Fecha]],"dddd")</f>
        <v>jueves</v>
      </c>
      <c r="C873" t="str">
        <f>TEXT(Tabla24[[#This Row],[Fecha]],"mmmm")</f>
        <v>agosto</v>
      </c>
      <c r="D873" t="str">
        <f>TEXT(Tabla24[[#This Row],[Fecha]],"aaaa")</f>
        <v>2024</v>
      </c>
      <c r="E873" t="s">
        <v>18</v>
      </c>
      <c r="F873" t="s">
        <v>38</v>
      </c>
      <c r="G873" t="s">
        <v>24</v>
      </c>
      <c r="H873" t="s">
        <v>30</v>
      </c>
      <c r="I873" t="s">
        <v>15</v>
      </c>
      <c r="J873">
        <v>2</v>
      </c>
      <c r="K873">
        <v>39674</v>
      </c>
      <c r="L873">
        <f>Tabla24[[#This Row],[Precio_Unitario]]*Tabla24[[#This Row],[Unidades_Vendidas]]</f>
        <v>79348</v>
      </c>
      <c r="M873" t="s">
        <v>36</v>
      </c>
    </row>
    <row r="874" spans="1:13" x14ac:dyDescent="0.25">
      <c r="A874" t="s">
        <v>346</v>
      </c>
      <c r="B874" t="str">
        <f>TEXT(Tabla24[[#This Row],[Fecha]],"dddd")</f>
        <v>domingo</v>
      </c>
      <c r="C874" t="str">
        <f>TEXT(Tabla24[[#This Row],[Fecha]],"mmmm")</f>
        <v>septiembre</v>
      </c>
      <c r="D874" t="str">
        <f>TEXT(Tabla24[[#This Row],[Fecha]],"aaaa")</f>
        <v>2024</v>
      </c>
      <c r="E874" t="s">
        <v>22</v>
      </c>
      <c r="F874" t="s">
        <v>12</v>
      </c>
      <c r="G874" t="s">
        <v>39</v>
      </c>
      <c r="H874" t="s">
        <v>35</v>
      </c>
      <c r="I874" t="s">
        <v>26</v>
      </c>
      <c r="J874">
        <v>4</v>
      </c>
      <c r="K874">
        <v>44252</v>
      </c>
      <c r="L874">
        <f>Tabla24[[#This Row],[Precio_Unitario]]*Tabla24[[#This Row],[Unidades_Vendidas]]</f>
        <v>177008</v>
      </c>
      <c r="M874" t="s">
        <v>20</v>
      </c>
    </row>
    <row r="875" spans="1:13" x14ac:dyDescent="0.25">
      <c r="A875" t="s">
        <v>222</v>
      </c>
      <c r="B875" t="str">
        <f>TEXT(Tabla24[[#This Row],[Fecha]],"dddd")</f>
        <v>sábado</v>
      </c>
      <c r="C875" t="str">
        <f>TEXT(Tabla24[[#This Row],[Fecha]],"mmmm")</f>
        <v>febrero</v>
      </c>
      <c r="D875" t="str">
        <f>TEXT(Tabla24[[#This Row],[Fecha]],"aaaa")</f>
        <v>2024</v>
      </c>
      <c r="E875" t="s">
        <v>42</v>
      </c>
      <c r="F875" t="s">
        <v>34</v>
      </c>
      <c r="G875" t="s">
        <v>44</v>
      </c>
      <c r="H875" t="s">
        <v>14</v>
      </c>
      <c r="I875" t="s">
        <v>26</v>
      </c>
      <c r="J875">
        <v>14</v>
      </c>
      <c r="K875">
        <v>46213</v>
      </c>
      <c r="L875">
        <f>Tabla24[[#This Row],[Precio_Unitario]]*Tabla24[[#This Row],[Unidades_Vendidas]]</f>
        <v>646982</v>
      </c>
      <c r="M875" t="s">
        <v>27</v>
      </c>
    </row>
    <row r="876" spans="1:13" x14ac:dyDescent="0.25">
      <c r="A876" t="s">
        <v>329</v>
      </c>
      <c r="B876" t="str">
        <f>TEXT(Tabla24[[#This Row],[Fecha]],"dddd")</f>
        <v>sábado</v>
      </c>
      <c r="C876" t="str">
        <f>TEXT(Tabla24[[#This Row],[Fecha]],"mmmm")</f>
        <v>agosto</v>
      </c>
      <c r="D876" t="str">
        <f>TEXT(Tabla24[[#This Row],[Fecha]],"aaaa")</f>
        <v>2024</v>
      </c>
      <c r="E876" t="s">
        <v>42</v>
      </c>
      <c r="F876" t="s">
        <v>29</v>
      </c>
      <c r="G876" t="s">
        <v>24</v>
      </c>
      <c r="H876" t="s">
        <v>25</v>
      </c>
      <c r="I876" t="s">
        <v>26</v>
      </c>
      <c r="J876">
        <v>11</v>
      </c>
      <c r="K876">
        <v>28950</v>
      </c>
      <c r="L876">
        <f>Tabla24[[#This Row],[Precio_Unitario]]*Tabla24[[#This Row],[Unidades_Vendidas]]</f>
        <v>318450</v>
      </c>
      <c r="M876" t="s">
        <v>27</v>
      </c>
    </row>
    <row r="877" spans="1:13" x14ac:dyDescent="0.25">
      <c r="A877" t="s">
        <v>159</v>
      </c>
      <c r="B877" t="str">
        <f>TEXT(Tabla24[[#This Row],[Fecha]],"dddd")</f>
        <v>jueves</v>
      </c>
      <c r="C877" t="str">
        <f>TEXT(Tabla24[[#This Row],[Fecha]],"mmmm")</f>
        <v>febrero</v>
      </c>
      <c r="D877" t="str">
        <f>TEXT(Tabla24[[#This Row],[Fecha]],"aaaa")</f>
        <v>2024</v>
      </c>
      <c r="E877" t="s">
        <v>18</v>
      </c>
      <c r="F877" t="s">
        <v>29</v>
      </c>
      <c r="G877" t="s">
        <v>44</v>
      </c>
      <c r="H877" t="s">
        <v>19</v>
      </c>
      <c r="I877" t="s">
        <v>15</v>
      </c>
      <c r="J877">
        <v>15</v>
      </c>
      <c r="K877">
        <v>51198</v>
      </c>
      <c r="L877">
        <f>Tabla24[[#This Row],[Precio_Unitario]]*Tabla24[[#This Row],[Unidades_Vendidas]]</f>
        <v>767970</v>
      </c>
      <c r="M877" t="s">
        <v>16</v>
      </c>
    </row>
    <row r="878" spans="1:13" x14ac:dyDescent="0.25">
      <c r="A878" t="s">
        <v>277</v>
      </c>
      <c r="B878" t="str">
        <f>TEXT(Tabla24[[#This Row],[Fecha]],"dddd")</f>
        <v>miércoles</v>
      </c>
      <c r="C878" t="str">
        <f>TEXT(Tabla24[[#This Row],[Fecha]],"mmmm")</f>
        <v>agosto</v>
      </c>
      <c r="D878" t="str">
        <f>TEXT(Tabla24[[#This Row],[Fecha]],"aaaa")</f>
        <v>2024</v>
      </c>
      <c r="E878" t="s">
        <v>18</v>
      </c>
      <c r="F878" t="s">
        <v>38</v>
      </c>
      <c r="G878" t="s">
        <v>39</v>
      </c>
      <c r="H878" t="s">
        <v>19</v>
      </c>
      <c r="I878" t="s">
        <v>40</v>
      </c>
      <c r="J878">
        <v>13</v>
      </c>
      <c r="K878">
        <v>35685</v>
      </c>
      <c r="L878">
        <f>Tabla24[[#This Row],[Precio_Unitario]]*Tabla24[[#This Row],[Unidades_Vendidas]]</f>
        <v>463905</v>
      </c>
      <c r="M878" t="s">
        <v>27</v>
      </c>
    </row>
    <row r="879" spans="1:13" x14ac:dyDescent="0.25">
      <c r="A879" t="s">
        <v>351</v>
      </c>
      <c r="B879" t="str">
        <f>TEXT(Tabla24[[#This Row],[Fecha]],"dddd")</f>
        <v>lunes</v>
      </c>
      <c r="C879" t="str">
        <f>TEXT(Tabla24[[#This Row],[Fecha]],"mmmm")</f>
        <v>abril</v>
      </c>
      <c r="D879" t="str">
        <f>TEXT(Tabla24[[#This Row],[Fecha]],"aaaa")</f>
        <v>2024</v>
      </c>
      <c r="E879" t="s">
        <v>11</v>
      </c>
      <c r="F879" t="s">
        <v>23</v>
      </c>
      <c r="G879" t="s">
        <v>44</v>
      </c>
      <c r="H879" t="s">
        <v>30</v>
      </c>
      <c r="I879" t="s">
        <v>40</v>
      </c>
      <c r="J879">
        <v>2</v>
      </c>
      <c r="K879">
        <v>50002</v>
      </c>
      <c r="L879">
        <f>Tabla24[[#This Row],[Precio_Unitario]]*Tabla24[[#This Row],[Unidades_Vendidas]]</f>
        <v>100004</v>
      </c>
      <c r="M879" t="s">
        <v>36</v>
      </c>
    </row>
    <row r="880" spans="1:13" x14ac:dyDescent="0.25">
      <c r="A880" t="s">
        <v>253</v>
      </c>
      <c r="B880" t="str">
        <f>TEXT(Tabla24[[#This Row],[Fecha]],"dddd")</f>
        <v>jueves</v>
      </c>
      <c r="C880" t="str">
        <f>TEXT(Tabla24[[#This Row],[Fecha]],"mmmm")</f>
        <v>marzo</v>
      </c>
      <c r="D880" t="str">
        <f>TEXT(Tabla24[[#This Row],[Fecha]],"aaaa")</f>
        <v>2024</v>
      </c>
      <c r="E880" t="s">
        <v>22</v>
      </c>
      <c r="F880" t="s">
        <v>34</v>
      </c>
      <c r="G880" t="s">
        <v>44</v>
      </c>
      <c r="H880" t="s">
        <v>35</v>
      </c>
      <c r="I880" t="s">
        <v>26</v>
      </c>
      <c r="J880">
        <v>3</v>
      </c>
      <c r="K880">
        <v>52961</v>
      </c>
      <c r="L880">
        <f>Tabla24[[#This Row],[Precio_Unitario]]*Tabla24[[#This Row],[Unidades_Vendidas]]</f>
        <v>158883</v>
      </c>
      <c r="M880" t="s">
        <v>36</v>
      </c>
    </row>
    <row r="881" spans="1:13" x14ac:dyDescent="0.25">
      <c r="A881" t="s">
        <v>235</v>
      </c>
      <c r="B881" t="str">
        <f>TEXT(Tabla24[[#This Row],[Fecha]],"dddd")</f>
        <v>jueves</v>
      </c>
      <c r="C881" t="str">
        <f>TEXT(Tabla24[[#This Row],[Fecha]],"mmmm")</f>
        <v>diciembre</v>
      </c>
      <c r="D881" t="str">
        <f>TEXT(Tabla24[[#This Row],[Fecha]],"aaaa")</f>
        <v>2024</v>
      </c>
      <c r="E881" t="s">
        <v>22</v>
      </c>
      <c r="F881" t="s">
        <v>34</v>
      </c>
      <c r="G881" t="s">
        <v>48</v>
      </c>
      <c r="H881" t="s">
        <v>30</v>
      </c>
      <c r="I881" t="s">
        <v>15</v>
      </c>
      <c r="J881">
        <v>6</v>
      </c>
      <c r="K881">
        <v>55535</v>
      </c>
      <c r="L881">
        <f>Tabla24[[#This Row],[Precio_Unitario]]*Tabla24[[#This Row],[Unidades_Vendidas]]</f>
        <v>333210</v>
      </c>
      <c r="M881" t="s">
        <v>16</v>
      </c>
    </row>
    <row r="882" spans="1:13" x14ac:dyDescent="0.25">
      <c r="A882" t="s">
        <v>129</v>
      </c>
      <c r="B882" t="str">
        <f>TEXT(Tabla24[[#This Row],[Fecha]],"dddd")</f>
        <v>viernes</v>
      </c>
      <c r="C882" t="str">
        <f>TEXT(Tabla24[[#This Row],[Fecha]],"mmmm")</f>
        <v>mayo</v>
      </c>
      <c r="D882" t="str">
        <f>TEXT(Tabla24[[#This Row],[Fecha]],"aaaa")</f>
        <v>2024</v>
      </c>
      <c r="E882" t="s">
        <v>42</v>
      </c>
      <c r="F882" t="s">
        <v>23</v>
      </c>
      <c r="G882" t="s">
        <v>24</v>
      </c>
      <c r="H882" t="s">
        <v>30</v>
      </c>
      <c r="I882" t="s">
        <v>40</v>
      </c>
      <c r="J882">
        <v>15</v>
      </c>
      <c r="K882">
        <v>52249</v>
      </c>
      <c r="L882">
        <f>Tabla24[[#This Row],[Precio_Unitario]]*Tabla24[[#This Row],[Unidades_Vendidas]]</f>
        <v>783735</v>
      </c>
      <c r="M882" t="s">
        <v>16</v>
      </c>
    </row>
    <row r="883" spans="1:13" x14ac:dyDescent="0.25">
      <c r="A883" t="s">
        <v>333</v>
      </c>
      <c r="B883" t="str">
        <f>TEXT(Tabla24[[#This Row],[Fecha]],"dddd")</f>
        <v>domingo</v>
      </c>
      <c r="C883" t="str">
        <f>TEXT(Tabla24[[#This Row],[Fecha]],"mmmm")</f>
        <v>julio</v>
      </c>
      <c r="D883" t="str">
        <f>TEXT(Tabla24[[#This Row],[Fecha]],"aaaa")</f>
        <v>2024</v>
      </c>
      <c r="E883" t="s">
        <v>18</v>
      </c>
      <c r="F883" t="s">
        <v>12</v>
      </c>
      <c r="G883" t="s">
        <v>44</v>
      </c>
      <c r="H883" t="s">
        <v>25</v>
      </c>
      <c r="I883" t="s">
        <v>40</v>
      </c>
      <c r="J883">
        <v>5</v>
      </c>
      <c r="K883">
        <v>46603</v>
      </c>
      <c r="L883">
        <f>Tabla24[[#This Row],[Precio_Unitario]]*Tabla24[[#This Row],[Unidades_Vendidas]]</f>
        <v>233015</v>
      </c>
      <c r="M883" t="s">
        <v>36</v>
      </c>
    </row>
    <row r="884" spans="1:13" x14ac:dyDescent="0.25">
      <c r="A884" t="s">
        <v>299</v>
      </c>
      <c r="B884" t="str">
        <f>TEXT(Tabla24[[#This Row],[Fecha]],"dddd")</f>
        <v>viernes</v>
      </c>
      <c r="C884" t="str">
        <f>TEXT(Tabla24[[#This Row],[Fecha]],"mmmm")</f>
        <v>febrero</v>
      </c>
      <c r="D884" t="str">
        <f>TEXT(Tabla24[[#This Row],[Fecha]],"aaaa")</f>
        <v>2024</v>
      </c>
      <c r="E884" t="s">
        <v>33</v>
      </c>
      <c r="F884" t="s">
        <v>38</v>
      </c>
      <c r="G884" t="s">
        <v>13</v>
      </c>
      <c r="H884" t="s">
        <v>19</v>
      </c>
      <c r="I884" t="s">
        <v>40</v>
      </c>
      <c r="J884">
        <v>12</v>
      </c>
      <c r="K884">
        <v>20205</v>
      </c>
      <c r="L884">
        <f>Tabla24[[#This Row],[Precio_Unitario]]*Tabla24[[#This Row],[Unidades_Vendidas]]</f>
        <v>242460</v>
      </c>
      <c r="M884" t="s">
        <v>27</v>
      </c>
    </row>
    <row r="885" spans="1:13" x14ac:dyDescent="0.25">
      <c r="A885" t="s">
        <v>62</v>
      </c>
      <c r="B885" t="str">
        <f>TEXT(Tabla24[[#This Row],[Fecha]],"dddd")</f>
        <v>sábado</v>
      </c>
      <c r="C885" t="str">
        <f>TEXT(Tabla24[[#This Row],[Fecha]],"mmmm")</f>
        <v>mayo</v>
      </c>
      <c r="D885" t="str">
        <f>TEXT(Tabla24[[#This Row],[Fecha]],"aaaa")</f>
        <v>2024</v>
      </c>
      <c r="E885" t="s">
        <v>22</v>
      </c>
      <c r="F885" t="s">
        <v>38</v>
      </c>
      <c r="G885" t="s">
        <v>48</v>
      </c>
      <c r="H885" t="s">
        <v>35</v>
      </c>
      <c r="I885" t="s">
        <v>40</v>
      </c>
      <c r="J885">
        <v>16</v>
      </c>
      <c r="K885">
        <v>58006</v>
      </c>
      <c r="L885">
        <f>Tabla24[[#This Row],[Precio_Unitario]]*Tabla24[[#This Row],[Unidades_Vendidas]]</f>
        <v>928096</v>
      </c>
      <c r="M885" t="s">
        <v>20</v>
      </c>
    </row>
    <row r="886" spans="1:13" x14ac:dyDescent="0.25">
      <c r="A886" t="s">
        <v>310</v>
      </c>
      <c r="B886" t="str">
        <f>TEXT(Tabla24[[#This Row],[Fecha]],"dddd")</f>
        <v>jueves</v>
      </c>
      <c r="C886" t="str">
        <f>TEXT(Tabla24[[#This Row],[Fecha]],"mmmm")</f>
        <v>julio</v>
      </c>
      <c r="D886" t="str">
        <f>TEXT(Tabla24[[#This Row],[Fecha]],"aaaa")</f>
        <v>2024</v>
      </c>
      <c r="E886" t="s">
        <v>22</v>
      </c>
      <c r="F886" t="s">
        <v>38</v>
      </c>
      <c r="G886" t="s">
        <v>48</v>
      </c>
      <c r="H886" t="s">
        <v>30</v>
      </c>
      <c r="I886" t="s">
        <v>15</v>
      </c>
      <c r="J886">
        <v>4</v>
      </c>
      <c r="K886">
        <v>58844</v>
      </c>
      <c r="L886">
        <f>Tabla24[[#This Row],[Precio_Unitario]]*Tabla24[[#This Row],[Unidades_Vendidas]]</f>
        <v>235376</v>
      </c>
      <c r="M886" t="s">
        <v>36</v>
      </c>
    </row>
    <row r="887" spans="1:13" x14ac:dyDescent="0.25">
      <c r="A887" t="s">
        <v>126</v>
      </c>
      <c r="B887" t="str">
        <f>TEXT(Tabla24[[#This Row],[Fecha]],"dddd")</f>
        <v>lunes</v>
      </c>
      <c r="C887" t="str">
        <f>TEXT(Tabla24[[#This Row],[Fecha]],"mmmm")</f>
        <v>noviembre</v>
      </c>
      <c r="D887" t="str">
        <f>TEXT(Tabla24[[#This Row],[Fecha]],"aaaa")</f>
        <v>2024</v>
      </c>
      <c r="E887" t="s">
        <v>22</v>
      </c>
      <c r="F887" t="s">
        <v>23</v>
      </c>
      <c r="G887" t="s">
        <v>44</v>
      </c>
      <c r="H887" t="s">
        <v>14</v>
      </c>
      <c r="I887" t="s">
        <v>40</v>
      </c>
      <c r="J887">
        <v>16</v>
      </c>
      <c r="K887">
        <v>21712</v>
      </c>
      <c r="L887">
        <f>Tabla24[[#This Row],[Precio_Unitario]]*Tabla24[[#This Row],[Unidades_Vendidas]]</f>
        <v>347392</v>
      </c>
      <c r="M887" t="s">
        <v>20</v>
      </c>
    </row>
    <row r="888" spans="1:13" x14ac:dyDescent="0.25">
      <c r="A888" t="s">
        <v>89</v>
      </c>
      <c r="B888" t="str">
        <f>TEXT(Tabla24[[#This Row],[Fecha]],"dddd")</f>
        <v>lunes</v>
      </c>
      <c r="C888" t="str">
        <f>TEXT(Tabla24[[#This Row],[Fecha]],"mmmm")</f>
        <v>agosto</v>
      </c>
      <c r="D888" t="str">
        <f>TEXT(Tabla24[[#This Row],[Fecha]],"aaaa")</f>
        <v>2024</v>
      </c>
      <c r="E888" t="s">
        <v>33</v>
      </c>
      <c r="F888" t="s">
        <v>29</v>
      </c>
      <c r="G888" t="s">
        <v>44</v>
      </c>
      <c r="H888" t="s">
        <v>25</v>
      </c>
      <c r="I888" t="s">
        <v>26</v>
      </c>
      <c r="J888">
        <v>11</v>
      </c>
      <c r="K888">
        <v>24469</v>
      </c>
      <c r="L888">
        <f>Tabla24[[#This Row],[Precio_Unitario]]*Tabla24[[#This Row],[Unidades_Vendidas]]</f>
        <v>269159</v>
      </c>
      <c r="M888" t="s">
        <v>36</v>
      </c>
    </row>
    <row r="889" spans="1:13" x14ac:dyDescent="0.25">
      <c r="A889" t="s">
        <v>277</v>
      </c>
      <c r="B889" t="str">
        <f>TEXT(Tabla24[[#This Row],[Fecha]],"dddd")</f>
        <v>miércoles</v>
      </c>
      <c r="C889" t="str">
        <f>TEXT(Tabla24[[#This Row],[Fecha]],"mmmm")</f>
        <v>agosto</v>
      </c>
      <c r="D889" t="str">
        <f>TEXT(Tabla24[[#This Row],[Fecha]],"aaaa")</f>
        <v>2024</v>
      </c>
      <c r="E889" t="s">
        <v>18</v>
      </c>
      <c r="F889" t="s">
        <v>34</v>
      </c>
      <c r="G889" t="s">
        <v>13</v>
      </c>
      <c r="H889" t="s">
        <v>35</v>
      </c>
      <c r="I889" t="s">
        <v>40</v>
      </c>
      <c r="J889">
        <v>6</v>
      </c>
      <c r="K889">
        <v>51627</v>
      </c>
      <c r="L889">
        <f>Tabla24[[#This Row],[Precio_Unitario]]*Tabla24[[#This Row],[Unidades_Vendidas]]</f>
        <v>309762</v>
      </c>
      <c r="M889" t="s">
        <v>36</v>
      </c>
    </row>
    <row r="890" spans="1:13" x14ac:dyDescent="0.25">
      <c r="A890" t="s">
        <v>76</v>
      </c>
      <c r="B890" t="str">
        <f>TEXT(Tabla24[[#This Row],[Fecha]],"dddd")</f>
        <v>jueves</v>
      </c>
      <c r="C890" t="str">
        <f>TEXT(Tabla24[[#This Row],[Fecha]],"mmmm")</f>
        <v>abril</v>
      </c>
      <c r="D890" t="str">
        <f>TEXT(Tabla24[[#This Row],[Fecha]],"aaaa")</f>
        <v>2024</v>
      </c>
      <c r="E890" t="s">
        <v>18</v>
      </c>
      <c r="F890" t="s">
        <v>38</v>
      </c>
      <c r="G890" t="s">
        <v>39</v>
      </c>
      <c r="H890" t="s">
        <v>25</v>
      </c>
      <c r="I890" t="s">
        <v>40</v>
      </c>
      <c r="J890">
        <v>19</v>
      </c>
      <c r="K890">
        <v>36457</v>
      </c>
      <c r="L890">
        <f>Tabla24[[#This Row],[Precio_Unitario]]*Tabla24[[#This Row],[Unidades_Vendidas]]</f>
        <v>692683</v>
      </c>
      <c r="M890" t="s">
        <v>16</v>
      </c>
    </row>
    <row r="891" spans="1:13" x14ac:dyDescent="0.25">
      <c r="A891" t="s">
        <v>81</v>
      </c>
      <c r="B891" t="str">
        <f>TEXT(Tabla24[[#This Row],[Fecha]],"dddd")</f>
        <v>sábado</v>
      </c>
      <c r="C891" t="str">
        <f>TEXT(Tabla24[[#This Row],[Fecha]],"mmmm")</f>
        <v>diciembre</v>
      </c>
      <c r="D891" t="str">
        <f>TEXT(Tabla24[[#This Row],[Fecha]],"aaaa")</f>
        <v>2024</v>
      </c>
      <c r="E891" t="s">
        <v>11</v>
      </c>
      <c r="F891" t="s">
        <v>29</v>
      </c>
      <c r="G891" t="s">
        <v>24</v>
      </c>
      <c r="H891" t="s">
        <v>30</v>
      </c>
      <c r="I891" t="s">
        <v>40</v>
      </c>
      <c r="J891">
        <v>18</v>
      </c>
      <c r="K891">
        <v>55152</v>
      </c>
      <c r="L891">
        <f>Tabla24[[#This Row],[Precio_Unitario]]*Tabla24[[#This Row],[Unidades_Vendidas]]</f>
        <v>992736</v>
      </c>
      <c r="M891" t="s">
        <v>36</v>
      </c>
    </row>
    <row r="892" spans="1:13" x14ac:dyDescent="0.25">
      <c r="A892" t="s">
        <v>251</v>
      </c>
      <c r="B892" t="str">
        <f>TEXT(Tabla24[[#This Row],[Fecha]],"dddd")</f>
        <v>domingo</v>
      </c>
      <c r="C892" t="str">
        <f>TEXT(Tabla24[[#This Row],[Fecha]],"mmmm")</f>
        <v>febrero</v>
      </c>
      <c r="D892" t="str">
        <f>TEXT(Tabla24[[#This Row],[Fecha]],"aaaa")</f>
        <v>2024</v>
      </c>
      <c r="E892" t="s">
        <v>22</v>
      </c>
      <c r="F892" t="s">
        <v>29</v>
      </c>
      <c r="G892" t="s">
        <v>48</v>
      </c>
      <c r="H892" t="s">
        <v>14</v>
      </c>
      <c r="I892" t="s">
        <v>26</v>
      </c>
      <c r="J892">
        <v>10</v>
      </c>
      <c r="K892">
        <v>18823</v>
      </c>
      <c r="L892">
        <f>Tabla24[[#This Row],[Precio_Unitario]]*Tabla24[[#This Row],[Unidades_Vendidas]]</f>
        <v>188230</v>
      </c>
      <c r="M892" t="s">
        <v>20</v>
      </c>
    </row>
    <row r="893" spans="1:13" x14ac:dyDescent="0.25">
      <c r="A893" t="s">
        <v>54</v>
      </c>
      <c r="B893" t="str">
        <f>TEXT(Tabla24[[#This Row],[Fecha]],"dddd")</f>
        <v>sábado</v>
      </c>
      <c r="C893" t="str">
        <f>TEXT(Tabla24[[#This Row],[Fecha]],"mmmm")</f>
        <v>marzo</v>
      </c>
      <c r="D893" t="str">
        <f>TEXT(Tabla24[[#This Row],[Fecha]],"aaaa")</f>
        <v>2024</v>
      </c>
      <c r="E893" t="s">
        <v>33</v>
      </c>
      <c r="F893" t="s">
        <v>34</v>
      </c>
      <c r="G893" t="s">
        <v>39</v>
      </c>
      <c r="H893" t="s">
        <v>25</v>
      </c>
      <c r="I893" t="s">
        <v>15</v>
      </c>
      <c r="J893">
        <v>8</v>
      </c>
      <c r="K893">
        <v>29258</v>
      </c>
      <c r="L893">
        <f>Tabla24[[#This Row],[Precio_Unitario]]*Tabla24[[#This Row],[Unidades_Vendidas]]</f>
        <v>234064</v>
      </c>
      <c r="M893" t="s">
        <v>20</v>
      </c>
    </row>
    <row r="894" spans="1:13" x14ac:dyDescent="0.25">
      <c r="A894" t="s">
        <v>266</v>
      </c>
      <c r="B894" t="str">
        <f>TEXT(Tabla24[[#This Row],[Fecha]],"dddd")</f>
        <v>miércoles</v>
      </c>
      <c r="C894" t="str">
        <f>TEXT(Tabla24[[#This Row],[Fecha]],"mmmm")</f>
        <v>octubre</v>
      </c>
      <c r="D894" t="str">
        <f>TEXT(Tabla24[[#This Row],[Fecha]],"aaaa")</f>
        <v>2024</v>
      </c>
      <c r="E894" t="s">
        <v>18</v>
      </c>
      <c r="F894" t="s">
        <v>34</v>
      </c>
      <c r="G894" t="s">
        <v>13</v>
      </c>
      <c r="H894" t="s">
        <v>25</v>
      </c>
      <c r="I894" t="s">
        <v>26</v>
      </c>
      <c r="J894">
        <v>1</v>
      </c>
      <c r="K894">
        <v>43798</v>
      </c>
      <c r="L894">
        <f>Tabla24[[#This Row],[Precio_Unitario]]*Tabla24[[#This Row],[Unidades_Vendidas]]</f>
        <v>43798</v>
      </c>
      <c r="M894" t="s">
        <v>16</v>
      </c>
    </row>
    <row r="895" spans="1:13" x14ac:dyDescent="0.25">
      <c r="A895" t="s">
        <v>317</v>
      </c>
      <c r="B895" t="str">
        <f>TEXT(Tabla24[[#This Row],[Fecha]],"dddd")</f>
        <v>viernes</v>
      </c>
      <c r="C895" t="str">
        <f>TEXT(Tabla24[[#This Row],[Fecha]],"mmmm")</f>
        <v>febrero</v>
      </c>
      <c r="D895" t="str">
        <f>TEXT(Tabla24[[#This Row],[Fecha]],"aaaa")</f>
        <v>2024</v>
      </c>
      <c r="E895" t="s">
        <v>22</v>
      </c>
      <c r="F895" t="s">
        <v>38</v>
      </c>
      <c r="G895" t="s">
        <v>39</v>
      </c>
      <c r="H895" t="s">
        <v>35</v>
      </c>
      <c r="I895" t="s">
        <v>40</v>
      </c>
      <c r="J895">
        <v>6</v>
      </c>
      <c r="K895">
        <v>29270</v>
      </c>
      <c r="L895">
        <f>Tabla24[[#This Row],[Precio_Unitario]]*Tabla24[[#This Row],[Unidades_Vendidas]]</f>
        <v>175620</v>
      </c>
      <c r="M895" t="s">
        <v>20</v>
      </c>
    </row>
    <row r="896" spans="1:13" x14ac:dyDescent="0.25">
      <c r="A896" t="s">
        <v>128</v>
      </c>
      <c r="B896" t="str">
        <f>TEXT(Tabla24[[#This Row],[Fecha]],"dddd")</f>
        <v>miércoles</v>
      </c>
      <c r="C896" t="str">
        <f>TEXT(Tabla24[[#This Row],[Fecha]],"mmmm")</f>
        <v>febrero</v>
      </c>
      <c r="D896" t="str">
        <f>TEXT(Tabla24[[#This Row],[Fecha]],"aaaa")</f>
        <v>2024</v>
      </c>
      <c r="E896" t="s">
        <v>22</v>
      </c>
      <c r="F896" t="s">
        <v>34</v>
      </c>
      <c r="G896" t="s">
        <v>39</v>
      </c>
      <c r="H896" t="s">
        <v>14</v>
      </c>
      <c r="I896" t="s">
        <v>26</v>
      </c>
      <c r="J896">
        <v>16</v>
      </c>
      <c r="K896">
        <v>49720</v>
      </c>
      <c r="L896">
        <f>Tabla24[[#This Row],[Precio_Unitario]]*Tabla24[[#This Row],[Unidades_Vendidas]]</f>
        <v>795520</v>
      </c>
      <c r="M896" t="s">
        <v>16</v>
      </c>
    </row>
    <row r="897" spans="1:13" x14ac:dyDescent="0.25">
      <c r="A897" t="s">
        <v>125</v>
      </c>
      <c r="B897" t="str">
        <f>TEXT(Tabla24[[#This Row],[Fecha]],"dddd")</f>
        <v>martes</v>
      </c>
      <c r="C897" t="str">
        <f>TEXT(Tabla24[[#This Row],[Fecha]],"mmmm")</f>
        <v>septiembre</v>
      </c>
      <c r="D897" t="str">
        <f>TEXT(Tabla24[[#This Row],[Fecha]],"aaaa")</f>
        <v>2024</v>
      </c>
      <c r="E897" t="s">
        <v>11</v>
      </c>
      <c r="F897" t="s">
        <v>34</v>
      </c>
      <c r="G897" t="s">
        <v>13</v>
      </c>
      <c r="H897" t="s">
        <v>19</v>
      </c>
      <c r="I897" t="s">
        <v>15</v>
      </c>
      <c r="J897">
        <v>3</v>
      </c>
      <c r="K897">
        <v>28920</v>
      </c>
      <c r="L897">
        <f>Tabla24[[#This Row],[Precio_Unitario]]*Tabla24[[#This Row],[Unidades_Vendidas]]</f>
        <v>86760</v>
      </c>
      <c r="M897" t="s">
        <v>16</v>
      </c>
    </row>
    <row r="898" spans="1:13" x14ac:dyDescent="0.25">
      <c r="A898" t="s">
        <v>301</v>
      </c>
      <c r="B898" t="str">
        <f>TEXT(Tabla24[[#This Row],[Fecha]],"dddd")</f>
        <v>lunes</v>
      </c>
      <c r="C898" t="str">
        <f>TEXT(Tabla24[[#This Row],[Fecha]],"mmmm")</f>
        <v>octubre</v>
      </c>
      <c r="D898" t="str">
        <f>TEXT(Tabla24[[#This Row],[Fecha]],"aaaa")</f>
        <v>2024</v>
      </c>
      <c r="E898" t="s">
        <v>33</v>
      </c>
      <c r="F898" t="s">
        <v>29</v>
      </c>
      <c r="G898" t="s">
        <v>44</v>
      </c>
      <c r="H898" t="s">
        <v>14</v>
      </c>
      <c r="I898" t="s">
        <v>40</v>
      </c>
      <c r="J898">
        <v>2</v>
      </c>
      <c r="K898">
        <v>35746</v>
      </c>
      <c r="L898">
        <f>Tabla24[[#This Row],[Precio_Unitario]]*Tabla24[[#This Row],[Unidades_Vendidas]]</f>
        <v>71492</v>
      </c>
      <c r="M898" t="s">
        <v>27</v>
      </c>
    </row>
    <row r="899" spans="1:13" x14ac:dyDescent="0.25">
      <c r="A899" t="s">
        <v>94</v>
      </c>
      <c r="B899" t="str">
        <f>TEXT(Tabla24[[#This Row],[Fecha]],"dddd")</f>
        <v>miércoles</v>
      </c>
      <c r="C899" t="str">
        <f>TEXT(Tabla24[[#This Row],[Fecha]],"mmmm")</f>
        <v>mayo</v>
      </c>
      <c r="D899" t="str">
        <f>TEXT(Tabla24[[#This Row],[Fecha]],"aaaa")</f>
        <v>2024</v>
      </c>
      <c r="E899" t="s">
        <v>18</v>
      </c>
      <c r="F899" t="s">
        <v>29</v>
      </c>
      <c r="G899" t="s">
        <v>44</v>
      </c>
      <c r="H899" t="s">
        <v>25</v>
      </c>
      <c r="I899" t="s">
        <v>26</v>
      </c>
      <c r="J899">
        <v>20</v>
      </c>
      <c r="K899">
        <v>46484</v>
      </c>
      <c r="L899">
        <f>Tabla24[[#This Row],[Precio_Unitario]]*Tabla24[[#This Row],[Unidades_Vendidas]]</f>
        <v>929680</v>
      </c>
      <c r="M899" t="s">
        <v>20</v>
      </c>
    </row>
    <row r="900" spans="1:13" x14ac:dyDescent="0.25">
      <c r="A900" t="s">
        <v>350</v>
      </c>
      <c r="B900" t="str">
        <f>TEXT(Tabla24[[#This Row],[Fecha]],"dddd")</f>
        <v>domingo</v>
      </c>
      <c r="C900" t="str">
        <f>TEXT(Tabla24[[#This Row],[Fecha]],"mmmm")</f>
        <v>junio</v>
      </c>
      <c r="D900" t="str">
        <f>TEXT(Tabla24[[#This Row],[Fecha]],"aaaa")</f>
        <v>2024</v>
      </c>
      <c r="E900" t="s">
        <v>22</v>
      </c>
      <c r="F900" t="s">
        <v>38</v>
      </c>
      <c r="G900" t="s">
        <v>48</v>
      </c>
      <c r="H900" t="s">
        <v>35</v>
      </c>
      <c r="I900" t="s">
        <v>40</v>
      </c>
      <c r="J900">
        <v>10</v>
      </c>
      <c r="K900">
        <v>59848</v>
      </c>
      <c r="L900">
        <f>Tabla24[[#This Row],[Precio_Unitario]]*Tabla24[[#This Row],[Unidades_Vendidas]]</f>
        <v>598480</v>
      </c>
      <c r="M900" t="s">
        <v>27</v>
      </c>
    </row>
    <row r="901" spans="1:13" x14ac:dyDescent="0.25">
      <c r="A901" t="s">
        <v>358</v>
      </c>
      <c r="B901" t="str">
        <f>TEXT(Tabla24[[#This Row],[Fecha]],"dddd")</f>
        <v>martes</v>
      </c>
      <c r="C901" t="str">
        <f>TEXT(Tabla24[[#This Row],[Fecha]],"mmmm")</f>
        <v>octubre</v>
      </c>
      <c r="D901" t="str">
        <f>TEXT(Tabla24[[#This Row],[Fecha]],"aaaa")</f>
        <v>2024</v>
      </c>
      <c r="E901" t="s">
        <v>42</v>
      </c>
      <c r="F901" t="s">
        <v>12</v>
      </c>
      <c r="G901" t="s">
        <v>39</v>
      </c>
      <c r="H901" t="s">
        <v>30</v>
      </c>
      <c r="I901" t="s">
        <v>26</v>
      </c>
      <c r="J901">
        <v>5</v>
      </c>
      <c r="K901">
        <v>56732</v>
      </c>
      <c r="L901">
        <f>Tabla24[[#This Row],[Precio_Unitario]]*Tabla24[[#This Row],[Unidades_Vendidas]]</f>
        <v>283660</v>
      </c>
      <c r="M901" t="s">
        <v>20</v>
      </c>
    </row>
    <row r="902" spans="1:13" x14ac:dyDescent="0.25">
      <c r="A902" t="s">
        <v>245</v>
      </c>
      <c r="B902" t="str">
        <f>TEXT(Tabla24[[#This Row],[Fecha]],"dddd")</f>
        <v>domingo</v>
      </c>
      <c r="C902" t="str">
        <f>TEXT(Tabla24[[#This Row],[Fecha]],"mmmm")</f>
        <v>julio</v>
      </c>
      <c r="D902" t="str">
        <f>TEXT(Tabla24[[#This Row],[Fecha]],"aaaa")</f>
        <v>2024</v>
      </c>
      <c r="E902" t="s">
        <v>22</v>
      </c>
      <c r="F902" t="s">
        <v>29</v>
      </c>
      <c r="G902" t="s">
        <v>44</v>
      </c>
      <c r="H902" t="s">
        <v>14</v>
      </c>
      <c r="I902" t="s">
        <v>15</v>
      </c>
      <c r="J902">
        <v>3</v>
      </c>
      <c r="K902">
        <v>57457</v>
      </c>
      <c r="L902">
        <f>Tabla24[[#This Row],[Precio_Unitario]]*Tabla24[[#This Row],[Unidades_Vendidas]]</f>
        <v>172371</v>
      </c>
      <c r="M902" t="s">
        <v>16</v>
      </c>
    </row>
    <row r="903" spans="1:13" x14ac:dyDescent="0.25">
      <c r="A903" t="s">
        <v>86</v>
      </c>
      <c r="B903" t="str">
        <f>TEXT(Tabla24[[#This Row],[Fecha]],"dddd")</f>
        <v>miércoles</v>
      </c>
      <c r="C903" t="str">
        <f>TEXT(Tabla24[[#This Row],[Fecha]],"mmmm")</f>
        <v>julio</v>
      </c>
      <c r="D903" t="str">
        <f>TEXT(Tabla24[[#This Row],[Fecha]],"aaaa")</f>
        <v>2024</v>
      </c>
      <c r="E903" t="s">
        <v>42</v>
      </c>
      <c r="F903" t="s">
        <v>34</v>
      </c>
      <c r="G903" t="s">
        <v>48</v>
      </c>
      <c r="H903" t="s">
        <v>35</v>
      </c>
      <c r="I903" t="s">
        <v>15</v>
      </c>
      <c r="J903">
        <v>19</v>
      </c>
      <c r="K903">
        <v>36508</v>
      </c>
      <c r="L903">
        <f>Tabla24[[#This Row],[Precio_Unitario]]*Tabla24[[#This Row],[Unidades_Vendidas]]</f>
        <v>693652</v>
      </c>
      <c r="M903" t="s">
        <v>36</v>
      </c>
    </row>
    <row r="904" spans="1:13" x14ac:dyDescent="0.25">
      <c r="A904" t="s">
        <v>307</v>
      </c>
      <c r="B904" t="str">
        <f>TEXT(Tabla24[[#This Row],[Fecha]],"dddd")</f>
        <v>jueves</v>
      </c>
      <c r="C904" t="str">
        <f>TEXT(Tabla24[[#This Row],[Fecha]],"mmmm")</f>
        <v>septiembre</v>
      </c>
      <c r="D904" t="str">
        <f>TEXT(Tabla24[[#This Row],[Fecha]],"aaaa")</f>
        <v>2024</v>
      </c>
      <c r="E904" t="s">
        <v>18</v>
      </c>
      <c r="F904" t="s">
        <v>34</v>
      </c>
      <c r="G904" t="s">
        <v>48</v>
      </c>
      <c r="H904" t="s">
        <v>25</v>
      </c>
      <c r="I904" t="s">
        <v>40</v>
      </c>
      <c r="J904">
        <v>3</v>
      </c>
      <c r="K904">
        <v>19978</v>
      </c>
      <c r="L904">
        <f>Tabla24[[#This Row],[Precio_Unitario]]*Tabla24[[#This Row],[Unidades_Vendidas]]</f>
        <v>59934</v>
      </c>
      <c r="M904" t="s">
        <v>27</v>
      </c>
    </row>
    <row r="905" spans="1:13" x14ac:dyDescent="0.25">
      <c r="A905" t="s">
        <v>297</v>
      </c>
      <c r="B905" t="str">
        <f>TEXT(Tabla24[[#This Row],[Fecha]],"dddd")</f>
        <v>viernes</v>
      </c>
      <c r="C905" t="str">
        <f>TEXT(Tabla24[[#This Row],[Fecha]],"mmmm")</f>
        <v>abril</v>
      </c>
      <c r="D905" t="str">
        <f>TEXT(Tabla24[[#This Row],[Fecha]],"aaaa")</f>
        <v>2024</v>
      </c>
      <c r="E905" t="s">
        <v>22</v>
      </c>
      <c r="F905" t="s">
        <v>23</v>
      </c>
      <c r="G905" t="s">
        <v>39</v>
      </c>
      <c r="H905" t="s">
        <v>25</v>
      </c>
      <c r="I905" t="s">
        <v>15</v>
      </c>
      <c r="J905">
        <v>3</v>
      </c>
      <c r="K905">
        <v>49699</v>
      </c>
      <c r="L905">
        <f>Tabla24[[#This Row],[Precio_Unitario]]*Tabla24[[#This Row],[Unidades_Vendidas]]</f>
        <v>149097</v>
      </c>
      <c r="M905" t="s">
        <v>27</v>
      </c>
    </row>
    <row r="906" spans="1:13" x14ac:dyDescent="0.25">
      <c r="A906" t="s">
        <v>186</v>
      </c>
      <c r="B906" t="str">
        <f>TEXT(Tabla24[[#This Row],[Fecha]],"dddd")</f>
        <v>jueves</v>
      </c>
      <c r="C906" t="str">
        <f>TEXT(Tabla24[[#This Row],[Fecha]],"mmmm")</f>
        <v>marzo</v>
      </c>
      <c r="D906" t="str">
        <f>TEXT(Tabla24[[#This Row],[Fecha]],"aaaa")</f>
        <v>2024</v>
      </c>
      <c r="E906" t="s">
        <v>33</v>
      </c>
      <c r="F906" t="s">
        <v>38</v>
      </c>
      <c r="G906" t="s">
        <v>13</v>
      </c>
      <c r="H906" t="s">
        <v>35</v>
      </c>
      <c r="I906" t="s">
        <v>40</v>
      </c>
      <c r="J906">
        <v>2</v>
      </c>
      <c r="K906">
        <v>19211</v>
      </c>
      <c r="L906">
        <f>Tabla24[[#This Row],[Precio_Unitario]]*Tabla24[[#This Row],[Unidades_Vendidas]]</f>
        <v>38422</v>
      </c>
      <c r="M906" t="s">
        <v>16</v>
      </c>
    </row>
    <row r="907" spans="1:13" x14ac:dyDescent="0.25">
      <c r="A907" t="s">
        <v>365</v>
      </c>
      <c r="B907" t="str">
        <f>TEXT(Tabla24[[#This Row],[Fecha]],"dddd")</f>
        <v>viernes</v>
      </c>
      <c r="C907" t="str">
        <f>TEXT(Tabla24[[#This Row],[Fecha]],"mmmm")</f>
        <v>agosto</v>
      </c>
      <c r="D907" t="str">
        <f>TEXT(Tabla24[[#This Row],[Fecha]],"aaaa")</f>
        <v>2024</v>
      </c>
      <c r="E907" t="s">
        <v>22</v>
      </c>
      <c r="F907" t="s">
        <v>29</v>
      </c>
      <c r="G907" t="s">
        <v>24</v>
      </c>
      <c r="H907" t="s">
        <v>25</v>
      </c>
      <c r="I907" t="s">
        <v>15</v>
      </c>
      <c r="J907">
        <v>4</v>
      </c>
      <c r="K907">
        <v>53274</v>
      </c>
      <c r="L907">
        <f>Tabla24[[#This Row],[Precio_Unitario]]*Tabla24[[#This Row],[Unidades_Vendidas]]</f>
        <v>213096</v>
      </c>
      <c r="M907" t="s">
        <v>27</v>
      </c>
    </row>
    <row r="908" spans="1:13" x14ac:dyDescent="0.25">
      <c r="A908" t="s">
        <v>152</v>
      </c>
      <c r="B908" t="str">
        <f>TEXT(Tabla24[[#This Row],[Fecha]],"dddd")</f>
        <v>lunes</v>
      </c>
      <c r="C908" t="str">
        <f>TEXT(Tabla24[[#This Row],[Fecha]],"mmmm")</f>
        <v>febrero</v>
      </c>
      <c r="D908" t="str">
        <f>TEXT(Tabla24[[#This Row],[Fecha]],"aaaa")</f>
        <v>2024</v>
      </c>
      <c r="E908" t="s">
        <v>18</v>
      </c>
      <c r="F908" t="s">
        <v>23</v>
      </c>
      <c r="G908" t="s">
        <v>44</v>
      </c>
      <c r="H908" t="s">
        <v>25</v>
      </c>
      <c r="I908" t="s">
        <v>15</v>
      </c>
      <c r="J908">
        <v>13</v>
      </c>
      <c r="K908">
        <v>48904</v>
      </c>
      <c r="L908">
        <f>Tabla24[[#This Row],[Precio_Unitario]]*Tabla24[[#This Row],[Unidades_Vendidas]]</f>
        <v>635752</v>
      </c>
      <c r="M908" t="s">
        <v>20</v>
      </c>
    </row>
    <row r="909" spans="1:13" x14ac:dyDescent="0.25">
      <c r="A909" t="s">
        <v>126</v>
      </c>
      <c r="B909" t="str">
        <f>TEXT(Tabla24[[#This Row],[Fecha]],"dddd")</f>
        <v>lunes</v>
      </c>
      <c r="C909" t="str">
        <f>TEXT(Tabla24[[#This Row],[Fecha]],"mmmm")</f>
        <v>noviembre</v>
      </c>
      <c r="D909" t="str">
        <f>TEXT(Tabla24[[#This Row],[Fecha]],"aaaa")</f>
        <v>2024</v>
      </c>
      <c r="E909" t="s">
        <v>33</v>
      </c>
      <c r="F909" t="s">
        <v>23</v>
      </c>
      <c r="G909" t="s">
        <v>48</v>
      </c>
      <c r="H909" t="s">
        <v>35</v>
      </c>
      <c r="I909" t="s">
        <v>26</v>
      </c>
      <c r="J909">
        <v>14</v>
      </c>
      <c r="K909">
        <v>39339</v>
      </c>
      <c r="L909">
        <f>Tabla24[[#This Row],[Precio_Unitario]]*Tabla24[[#This Row],[Unidades_Vendidas]]</f>
        <v>550746</v>
      </c>
      <c r="M909" t="s">
        <v>20</v>
      </c>
    </row>
    <row r="910" spans="1:13" x14ac:dyDescent="0.25">
      <c r="A910" t="s">
        <v>218</v>
      </c>
      <c r="B910" t="str">
        <f>TEXT(Tabla24[[#This Row],[Fecha]],"dddd")</f>
        <v>lunes</v>
      </c>
      <c r="C910" t="str">
        <f>TEXT(Tabla24[[#This Row],[Fecha]],"mmmm")</f>
        <v>marzo</v>
      </c>
      <c r="D910" t="str">
        <f>TEXT(Tabla24[[#This Row],[Fecha]],"aaaa")</f>
        <v>2024</v>
      </c>
      <c r="E910" t="s">
        <v>18</v>
      </c>
      <c r="F910" t="s">
        <v>12</v>
      </c>
      <c r="G910" t="s">
        <v>24</v>
      </c>
      <c r="H910" t="s">
        <v>25</v>
      </c>
      <c r="I910" t="s">
        <v>40</v>
      </c>
      <c r="J910">
        <v>12</v>
      </c>
      <c r="K910">
        <v>19604</v>
      </c>
      <c r="L910">
        <f>Tabla24[[#This Row],[Precio_Unitario]]*Tabla24[[#This Row],[Unidades_Vendidas]]</f>
        <v>235248</v>
      </c>
      <c r="M910" t="s">
        <v>20</v>
      </c>
    </row>
    <row r="911" spans="1:13" x14ac:dyDescent="0.25">
      <c r="A911" t="s">
        <v>321</v>
      </c>
      <c r="B911" t="str">
        <f>TEXT(Tabla24[[#This Row],[Fecha]],"dddd")</f>
        <v>sábado</v>
      </c>
      <c r="C911" t="str">
        <f>TEXT(Tabla24[[#This Row],[Fecha]],"mmmm")</f>
        <v>noviembre</v>
      </c>
      <c r="D911" t="str">
        <f>TEXT(Tabla24[[#This Row],[Fecha]],"aaaa")</f>
        <v>2024</v>
      </c>
      <c r="E911" t="s">
        <v>33</v>
      </c>
      <c r="F911" t="s">
        <v>34</v>
      </c>
      <c r="G911" t="s">
        <v>39</v>
      </c>
      <c r="H911" t="s">
        <v>25</v>
      </c>
      <c r="I911" t="s">
        <v>40</v>
      </c>
      <c r="J911">
        <v>11</v>
      </c>
      <c r="K911">
        <v>26499</v>
      </c>
      <c r="L911">
        <f>Tabla24[[#This Row],[Precio_Unitario]]*Tabla24[[#This Row],[Unidades_Vendidas]]</f>
        <v>291489</v>
      </c>
      <c r="M911" t="s">
        <v>27</v>
      </c>
    </row>
    <row r="912" spans="1:13" x14ac:dyDescent="0.25">
      <c r="A912" t="s">
        <v>303</v>
      </c>
      <c r="B912" t="str">
        <f>TEXT(Tabla24[[#This Row],[Fecha]],"dddd")</f>
        <v>miércoles</v>
      </c>
      <c r="C912" t="str">
        <f>TEXT(Tabla24[[#This Row],[Fecha]],"mmmm")</f>
        <v>octubre</v>
      </c>
      <c r="D912" t="str">
        <f>TEXT(Tabla24[[#This Row],[Fecha]],"aaaa")</f>
        <v>2024</v>
      </c>
      <c r="E912" t="s">
        <v>33</v>
      </c>
      <c r="F912" t="s">
        <v>29</v>
      </c>
      <c r="G912" t="s">
        <v>44</v>
      </c>
      <c r="H912" t="s">
        <v>30</v>
      </c>
      <c r="I912" t="s">
        <v>26</v>
      </c>
      <c r="J912">
        <v>6</v>
      </c>
      <c r="K912">
        <v>29692</v>
      </c>
      <c r="L912">
        <f>Tabla24[[#This Row],[Precio_Unitario]]*Tabla24[[#This Row],[Unidades_Vendidas]]</f>
        <v>178152</v>
      </c>
      <c r="M912" t="s">
        <v>27</v>
      </c>
    </row>
    <row r="913" spans="1:13" x14ac:dyDescent="0.25">
      <c r="A913" t="s">
        <v>366</v>
      </c>
      <c r="B913" t="str">
        <f>TEXT(Tabla24[[#This Row],[Fecha]],"dddd")</f>
        <v>sábado</v>
      </c>
      <c r="C913" t="str">
        <f>TEXT(Tabla24[[#This Row],[Fecha]],"mmmm")</f>
        <v>febrero</v>
      </c>
      <c r="D913" t="str">
        <f>TEXT(Tabla24[[#This Row],[Fecha]],"aaaa")</f>
        <v>2024</v>
      </c>
      <c r="E913" t="s">
        <v>11</v>
      </c>
      <c r="F913" t="s">
        <v>12</v>
      </c>
      <c r="G913" t="s">
        <v>44</v>
      </c>
      <c r="H913" t="s">
        <v>35</v>
      </c>
      <c r="I913" t="s">
        <v>15</v>
      </c>
      <c r="J913">
        <v>4</v>
      </c>
      <c r="K913">
        <v>38244</v>
      </c>
      <c r="L913">
        <f>Tabla24[[#This Row],[Precio_Unitario]]*Tabla24[[#This Row],[Unidades_Vendidas]]</f>
        <v>152976</v>
      </c>
      <c r="M913" t="s">
        <v>36</v>
      </c>
    </row>
    <row r="914" spans="1:13" x14ac:dyDescent="0.25">
      <c r="A914" t="s">
        <v>267</v>
      </c>
      <c r="B914" t="str">
        <f>TEXT(Tabla24[[#This Row],[Fecha]],"dddd")</f>
        <v>martes</v>
      </c>
      <c r="C914" t="str">
        <f>TEXT(Tabla24[[#This Row],[Fecha]],"mmmm")</f>
        <v>febrero</v>
      </c>
      <c r="D914" t="str">
        <f>TEXT(Tabla24[[#This Row],[Fecha]],"aaaa")</f>
        <v>2024</v>
      </c>
      <c r="E914" t="s">
        <v>22</v>
      </c>
      <c r="F914" t="s">
        <v>29</v>
      </c>
      <c r="G914" t="s">
        <v>13</v>
      </c>
      <c r="H914" t="s">
        <v>19</v>
      </c>
      <c r="I914" t="s">
        <v>40</v>
      </c>
      <c r="J914">
        <v>2</v>
      </c>
      <c r="K914">
        <v>41769</v>
      </c>
      <c r="L914">
        <f>Tabla24[[#This Row],[Precio_Unitario]]*Tabla24[[#This Row],[Unidades_Vendidas]]</f>
        <v>83538</v>
      </c>
      <c r="M914" t="s">
        <v>27</v>
      </c>
    </row>
    <row r="915" spans="1:13" x14ac:dyDescent="0.25">
      <c r="A915" t="s">
        <v>82</v>
      </c>
      <c r="B915" t="str">
        <f>TEXT(Tabla24[[#This Row],[Fecha]],"dddd")</f>
        <v>viernes</v>
      </c>
      <c r="C915" t="str">
        <f>TEXT(Tabla24[[#This Row],[Fecha]],"mmmm")</f>
        <v>junio</v>
      </c>
      <c r="D915" t="str">
        <f>TEXT(Tabla24[[#This Row],[Fecha]],"aaaa")</f>
        <v>2024</v>
      </c>
      <c r="E915" t="s">
        <v>22</v>
      </c>
      <c r="F915" t="s">
        <v>29</v>
      </c>
      <c r="G915" t="s">
        <v>13</v>
      </c>
      <c r="H915" t="s">
        <v>14</v>
      </c>
      <c r="I915" t="s">
        <v>26</v>
      </c>
      <c r="J915">
        <v>18</v>
      </c>
      <c r="K915">
        <v>56124</v>
      </c>
      <c r="L915">
        <f>Tabla24[[#This Row],[Precio_Unitario]]*Tabla24[[#This Row],[Unidades_Vendidas]]</f>
        <v>1010232</v>
      </c>
      <c r="M915" t="s">
        <v>27</v>
      </c>
    </row>
    <row r="916" spans="1:13" x14ac:dyDescent="0.25">
      <c r="A916" t="s">
        <v>118</v>
      </c>
      <c r="B916" t="str">
        <f>TEXT(Tabla24[[#This Row],[Fecha]],"dddd")</f>
        <v>jueves</v>
      </c>
      <c r="C916" t="str">
        <f>TEXT(Tabla24[[#This Row],[Fecha]],"mmmm")</f>
        <v>enero</v>
      </c>
      <c r="D916" t="str">
        <f>TEXT(Tabla24[[#This Row],[Fecha]],"aaaa")</f>
        <v>2024</v>
      </c>
      <c r="E916" t="s">
        <v>22</v>
      </c>
      <c r="F916" t="s">
        <v>38</v>
      </c>
      <c r="G916" t="s">
        <v>44</v>
      </c>
      <c r="H916" t="s">
        <v>35</v>
      </c>
      <c r="I916" t="s">
        <v>40</v>
      </c>
      <c r="J916">
        <v>9</v>
      </c>
      <c r="K916">
        <v>28770</v>
      </c>
      <c r="L916">
        <f>Tabla24[[#This Row],[Precio_Unitario]]*Tabla24[[#This Row],[Unidades_Vendidas]]</f>
        <v>258930</v>
      </c>
      <c r="M916" t="s">
        <v>36</v>
      </c>
    </row>
    <row r="917" spans="1:13" x14ac:dyDescent="0.25">
      <c r="A917" t="s">
        <v>249</v>
      </c>
      <c r="B917" t="str">
        <f>TEXT(Tabla24[[#This Row],[Fecha]],"dddd")</f>
        <v>sábado</v>
      </c>
      <c r="C917" t="str">
        <f>TEXT(Tabla24[[#This Row],[Fecha]],"mmmm")</f>
        <v>mayo</v>
      </c>
      <c r="D917" t="str">
        <f>TEXT(Tabla24[[#This Row],[Fecha]],"aaaa")</f>
        <v>2024</v>
      </c>
      <c r="E917" t="s">
        <v>42</v>
      </c>
      <c r="F917" t="s">
        <v>38</v>
      </c>
      <c r="G917" t="s">
        <v>39</v>
      </c>
      <c r="H917" t="s">
        <v>35</v>
      </c>
      <c r="I917" t="s">
        <v>40</v>
      </c>
      <c r="J917">
        <v>10</v>
      </c>
      <c r="K917">
        <v>38089</v>
      </c>
      <c r="L917">
        <f>Tabla24[[#This Row],[Precio_Unitario]]*Tabla24[[#This Row],[Unidades_Vendidas]]</f>
        <v>380890</v>
      </c>
      <c r="M917" t="s">
        <v>20</v>
      </c>
    </row>
    <row r="918" spans="1:13" x14ac:dyDescent="0.25">
      <c r="A918" t="s">
        <v>266</v>
      </c>
      <c r="B918" t="str">
        <f>TEXT(Tabla24[[#This Row],[Fecha]],"dddd")</f>
        <v>miércoles</v>
      </c>
      <c r="C918" t="str">
        <f>TEXT(Tabla24[[#This Row],[Fecha]],"mmmm")</f>
        <v>octubre</v>
      </c>
      <c r="D918" t="str">
        <f>TEXT(Tabla24[[#This Row],[Fecha]],"aaaa")</f>
        <v>2024</v>
      </c>
      <c r="E918" t="s">
        <v>22</v>
      </c>
      <c r="F918" t="s">
        <v>38</v>
      </c>
      <c r="G918" t="s">
        <v>44</v>
      </c>
      <c r="H918" t="s">
        <v>30</v>
      </c>
      <c r="I918" t="s">
        <v>26</v>
      </c>
      <c r="J918">
        <v>2</v>
      </c>
      <c r="K918">
        <v>28715</v>
      </c>
      <c r="L918">
        <f>Tabla24[[#This Row],[Precio_Unitario]]*Tabla24[[#This Row],[Unidades_Vendidas]]</f>
        <v>57430</v>
      </c>
      <c r="M918" t="s">
        <v>16</v>
      </c>
    </row>
    <row r="919" spans="1:13" x14ac:dyDescent="0.25">
      <c r="A919" t="s">
        <v>298</v>
      </c>
      <c r="B919" t="str">
        <f>TEXT(Tabla24[[#This Row],[Fecha]],"dddd")</f>
        <v>viernes</v>
      </c>
      <c r="C919" t="str">
        <f>TEXT(Tabla24[[#This Row],[Fecha]],"mmmm")</f>
        <v>octubre</v>
      </c>
      <c r="D919" t="str">
        <f>TEXT(Tabla24[[#This Row],[Fecha]],"aaaa")</f>
        <v>2024</v>
      </c>
      <c r="E919" t="s">
        <v>33</v>
      </c>
      <c r="F919" t="s">
        <v>23</v>
      </c>
      <c r="G919" t="s">
        <v>39</v>
      </c>
      <c r="H919" t="s">
        <v>14</v>
      </c>
      <c r="I919" t="s">
        <v>40</v>
      </c>
      <c r="J919">
        <v>12</v>
      </c>
      <c r="K919">
        <v>58537</v>
      </c>
      <c r="L919">
        <f>Tabla24[[#This Row],[Precio_Unitario]]*Tabla24[[#This Row],[Unidades_Vendidas]]</f>
        <v>702444</v>
      </c>
      <c r="M919" t="s">
        <v>36</v>
      </c>
    </row>
    <row r="920" spans="1:13" x14ac:dyDescent="0.25">
      <c r="A920" t="s">
        <v>220</v>
      </c>
      <c r="B920" t="str">
        <f>TEXT(Tabla24[[#This Row],[Fecha]],"dddd")</f>
        <v>lunes</v>
      </c>
      <c r="C920" t="str">
        <f>TEXT(Tabla24[[#This Row],[Fecha]],"mmmm")</f>
        <v>enero</v>
      </c>
      <c r="D920" t="str">
        <f>TEXT(Tabla24[[#This Row],[Fecha]],"aaaa")</f>
        <v>2024</v>
      </c>
      <c r="E920" t="s">
        <v>18</v>
      </c>
      <c r="F920" t="s">
        <v>34</v>
      </c>
      <c r="G920" t="s">
        <v>24</v>
      </c>
      <c r="H920" t="s">
        <v>14</v>
      </c>
      <c r="I920" t="s">
        <v>15</v>
      </c>
      <c r="J920">
        <v>20</v>
      </c>
      <c r="K920">
        <v>19703</v>
      </c>
      <c r="L920">
        <f>Tabla24[[#This Row],[Precio_Unitario]]*Tabla24[[#This Row],[Unidades_Vendidas]]</f>
        <v>394060</v>
      </c>
      <c r="M920" t="s">
        <v>27</v>
      </c>
    </row>
    <row r="921" spans="1:13" x14ac:dyDescent="0.25">
      <c r="A921" t="s">
        <v>320</v>
      </c>
      <c r="B921" t="str">
        <f>TEXT(Tabla24[[#This Row],[Fecha]],"dddd")</f>
        <v>viernes</v>
      </c>
      <c r="C921" t="str">
        <f>TEXT(Tabla24[[#This Row],[Fecha]],"mmmm")</f>
        <v>abril</v>
      </c>
      <c r="D921" t="str">
        <f>TEXT(Tabla24[[#This Row],[Fecha]],"aaaa")</f>
        <v>2024</v>
      </c>
      <c r="E921" t="s">
        <v>42</v>
      </c>
      <c r="F921" t="s">
        <v>34</v>
      </c>
      <c r="G921" t="s">
        <v>48</v>
      </c>
      <c r="H921" t="s">
        <v>25</v>
      </c>
      <c r="I921" t="s">
        <v>26</v>
      </c>
      <c r="J921">
        <v>18</v>
      </c>
      <c r="K921">
        <v>27230</v>
      </c>
      <c r="L921">
        <f>Tabla24[[#This Row],[Precio_Unitario]]*Tabla24[[#This Row],[Unidades_Vendidas]]</f>
        <v>490140</v>
      </c>
      <c r="M921" t="s">
        <v>36</v>
      </c>
    </row>
    <row r="922" spans="1:13" x14ac:dyDescent="0.25">
      <c r="A922" t="s">
        <v>308</v>
      </c>
      <c r="B922" t="str">
        <f>TEXT(Tabla24[[#This Row],[Fecha]],"dddd")</f>
        <v>martes</v>
      </c>
      <c r="C922" t="str">
        <f>TEXT(Tabla24[[#This Row],[Fecha]],"mmmm")</f>
        <v>agosto</v>
      </c>
      <c r="D922" t="str">
        <f>TEXT(Tabla24[[#This Row],[Fecha]],"aaaa")</f>
        <v>2024</v>
      </c>
      <c r="E922" t="s">
        <v>22</v>
      </c>
      <c r="F922" t="s">
        <v>38</v>
      </c>
      <c r="G922" t="s">
        <v>24</v>
      </c>
      <c r="H922" t="s">
        <v>19</v>
      </c>
      <c r="I922" t="s">
        <v>26</v>
      </c>
      <c r="J922">
        <v>9</v>
      </c>
      <c r="K922">
        <v>43294</v>
      </c>
      <c r="L922">
        <f>Tabla24[[#This Row],[Precio_Unitario]]*Tabla24[[#This Row],[Unidades_Vendidas]]</f>
        <v>389646</v>
      </c>
      <c r="M922" t="s">
        <v>20</v>
      </c>
    </row>
    <row r="923" spans="1:13" x14ac:dyDescent="0.25">
      <c r="A923" t="s">
        <v>325</v>
      </c>
      <c r="B923" t="str">
        <f>TEXT(Tabla24[[#This Row],[Fecha]],"dddd")</f>
        <v>jueves</v>
      </c>
      <c r="C923" t="str">
        <f>TEXT(Tabla24[[#This Row],[Fecha]],"mmmm")</f>
        <v>diciembre</v>
      </c>
      <c r="D923" t="str">
        <f>TEXT(Tabla24[[#This Row],[Fecha]],"aaaa")</f>
        <v>2024</v>
      </c>
      <c r="E923" t="s">
        <v>22</v>
      </c>
      <c r="F923" t="s">
        <v>29</v>
      </c>
      <c r="G923" t="s">
        <v>44</v>
      </c>
      <c r="H923" t="s">
        <v>14</v>
      </c>
      <c r="I923" t="s">
        <v>15</v>
      </c>
      <c r="J923">
        <v>15</v>
      </c>
      <c r="K923">
        <v>33874</v>
      </c>
      <c r="L923">
        <f>Tabla24[[#This Row],[Precio_Unitario]]*Tabla24[[#This Row],[Unidades_Vendidas]]</f>
        <v>508110</v>
      </c>
      <c r="M923" t="s">
        <v>20</v>
      </c>
    </row>
    <row r="924" spans="1:13" x14ac:dyDescent="0.25">
      <c r="A924" t="s">
        <v>336</v>
      </c>
      <c r="B924" t="str">
        <f>TEXT(Tabla24[[#This Row],[Fecha]],"dddd")</f>
        <v>jueves</v>
      </c>
      <c r="C924" t="str">
        <f>TEXT(Tabla24[[#This Row],[Fecha]],"mmmm")</f>
        <v>julio</v>
      </c>
      <c r="D924" t="str">
        <f>TEXT(Tabla24[[#This Row],[Fecha]],"aaaa")</f>
        <v>2024</v>
      </c>
      <c r="E924" t="s">
        <v>22</v>
      </c>
      <c r="F924" t="s">
        <v>34</v>
      </c>
      <c r="G924" t="s">
        <v>24</v>
      </c>
      <c r="H924" t="s">
        <v>19</v>
      </c>
      <c r="I924" t="s">
        <v>40</v>
      </c>
      <c r="J924">
        <v>18</v>
      </c>
      <c r="K924">
        <v>39943</v>
      </c>
      <c r="L924">
        <f>Tabla24[[#This Row],[Precio_Unitario]]*Tabla24[[#This Row],[Unidades_Vendidas]]</f>
        <v>718974</v>
      </c>
      <c r="M924" t="s">
        <v>27</v>
      </c>
    </row>
    <row r="925" spans="1:13" x14ac:dyDescent="0.25">
      <c r="A925" t="s">
        <v>331</v>
      </c>
      <c r="B925" t="str">
        <f>TEXT(Tabla24[[#This Row],[Fecha]],"dddd")</f>
        <v>sábado</v>
      </c>
      <c r="C925" t="str">
        <f>TEXT(Tabla24[[#This Row],[Fecha]],"mmmm")</f>
        <v>enero</v>
      </c>
      <c r="D925" t="str">
        <f>TEXT(Tabla24[[#This Row],[Fecha]],"aaaa")</f>
        <v>2024</v>
      </c>
      <c r="E925" t="s">
        <v>42</v>
      </c>
      <c r="F925" t="s">
        <v>29</v>
      </c>
      <c r="G925" t="s">
        <v>44</v>
      </c>
      <c r="H925" t="s">
        <v>35</v>
      </c>
      <c r="I925" t="s">
        <v>15</v>
      </c>
      <c r="J925">
        <v>5</v>
      </c>
      <c r="K925">
        <v>52264</v>
      </c>
      <c r="L925">
        <f>Tabla24[[#This Row],[Precio_Unitario]]*Tabla24[[#This Row],[Unidades_Vendidas]]</f>
        <v>261320</v>
      </c>
      <c r="M925" t="s">
        <v>20</v>
      </c>
    </row>
    <row r="926" spans="1:13" x14ac:dyDescent="0.25">
      <c r="A926" t="s">
        <v>60</v>
      </c>
      <c r="B926" t="str">
        <f>TEXT(Tabla24[[#This Row],[Fecha]],"dddd")</f>
        <v>lunes</v>
      </c>
      <c r="C926" t="str">
        <f>TEXT(Tabla24[[#This Row],[Fecha]],"mmmm")</f>
        <v>junio</v>
      </c>
      <c r="D926" t="str">
        <f>TEXT(Tabla24[[#This Row],[Fecha]],"aaaa")</f>
        <v>2024</v>
      </c>
      <c r="E926" t="s">
        <v>33</v>
      </c>
      <c r="F926" t="s">
        <v>23</v>
      </c>
      <c r="G926" t="s">
        <v>24</v>
      </c>
      <c r="H926" t="s">
        <v>19</v>
      </c>
      <c r="I926" t="s">
        <v>26</v>
      </c>
      <c r="J926">
        <v>16</v>
      </c>
      <c r="K926">
        <v>46048</v>
      </c>
      <c r="L926">
        <f>Tabla24[[#This Row],[Precio_Unitario]]*Tabla24[[#This Row],[Unidades_Vendidas]]</f>
        <v>736768</v>
      </c>
      <c r="M926" t="s">
        <v>20</v>
      </c>
    </row>
    <row r="927" spans="1:13" x14ac:dyDescent="0.25">
      <c r="A927" t="s">
        <v>47</v>
      </c>
      <c r="B927" t="str">
        <f>TEXT(Tabla24[[#This Row],[Fecha]],"dddd")</f>
        <v>miércoles</v>
      </c>
      <c r="C927" t="str">
        <f>TEXT(Tabla24[[#This Row],[Fecha]],"mmmm")</f>
        <v>septiembre</v>
      </c>
      <c r="D927" t="str">
        <f>TEXT(Tabla24[[#This Row],[Fecha]],"aaaa")</f>
        <v>2024</v>
      </c>
      <c r="E927" t="s">
        <v>22</v>
      </c>
      <c r="F927" t="s">
        <v>23</v>
      </c>
      <c r="G927" t="s">
        <v>48</v>
      </c>
      <c r="H927" t="s">
        <v>30</v>
      </c>
      <c r="I927" t="s">
        <v>40</v>
      </c>
      <c r="J927">
        <v>20</v>
      </c>
      <c r="K927">
        <v>21625</v>
      </c>
      <c r="L927">
        <f>Tabla24[[#This Row],[Precio_Unitario]]*Tabla24[[#This Row],[Unidades_Vendidas]]</f>
        <v>432500</v>
      </c>
      <c r="M927" t="s">
        <v>36</v>
      </c>
    </row>
    <row r="928" spans="1:13" x14ac:dyDescent="0.25">
      <c r="A928" t="s">
        <v>88</v>
      </c>
      <c r="B928" t="str">
        <f>TEXT(Tabla24[[#This Row],[Fecha]],"dddd")</f>
        <v>miércoles</v>
      </c>
      <c r="C928" t="str">
        <f>TEXT(Tabla24[[#This Row],[Fecha]],"mmmm")</f>
        <v>enero</v>
      </c>
      <c r="D928" t="str">
        <f>TEXT(Tabla24[[#This Row],[Fecha]],"aaaa")</f>
        <v>2024</v>
      </c>
      <c r="E928" t="s">
        <v>33</v>
      </c>
      <c r="F928" t="s">
        <v>23</v>
      </c>
      <c r="G928" t="s">
        <v>13</v>
      </c>
      <c r="H928" t="s">
        <v>19</v>
      </c>
      <c r="I928" t="s">
        <v>40</v>
      </c>
      <c r="J928">
        <v>3</v>
      </c>
      <c r="K928">
        <v>51324</v>
      </c>
      <c r="L928">
        <f>Tabla24[[#This Row],[Precio_Unitario]]*Tabla24[[#This Row],[Unidades_Vendidas]]</f>
        <v>153972</v>
      </c>
      <c r="M928" t="s">
        <v>16</v>
      </c>
    </row>
    <row r="929" spans="1:13" x14ac:dyDescent="0.25">
      <c r="A929" t="s">
        <v>99</v>
      </c>
      <c r="B929" t="str">
        <f>TEXT(Tabla24[[#This Row],[Fecha]],"dddd")</f>
        <v>martes</v>
      </c>
      <c r="C929" t="str">
        <f>TEXT(Tabla24[[#This Row],[Fecha]],"mmmm")</f>
        <v>abril</v>
      </c>
      <c r="D929" t="str">
        <f>TEXT(Tabla24[[#This Row],[Fecha]],"aaaa")</f>
        <v>2024</v>
      </c>
      <c r="E929" t="s">
        <v>22</v>
      </c>
      <c r="F929" t="s">
        <v>12</v>
      </c>
      <c r="G929" t="s">
        <v>13</v>
      </c>
      <c r="H929" t="s">
        <v>19</v>
      </c>
      <c r="I929" t="s">
        <v>26</v>
      </c>
      <c r="J929">
        <v>18</v>
      </c>
      <c r="K929">
        <v>28265</v>
      </c>
      <c r="L929">
        <f>Tabla24[[#This Row],[Precio_Unitario]]*Tabla24[[#This Row],[Unidades_Vendidas]]</f>
        <v>508770</v>
      </c>
      <c r="M929" t="s">
        <v>36</v>
      </c>
    </row>
    <row r="930" spans="1:13" x14ac:dyDescent="0.25">
      <c r="A930" t="s">
        <v>60</v>
      </c>
      <c r="B930" t="str">
        <f>TEXT(Tabla24[[#This Row],[Fecha]],"dddd")</f>
        <v>lunes</v>
      </c>
      <c r="C930" t="str">
        <f>TEXT(Tabla24[[#This Row],[Fecha]],"mmmm")</f>
        <v>junio</v>
      </c>
      <c r="D930" t="str">
        <f>TEXT(Tabla24[[#This Row],[Fecha]],"aaaa")</f>
        <v>2024</v>
      </c>
      <c r="E930" t="s">
        <v>11</v>
      </c>
      <c r="F930" t="s">
        <v>23</v>
      </c>
      <c r="G930" t="s">
        <v>13</v>
      </c>
      <c r="H930" t="s">
        <v>25</v>
      </c>
      <c r="I930" t="s">
        <v>15</v>
      </c>
      <c r="J930">
        <v>18</v>
      </c>
      <c r="K930">
        <v>18859</v>
      </c>
      <c r="L930">
        <f>Tabla24[[#This Row],[Precio_Unitario]]*Tabla24[[#This Row],[Unidades_Vendidas]]</f>
        <v>339462</v>
      </c>
      <c r="M930" t="s">
        <v>16</v>
      </c>
    </row>
    <row r="931" spans="1:13" x14ac:dyDescent="0.25">
      <c r="A931" t="s">
        <v>125</v>
      </c>
      <c r="B931" t="str">
        <f>TEXT(Tabla24[[#This Row],[Fecha]],"dddd")</f>
        <v>martes</v>
      </c>
      <c r="C931" t="str">
        <f>TEXT(Tabla24[[#This Row],[Fecha]],"mmmm")</f>
        <v>septiembre</v>
      </c>
      <c r="D931" t="str">
        <f>TEXT(Tabla24[[#This Row],[Fecha]],"aaaa")</f>
        <v>2024</v>
      </c>
      <c r="E931" t="s">
        <v>18</v>
      </c>
      <c r="F931" t="s">
        <v>23</v>
      </c>
      <c r="G931" t="s">
        <v>48</v>
      </c>
      <c r="H931" t="s">
        <v>25</v>
      </c>
      <c r="I931" t="s">
        <v>40</v>
      </c>
      <c r="J931">
        <v>14</v>
      </c>
      <c r="K931">
        <v>31182</v>
      </c>
      <c r="L931">
        <f>Tabla24[[#This Row],[Precio_Unitario]]*Tabla24[[#This Row],[Unidades_Vendidas]]</f>
        <v>436548</v>
      </c>
      <c r="M931" t="s">
        <v>36</v>
      </c>
    </row>
    <row r="932" spans="1:13" x14ac:dyDescent="0.25">
      <c r="A932" t="s">
        <v>72</v>
      </c>
      <c r="B932" t="str">
        <f>TEXT(Tabla24[[#This Row],[Fecha]],"dddd")</f>
        <v>sábado</v>
      </c>
      <c r="C932" t="str">
        <f>TEXT(Tabla24[[#This Row],[Fecha]],"mmmm")</f>
        <v>septiembre</v>
      </c>
      <c r="D932" t="str">
        <f>TEXT(Tabla24[[#This Row],[Fecha]],"aaaa")</f>
        <v>2024</v>
      </c>
      <c r="E932" t="s">
        <v>42</v>
      </c>
      <c r="F932" t="s">
        <v>38</v>
      </c>
      <c r="G932" t="s">
        <v>24</v>
      </c>
      <c r="H932" t="s">
        <v>35</v>
      </c>
      <c r="I932" t="s">
        <v>26</v>
      </c>
      <c r="J932">
        <v>15</v>
      </c>
      <c r="K932">
        <v>53499</v>
      </c>
      <c r="L932">
        <f>Tabla24[[#This Row],[Precio_Unitario]]*Tabla24[[#This Row],[Unidades_Vendidas]]</f>
        <v>802485</v>
      </c>
      <c r="M932" t="s">
        <v>20</v>
      </c>
    </row>
    <row r="933" spans="1:13" x14ac:dyDescent="0.25">
      <c r="A933" t="s">
        <v>367</v>
      </c>
      <c r="B933" t="str">
        <f>TEXT(Tabla24[[#This Row],[Fecha]],"dddd")</f>
        <v>sábado</v>
      </c>
      <c r="C933" t="str">
        <f>TEXT(Tabla24[[#This Row],[Fecha]],"mmmm")</f>
        <v>abril</v>
      </c>
      <c r="D933" t="str">
        <f>TEXT(Tabla24[[#This Row],[Fecha]],"aaaa")</f>
        <v>2024</v>
      </c>
      <c r="E933" t="s">
        <v>18</v>
      </c>
      <c r="F933" t="s">
        <v>34</v>
      </c>
      <c r="G933" t="s">
        <v>44</v>
      </c>
      <c r="H933" t="s">
        <v>19</v>
      </c>
      <c r="I933" t="s">
        <v>26</v>
      </c>
      <c r="J933">
        <v>1</v>
      </c>
      <c r="K933">
        <v>59560</v>
      </c>
      <c r="L933">
        <f>Tabla24[[#This Row],[Precio_Unitario]]*Tabla24[[#This Row],[Unidades_Vendidas]]</f>
        <v>59560</v>
      </c>
      <c r="M933" t="s">
        <v>16</v>
      </c>
    </row>
    <row r="934" spans="1:13" x14ac:dyDescent="0.25">
      <c r="A934" t="s">
        <v>46</v>
      </c>
      <c r="B934" t="str">
        <f>TEXT(Tabla24[[#This Row],[Fecha]],"dddd")</f>
        <v>miércoles</v>
      </c>
      <c r="C934" t="str">
        <f>TEXT(Tabla24[[#This Row],[Fecha]],"mmmm")</f>
        <v>marzo</v>
      </c>
      <c r="D934" t="str">
        <f>TEXT(Tabla24[[#This Row],[Fecha]],"aaaa")</f>
        <v>2024</v>
      </c>
      <c r="E934" t="s">
        <v>42</v>
      </c>
      <c r="F934" t="s">
        <v>38</v>
      </c>
      <c r="G934" t="s">
        <v>39</v>
      </c>
      <c r="H934" t="s">
        <v>19</v>
      </c>
      <c r="I934" t="s">
        <v>15</v>
      </c>
      <c r="J934">
        <v>14</v>
      </c>
      <c r="K934">
        <v>27823</v>
      </c>
      <c r="L934">
        <f>Tabla24[[#This Row],[Precio_Unitario]]*Tabla24[[#This Row],[Unidades_Vendidas]]</f>
        <v>389522</v>
      </c>
      <c r="M934" t="s">
        <v>16</v>
      </c>
    </row>
    <row r="935" spans="1:13" x14ac:dyDescent="0.25">
      <c r="A935" t="s">
        <v>273</v>
      </c>
      <c r="B935" t="str">
        <f>TEXT(Tabla24[[#This Row],[Fecha]],"dddd")</f>
        <v>lunes</v>
      </c>
      <c r="C935" t="str">
        <f>TEXT(Tabla24[[#This Row],[Fecha]],"mmmm")</f>
        <v>julio</v>
      </c>
      <c r="D935" t="str">
        <f>TEXT(Tabla24[[#This Row],[Fecha]],"aaaa")</f>
        <v>2024</v>
      </c>
      <c r="E935" t="s">
        <v>18</v>
      </c>
      <c r="F935" t="s">
        <v>38</v>
      </c>
      <c r="G935" t="s">
        <v>24</v>
      </c>
      <c r="H935" t="s">
        <v>35</v>
      </c>
      <c r="I935" t="s">
        <v>26</v>
      </c>
      <c r="J935">
        <v>3</v>
      </c>
      <c r="K935">
        <v>47120</v>
      </c>
      <c r="L935">
        <f>Tabla24[[#This Row],[Precio_Unitario]]*Tabla24[[#This Row],[Unidades_Vendidas]]</f>
        <v>141360</v>
      </c>
      <c r="M935" t="s">
        <v>27</v>
      </c>
    </row>
    <row r="936" spans="1:13" x14ac:dyDescent="0.25">
      <c r="A936" t="s">
        <v>90</v>
      </c>
      <c r="B936" t="str">
        <f>TEXT(Tabla24[[#This Row],[Fecha]],"dddd")</f>
        <v>miércoles</v>
      </c>
      <c r="C936" t="str">
        <f>TEXT(Tabla24[[#This Row],[Fecha]],"mmmm")</f>
        <v>enero</v>
      </c>
      <c r="D936" t="str">
        <f>TEXT(Tabla24[[#This Row],[Fecha]],"aaaa")</f>
        <v>2024</v>
      </c>
      <c r="E936" t="s">
        <v>11</v>
      </c>
      <c r="F936" t="s">
        <v>12</v>
      </c>
      <c r="G936" t="s">
        <v>39</v>
      </c>
      <c r="H936" t="s">
        <v>14</v>
      </c>
      <c r="I936" t="s">
        <v>26</v>
      </c>
      <c r="J936">
        <v>16</v>
      </c>
      <c r="K936">
        <v>47003</v>
      </c>
      <c r="L936">
        <f>Tabla24[[#This Row],[Precio_Unitario]]*Tabla24[[#This Row],[Unidades_Vendidas]]</f>
        <v>752048</v>
      </c>
      <c r="M936" t="s">
        <v>36</v>
      </c>
    </row>
    <row r="937" spans="1:13" x14ac:dyDescent="0.25">
      <c r="A937" t="s">
        <v>329</v>
      </c>
      <c r="B937" t="str">
        <f>TEXT(Tabla24[[#This Row],[Fecha]],"dddd")</f>
        <v>sábado</v>
      </c>
      <c r="C937" t="str">
        <f>TEXT(Tabla24[[#This Row],[Fecha]],"mmmm")</f>
        <v>agosto</v>
      </c>
      <c r="D937" t="str">
        <f>TEXT(Tabla24[[#This Row],[Fecha]],"aaaa")</f>
        <v>2024</v>
      </c>
      <c r="E937" t="s">
        <v>11</v>
      </c>
      <c r="F937" t="s">
        <v>38</v>
      </c>
      <c r="G937" t="s">
        <v>13</v>
      </c>
      <c r="H937" t="s">
        <v>30</v>
      </c>
      <c r="I937" t="s">
        <v>15</v>
      </c>
      <c r="J937">
        <v>6</v>
      </c>
      <c r="K937">
        <v>47074</v>
      </c>
      <c r="L937">
        <f>Tabla24[[#This Row],[Precio_Unitario]]*Tabla24[[#This Row],[Unidades_Vendidas]]</f>
        <v>282444</v>
      </c>
      <c r="M937" t="s">
        <v>27</v>
      </c>
    </row>
    <row r="938" spans="1:13" x14ac:dyDescent="0.25">
      <c r="A938" t="s">
        <v>121</v>
      </c>
      <c r="B938" t="str">
        <f>TEXT(Tabla24[[#This Row],[Fecha]],"dddd")</f>
        <v>lunes</v>
      </c>
      <c r="C938" t="str">
        <f>TEXT(Tabla24[[#This Row],[Fecha]],"mmmm")</f>
        <v>agosto</v>
      </c>
      <c r="D938" t="str">
        <f>TEXT(Tabla24[[#This Row],[Fecha]],"aaaa")</f>
        <v>2024</v>
      </c>
      <c r="E938" t="s">
        <v>11</v>
      </c>
      <c r="F938" t="s">
        <v>38</v>
      </c>
      <c r="G938" t="s">
        <v>39</v>
      </c>
      <c r="H938" t="s">
        <v>30</v>
      </c>
      <c r="I938" t="s">
        <v>26</v>
      </c>
      <c r="J938">
        <v>19</v>
      </c>
      <c r="K938">
        <v>44527</v>
      </c>
      <c r="L938">
        <f>Tabla24[[#This Row],[Precio_Unitario]]*Tabla24[[#This Row],[Unidades_Vendidas]]</f>
        <v>846013</v>
      </c>
      <c r="M938" t="s">
        <v>16</v>
      </c>
    </row>
    <row r="939" spans="1:13" x14ac:dyDescent="0.25">
      <c r="A939" t="s">
        <v>206</v>
      </c>
      <c r="B939" t="str">
        <f>TEXT(Tabla24[[#This Row],[Fecha]],"dddd")</f>
        <v>viernes</v>
      </c>
      <c r="C939" t="str">
        <f>TEXT(Tabla24[[#This Row],[Fecha]],"mmmm")</f>
        <v>febrero</v>
      </c>
      <c r="D939" t="str">
        <f>TEXT(Tabla24[[#This Row],[Fecha]],"aaaa")</f>
        <v>2024</v>
      </c>
      <c r="E939" t="s">
        <v>22</v>
      </c>
      <c r="F939" t="s">
        <v>38</v>
      </c>
      <c r="G939" t="s">
        <v>13</v>
      </c>
      <c r="H939" t="s">
        <v>30</v>
      </c>
      <c r="I939" t="s">
        <v>15</v>
      </c>
      <c r="J939">
        <v>9</v>
      </c>
      <c r="K939">
        <v>41441</v>
      </c>
      <c r="L939">
        <f>Tabla24[[#This Row],[Precio_Unitario]]*Tabla24[[#This Row],[Unidades_Vendidas]]</f>
        <v>372969</v>
      </c>
      <c r="M939" t="s">
        <v>36</v>
      </c>
    </row>
    <row r="940" spans="1:13" x14ac:dyDescent="0.25">
      <c r="A940" t="s">
        <v>123</v>
      </c>
      <c r="B940" t="str">
        <f>TEXT(Tabla24[[#This Row],[Fecha]],"dddd")</f>
        <v>lunes</v>
      </c>
      <c r="C940" t="str">
        <f>TEXT(Tabla24[[#This Row],[Fecha]],"mmmm")</f>
        <v>abril</v>
      </c>
      <c r="D940" t="str">
        <f>TEXT(Tabla24[[#This Row],[Fecha]],"aaaa")</f>
        <v>2024</v>
      </c>
      <c r="E940" t="s">
        <v>18</v>
      </c>
      <c r="F940" t="s">
        <v>29</v>
      </c>
      <c r="G940" t="s">
        <v>13</v>
      </c>
      <c r="H940" t="s">
        <v>19</v>
      </c>
      <c r="I940" t="s">
        <v>40</v>
      </c>
      <c r="J940">
        <v>19</v>
      </c>
      <c r="K940">
        <v>39002</v>
      </c>
      <c r="L940">
        <f>Tabla24[[#This Row],[Precio_Unitario]]*Tabla24[[#This Row],[Unidades_Vendidas]]</f>
        <v>741038</v>
      </c>
      <c r="M940" t="s">
        <v>27</v>
      </c>
    </row>
    <row r="941" spans="1:13" x14ac:dyDescent="0.25">
      <c r="A941" t="s">
        <v>249</v>
      </c>
      <c r="B941" t="str">
        <f>TEXT(Tabla24[[#This Row],[Fecha]],"dddd")</f>
        <v>sábado</v>
      </c>
      <c r="C941" t="str">
        <f>TEXT(Tabla24[[#This Row],[Fecha]],"mmmm")</f>
        <v>mayo</v>
      </c>
      <c r="D941" t="str">
        <f>TEXT(Tabla24[[#This Row],[Fecha]],"aaaa")</f>
        <v>2024</v>
      </c>
      <c r="E941" t="s">
        <v>33</v>
      </c>
      <c r="F941" t="s">
        <v>23</v>
      </c>
      <c r="G941" t="s">
        <v>44</v>
      </c>
      <c r="H941" t="s">
        <v>25</v>
      </c>
      <c r="I941" t="s">
        <v>26</v>
      </c>
      <c r="J941">
        <v>18</v>
      </c>
      <c r="K941">
        <v>19162</v>
      </c>
      <c r="L941">
        <f>Tabla24[[#This Row],[Precio_Unitario]]*Tabla24[[#This Row],[Unidades_Vendidas]]</f>
        <v>344916</v>
      </c>
      <c r="M941" t="s">
        <v>16</v>
      </c>
    </row>
    <row r="942" spans="1:13" x14ac:dyDescent="0.25">
      <c r="A942" t="s">
        <v>161</v>
      </c>
      <c r="B942" t="str">
        <f>TEXT(Tabla24[[#This Row],[Fecha]],"dddd")</f>
        <v>martes</v>
      </c>
      <c r="C942" t="str">
        <f>TEXT(Tabla24[[#This Row],[Fecha]],"mmmm")</f>
        <v>diciembre</v>
      </c>
      <c r="D942" t="str">
        <f>TEXT(Tabla24[[#This Row],[Fecha]],"aaaa")</f>
        <v>2024</v>
      </c>
      <c r="E942" t="s">
        <v>22</v>
      </c>
      <c r="F942" t="s">
        <v>12</v>
      </c>
      <c r="G942" t="s">
        <v>39</v>
      </c>
      <c r="H942" t="s">
        <v>19</v>
      </c>
      <c r="I942" t="s">
        <v>40</v>
      </c>
      <c r="J942">
        <v>20</v>
      </c>
      <c r="K942">
        <v>36838</v>
      </c>
      <c r="L942">
        <f>Tabla24[[#This Row],[Precio_Unitario]]*Tabla24[[#This Row],[Unidades_Vendidas]]</f>
        <v>736760</v>
      </c>
      <c r="M942" t="s">
        <v>16</v>
      </c>
    </row>
    <row r="943" spans="1:13" x14ac:dyDescent="0.25">
      <c r="A943" t="s">
        <v>363</v>
      </c>
      <c r="B943" t="str">
        <f>TEXT(Tabla24[[#This Row],[Fecha]],"dddd")</f>
        <v>miércoles</v>
      </c>
      <c r="C943" t="str">
        <f>TEXT(Tabla24[[#This Row],[Fecha]],"mmmm")</f>
        <v>junio</v>
      </c>
      <c r="D943" t="str">
        <f>TEXT(Tabla24[[#This Row],[Fecha]],"aaaa")</f>
        <v>2024</v>
      </c>
      <c r="E943" t="s">
        <v>11</v>
      </c>
      <c r="F943" t="s">
        <v>38</v>
      </c>
      <c r="G943" t="s">
        <v>48</v>
      </c>
      <c r="H943" t="s">
        <v>19</v>
      </c>
      <c r="I943" t="s">
        <v>15</v>
      </c>
      <c r="J943">
        <v>10</v>
      </c>
      <c r="K943">
        <v>15694</v>
      </c>
      <c r="L943">
        <f>Tabla24[[#This Row],[Precio_Unitario]]*Tabla24[[#This Row],[Unidades_Vendidas]]</f>
        <v>156940</v>
      </c>
      <c r="M943" t="s">
        <v>16</v>
      </c>
    </row>
    <row r="944" spans="1:13" x14ac:dyDescent="0.25">
      <c r="A944" t="s">
        <v>242</v>
      </c>
      <c r="B944" t="str">
        <f>TEXT(Tabla24[[#This Row],[Fecha]],"dddd")</f>
        <v>sábado</v>
      </c>
      <c r="C944" t="str">
        <f>TEXT(Tabla24[[#This Row],[Fecha]],"mmmm")</f>
        <v>julio</v>
      </c>
      <c r="D944" t="str">
        <f>TEXT(Tabla24[[#This Row],[Fecha]],"aaaa")</f>
        <v>2024</v>
      </c>
      <c r="E944" t="s">
        <v>18</v>
      </c>
      <c r="F944" t="s">
        <v>29</v>
      </c>
      <c r="G944" t="s">
        <v>24</v>
      </c>
      <c r="H944" t="s">
        <v>14</v>
      </c>
      <c r="I944" t="s">
        <v>15</v>
      </c>
      <c r="J944">
        <v>6</v>
      </c>
      <c r="K944">
        <v>52004</v>
      </c>
      <c r="L944">
        <f>Tabla24[[#This Row],[Precio_Unitario]]*Tabla24[[#This Row],[Unidades_Vendidas]]</f>
        <v>312024</v>
      </c>
      <c r="M944" t="s">
        <v>16</v>
      </c>
    </row>
    <row r="945" spans="1:13" x14ac:dyDescent="0.25">
      <c r="A945" t="s">
        <v>17</v>
      </c>
      <c r="B945" t="str">
        <f>TEXT(Tabla24[[#This Row],[Fecha]],"dddd")</f>
        <v>lunes</v>
      </c>
      <c r="C945" t="str">
        <f>TEXT(Tabla24[[#This Row],[Fecha]],"mmmm")</f>
        <v>septiembre</v>
      </c>
      <c r="D945" t="str">
        <f>TEXT(Tabla24[[#This Row],[Fecha]],"aaaa")</f>
        <v>2024</v>
      </c>
      <c r="E945" t="s">
        <v>33</v>
      </c>
      <c r="F945" t="s">
        <v>23</v>
      </c>
      <c r="G945" t="s">
        <v>44</v>
      </c>
      <c r="H945" t="s">
        <v>14</v>
      </c>
      <c r="I945" t="s">
        <v>26</v>
      </c>
      <c r="J945">
        <v>1</v>
      </c>
      <c r="K945">
        <v>21782</v>
      </c>
      <c r="L945">
        <f>Tabla24[[#This Row],[Precio_Unitario]]*Tabla24[[#This Row],[Unidades_Vendidas]]</f>
        <v>21782</v>
      </c>
      <c r="M945" t="s">
        <v>16</v>
      </c>
    </row>
    <row r="946" spans="1:13" x14ac:dyDescent="0.25">
      <c r="A946" t="s">
        <v>251</v>
      </c>
      <c r="B946" t="str">
        <f>TEXT(Tabla24[[#This Row],[Fecha]],"dddd")</f>
        <v>domingo</v>
      </c>
      <c r="C946" t="str">
        <f>TEXT(Tabla24[[#This Row],[Fecha]],"mmmm")</f>
        <v>febrero</v>
      </c>
      <c r="D946" t="str">
        <f>TEXT(Tabla24[[#This Row],[Fecha]],"aaaa")</f>
        <v>2024</v>
      </c>
      <c r="E946" t="s">
        <v>42</v>
      </c>
      <c r="F946" t="s">
        <v>29</v>
      </c>
      <c r="G946" t="s">
        <v>44</v>
      </c>
      <c r="H946" t="s">
        <v>30</v>
      </c>
      <c r="I946" t="s">
        <v>26</v>
      </c>
      <c r="J946">
        <v>12</v>
      </c>
      <c r="K946">
        <v>35227</v>
      </c>
      <c r="L946">
        <f>Tabla24[[#This Row],[Precio_Unitario]]*Tabla24[[#This Row],[Unidades_Vendidas]]</f>
        <v>422724</v>
      </c>
      <c r="M946" t="s">
        <v>20</v>
      </c>
    </row>
    <row r="947" spans="1:13" x14ac:dyDescent="0.25">
      <c r="A947" t="s">
        <v>215</v>
      </c>
      <c r="B947" t="str">
        <f>TEXT(Tabla24[[#This Row],[Fecha]],"dddd")</f>
        <v>domingo</v>
      </c>
      <c r="C947" t="str">
        <f>TEXT(Tabla24[[#This Row],[Fecha]],"mmmm")</f>
        <v>mayo</v>
      </c>
      <c r="D947" t="str">
        <f>TEXT(Tabla24[[#This Row],[Fecha]],"aaaa")</f>
        <v>2024</v>
      </c>
      <c r="E947" t="s">
        <v>18</v>
      </c>
      <c r="F947" t="s">
        <v>34</v>
      </c>
      <c r="G947" t="s">
        <v>39</v>
      </c>
      <c r="H947" t="s">
        <v>35</v>
      </c>
      <c r="I947" t="s">
        <v>40</v>
      </c>
      <c r="J947">
        <v>18</v>
      </c>
      <c r="K947">
        <v>50138</v>
      </c>
      <c r="L947">
        <f>Tabla24[[#This Row],[Precio_Unitario]]*Tabla24[[#This Row],[Unidades_Vendidas]]</f>
        <v>902484</v>
      </c>
      <c r="M947" t="s">
        <v>36</v>
      </c>
    </row>
    <row r="948" spans="1:13" x14ac:dyDescent="0.25">
      <c r="A948" t="s">
        <v>237</v>
      </c>
      <c r="B948" t="str">
        <f>TEXT(Tabla24[[#This Row],[Fecha]],"dddd")</f>
        <v>domingo</v>
      </c>
      <c r="C948" t="str">
        <f>TEXT(Tabla24[[#This Row],[Fecha]],"mmmm")</f>
        <v>noviembre</v>
      </c>
      <c r="D948" t="str">
        <f>TEXT(Tabla24[[#This Row],[Fecha]],"aaaa")</f>
        <v>2024</v>
      </c>
      <c r="E948" t="s">
        <v>11</v>
      </c>
      <c r="F948" t="s">
        <v>23</v>
      </c>
      <c r="G948" t="s">
        <v>44</v>
      </c>
      <c r="H948" t="s">
        <v>14</v>
      </c>
      <c r="I948" t="s">
        <v>26</v>
      </c>
      <c r="J948">
        <v>19</v>
      </c>
      <c r="K948">
        <v>47224</v>
      </c>
      <c r="L948">
        <f>Tabla24[[#This Row],[Precio_Unitario]]*Tabla24[[#This Row],[Unidades_Vendidas]]</f>
        <v>897256</v>
      </c>
      <c r="M948" t="s">
        <v>27</v>
      </c>
    </row>
    <row r="949" spans="1:13" x14ac:dyDescent="0.25">
      <c r="A949" t="s">
        <v>103</v>
      </c>
      <c r="B949" t="str">
        <f>TEXT(Tabla24[[#This Row],[Fecha]],"dddd")</f>
        <v>martes</v>
      </c>
      <c r="C949" t="str">
        <f>TEXT(Tabla24[[#This Row],[Fecha]],"mmmm")</f>
        <v>febrero</v>
      </c>
      <c r="D949" t="str">
        <f>TEXT(Tabla24[[#This Row],[Fecha]],"aaaa")</f>
        <v>2024</v>
      </c>
      <c r="E949" t="s">
        <v>33</v>
      </c>
      <c r="F949" t="s">
        <v>29</v>
      </c>
      <c r="G949" t="s">
        <v>39</v>
      </c>
      <c r="H949" t="s">
        <v>14</v>
      </c>
      <c r="I949" t="s">
        <v>40</v>
      </c>
      <c r="J949">
        <v>1</v>
      </c>
      <c r="K949">
        <v>56842</v>
      </c>
      <c r="L949">
        <f>Tabla24[[#This Row],[Precio_Unitario]]*Tabla24[[#This Row],[Unidades_Vendidas]]</f>
        <v>56842</v>
      </c>
      <c r="M949" t="s">
        <v>16</v>
      </c>
    </row>
    <row r="950" spans="1:13" x14ac:dyDescent="0.25">
      <c r="A950" t="s">
        <v>90</v>
      </c>
      <c r="B950" t="str">
        <f>TEXT(Tabla24[[#This Row],[Fecha]],"dddd")</f>
        <v>miércoles</v>
      </c>
      <c r="C950" t="str">
        <f>TEXT(Tabla24[[#This Row],[Fecha]],"mmmm")</f>
        <v>enero</v>
      </c>
      <c r="D950" t="str">
        <f>TEXT(Tabla24[[#This Row],[Fecha]],"aaaa")</f>
        <v>2024</v>
      </c>
      <c r="E950" t="s">
        <v>18</v>
      </c>
      <c r="F950" t="s">
        <v>29</v>
      </c>
      <c r="G950" t="s">
        <v>48</v>
      </c>
      <c r="H950" t="s">
        <v>25</v>
      </c>
      <c r="I950" t="s">
        <v>40</v>
      </c>
      <c r="J950">
        <v>12</v>
      </c>
      <c r="K950">
        <v>37549</v>
      </c>
      <c r="L950">
        <f>Tabla24[[#This Row],[Precio_Unitario]]*Tabla24[[#This Row],[Unidades_Vendidas]]</f>
        <v>450588</v>
      </c>
      <c r="M950" t="s">
        <v>20</v>
      </c>
    </row>
    <row r="951" spans="1:13" x14ac:dyDescent="0.25">
      <c r="A951" t="s">
        <v>350</v>
      </c>
      <c r="B951" t="str">
        <f>TEXT(Tabla24[[#This Row],[Fecha]],"dddd")</f>
        <v>domingo</v>
      </c>
      <c r="C951" t="str">
        <f>TEXT(Tabla24[[#This Row],[Fecha]],"mmmm")</f>
        <v>junio</v>
      </c>
      <c r="D951" t="str">
        <f>TEXT(Tabla24[[#This Row],[Fecha]],"aaaa")</f>
        <v>2024</v>
      </c>
      <c r="E951" t="s">
        <v>22</v>
      </c>
      <c r="F951" t="s">
        <v>23</v>
      </c>
      <c r="G951" t="s">
        <v>24</v>
      </c>
      <c r="H951" t="s">
        <v>30</v>
      </c>
      <c r="I951" t="s">
        <v>40</v>
      </c>
      <c r="J951">
        <v>9</v>
      </c>
      <c r="K951">
        <v>32683</v>
      </c>
      <c r="L951">
        <f>Tabla24[[#This Row],[Precio_Unitario]]*Tabla24[[#This Row],[Unidades_Vendidas]]</f>
        <v>294147</v>
      </c>
      <c r="M951" t="s">
        <v>36</v>
      </c>
    </row>
    <row r="952" spans="1:13" x14ac:dyDescent="0.25">
      <c r="A952" t="s">
        <v>184</v>
      </c>
      <c r="B952" t="str">
        <f>TEXT(Tabla24[[#This Row],[Fecha]],"dddd")</f>
        <v>domingo</v>
      </c>
      <c r="C952" t="str">
        <f>TEXT(Tabla24[[#This Row],[Fecha]],"mmmm")</f>
        <v>septiembre</v>
      </c>
      <c r="D952" t="str">
        <f>TEXT(Tabla24[[#This Row],[Fecha]],"aaaa")</f>
        <v>2024</v>
      </c>
      <c r="E952" t="s">
        <v>42</v>
      </c>
      <c r="F952" t="s">
        <v>23</v>
      </c>
      <c r="G952" t="s">
        <v>24</v>
      </c>
      <c r="H952" t="s">
        <v>25</v>
      </c>
      <c r="I952" t="s">
        <v>15</v>
      </c>
      <c r="J952">
        <v>1</v>
      </c>
      <c r="K952">
        <v>47995</v>
      </c>
      <c r="L952">
        <f>Tabla24[[#This Row],[Precio_Unitario]]*Tabla24[[#This Row],[Unidades_Vendidas]]</f>
        <v>47995</v>
      </c>
      <c r="M952" t="s">
        <v>36</v>
      </c>
    </row>
    <row r="953" spans="1:13" x14ac:dyDescent="0.25">
      <c r="A953" t="s">
        <v>147</v>
      </c>
      <c r="B953" t="str">
        <f>TEXT(Tabla24[[#This Row],[Fecha]],"dddd")</f>
        <v>jueves</v>
      </c>
      <c r="C953" t="str">
        <f>TEXT(Tabla24[[#This Row],[Fecha]],"mmmm")</f>
        <v>noviembre</v>
      </c>
      <c r="D953" t="str">
        <f>TEXT(Tabla24[[#This Row],[Fecha]],"aaaa")</f>
        <v>2024</v>
      </c>
      <c r="E953" t="s">
        <v>42</v>
      </c>
      <c r="F953" t="s">
        <v>29</v>
      </c>
      <c r="G953" t="s">
        <v>48</v>
      </c>
      <c r="H953" t="s">
        <v>30</v>
      </c>
      <c r="I953" t="s">
        <v>40</v>
      </c>
      <c r="J953">
        <v>9</v>
      </c>
      <c r="K953">
        <v>51984</v>
      </c>
      <c r="L953">
        <f>Tabla24[[#This Row],[Precio_Unitario]]*Tabla24[[#This Row],[Unidades_Vendidas]]</f>
        <v>467856</v>
      </c>
      <c r="M953" t="s">
        <v>27</v>
      </c>
    </row>
    <row r="954" spans="1:13" x14ac:dyDescent="0.25">
      <c r="A954" t="s">
        <v>368</v>
      </c>
      <c r="B954" t="str">
        <f>TEXT(Tabla24[[#This Row],[Fecha]],"dddd")</f>
        <v>sábado</v>
      </c>
      <c r="C954" t="str">
        <f>TEXT(Tabla24[[#This Row],[Fecha]],"mmmm")</f>
        <v>junio</v>
      </c>
      <c r="D954" t="str">
        <f>TEXT(Tabla24[[#This Row],[Fecha]],"aaaa")</f>
        <v>2024</v>
      </c>
      <c r="E954" t="s">
        <v>11</v>
      </c>
      <c r="F954" t="s">
        <v>34</v>
      </c>
      <c r="G954" t="s">
        <v>44</v>
      </c>
      <c r="H954" t="s">
        <v>14</v>
      </c>
      <c r="I954" t="s">
        <v>40</v>
      </c>
      <c r="J954">
        <v>20</v>
      </c>
      <c r="K954">
        <v>20866</v>
      </c>
      <c r="L954">
        <f>Tabla24[[#This Row],[Precio_Unitario]]*Tabla24[[#This Row],[Unidades_Vendidas]]</f>
        <v>417320</v>
      </c>
      <c r="M954" t="s">
        <v>36</v>
      </c>
    </row>
    <row r="955" spans="1:13" x14ac:dyDescent="0.25">
      <c r="A955" t="s">
        <v>237</v>
      </c>
      <c r="B955" t="str">
        <f>TEXT(Tabla24[[#This Row],[Fecha]],"dddd")</f>
        <v>domingo</v>
      </c>
      <c r="C955" t="str">
        <f>TEXT(Tabla24[[#This Row],[Fecha]],"mmmm")</f>
        <v>noviembre</v>
      </c>
      <c r="D955" t="str">
        <f>TEXT(Tabla24[[#This Row],[Fecha]],"aaaa")</f>
        <v>2024</v>
      </c>
      <c r="E955" t="s">
        <v>42</v>
      </c>
      <c r="F955" t="s">
        <v>29</v>
      </c>
      <c r="G955" t="s">
        <v>48</v>
      </c>
      <c r="H955" t="s">
        <v>35</v>
      </c>
      <c r="I955" t="s">
        <v>15</v>
      </c>
      <c r="J955">
        <v>19</v>
      </c>
      <c r="K955">
        <v>49287</v>
      </c>
      <c r="L955">
        <f>Tabla24[[#This Row],[Precio_Unitario]]*Tabla24[[#This Row],[Unidades_Vendidas]]</f>
        <v>936453</v>
      </c>
      <c r="M955" t="s">
        <v>16</v>
      </c>
    </row>
    <row r="956" spans="1:13" x14ac:dyDescent="0.25">
      <c r="A956" t="s">
        <v>295</v>
      </c>
      <c r="B956" t="str">
        <f>TEXT(Tabla24[[#This Row],[Fecha]],"dddd")</f>
        <v>domingo</v>
      </c>
      <c r="C956" t="str">
        <f>TEXT(Tabla24[[#This Row],[Fecha]],"mmmm")</f>
        <v>abril</v>
      </c>
      <c r="D956" t="str">
        <f>TEXT(Tabla24[[#This Row],[Fecha]],"aaaa")</f>
        <v>2024</v>
      </c>
      <c r="E956" t="s">
        <v>22</v>
      </c>
      <c r="F956" t="s">
        <v>29</v>
      </c>
      <c r="G956" t="s">
        <v>39</v>
      </c>
      <c r="H956" t="s">
        <v>19</v>
      </c>
      <c r="I956" t="s">
        <v>15</v>
      </c>
      <c r="J956">
        <v>9</v>
      </c>
      <c r="K956">
        <v>55801</v>
      </c>
      <c r="L956">
        <f>Tabla24[[#This Row],[Precio_Unitario]]*Tabla24[[#This Row],[Unidades_Vendidas]]</f>
        <v>502209</v>
      </c>
      <c r="M956" t="s">
        <v>20</v>
      </c>
    </row>
    <row r="957" spans="1:13" x14ac:dyDescent="0.25">
      <c r="A957" t="s">
        <v>369</v>
      </c>
      <c r="B957" t="str">
        <f>TEXT(Tabla24[[#This Row],[Fecha]],"dddd")</f>
        <v>jueves</v>
      </c>
      <c r="C957" t="str">
        <f>TEXT(Tabla24[[#This Row],[Fecha]],"mmmm")</f>
        <v>enero</v>
      </c>
      <c r="D957" t="str">
        <f>TEXT(Tabla24[[#This Row],[Fecha]],"aaaa")</f>
        <v>2024</v>
      </c>
      <c r="E957" t="s">
        <v>11</v>
      </c>
      <c r="F957" t="s">
        <v>12</v>
      </c>
      <c r="G957" t="s">
        <v>48</v>
      </c>
      <c r="H957" t="s">
        <v>30</v>
      </c>
      <c r="I957" t="s">
        <v>40</v>
      </c>
      <c r="J957">
        <v>19</v>
      </c>
      <c r="K957">
        <v>45521</v>
      </c>
      <c r="L957">
        <f>Tabla24[[#This Row],[Precio_Unitario]]*Tabla24[[#This Row],[Unidades_Vendidas]]</f>
        <v>864899</v>
      </c>
      <c r="M957" t="s">
        <v>20</v>
      </c>
    </row>
    <row r="958" spans="1:13" x14ac:dyDescent="0.25">
      <c r="A958" t="s">
        <v>343</v>
      </c>
      <c r="B958" t="str">
        <f>TEXT(Tabla24[[#This Row],[Fecha]],"dddd")</f>
        <v>lunes</v>
      </c>
      <c r="C958" t="str">
        <f>TEXT(Tabla24[[#This Row],[Fecha]],"mmmm")</f>
        <v>diciembre</v>
      </c>
      <c r="D958" t="str">
        <f>TEXT(Tabla24[[#This Row],[Fecha]],"aaaa")</f>
        <v>2024</v>
      </c>
      <c r="E958" t="s">
        <v>22</v>
      </c>
      <c r="F958" t="s">
        <v>34</v>
      </c>
      <c r="G958" t="s">
        <v>44</v>
      </c>
      <c r="H958" t="s">
        <v>35</v>
      </c>
      <c r="I958" t="s">
        <v>26</v>
      </c>
      <c r="J958">
        <v>15</v>
      </c>
      <c r="K958">
        <v>24394</v>
      </c>
      <c r="L958">
        <f>Tabla24[[#This Row],[Precio_Unitario]]*Tabla24[[#This Row],[Unidades_Vendidas]]</f>
        <v>365910</v>
      </c>
      <c r="M958" t="s">
        <v>27</v>
      </c>
    </row>
    <row r="959" spans="1:13" x14ac:dyDescent="0.25">
      <c r="A959" t="s">
        <v>370</v>
      </c>
      <c r="B959" t="str">
        <f>TEXT(Tabla24[[#This Row],[Fecha]],"dddd")</f>
        <v>viernes</v>
      </c>
      <c r="C959" t="str">
        <f>TEXT(Tabla24[[#This Row],[Fecha]],"mmmm")</f>
        <v>julio</v>
      </c>
      <c r="D959" t="str">
        <f>TEXT(Tabla24[[#This Row],[Fecha]],"aaaa")</f>
        <v>2024</v>
      </c>
      <c r="E959" t="s">
        <v>22</v>
      </c>
      <c r="F959" t="s">
        <v>34</v>
      </c>
      <c r="G959" t="s">
        <v>48</v>
      </c>
      <c r="H959" t="s">
        <v>30</v>
      </c>
      <c r="I959" t="s">
        <v>15</v>
      </c>
      <c r="J959">
        <v>14</v>
      </c>
      <c r="K959">
        <v>51049</v>
      </c>
      <c r="L959">
        <f>Tabla24[[#This Row],[Precio_Unitario]]*Tabla24[[#This Row],[Unidades_Vendidas]]</f>
        <v>714686</v>
      </c>
      <c r="M959" t="s">
        <v>36</v>
      </c>
    </row>
    <row r="960" spans="1:13" x14ac:dyDescent="0.25">
      <c r="A960" t="s">
        <v>62</v>
      </c>
      <c r="B960" t="str">
        <f>TEXT(Tabla24[[#This Row],[Fecha]],"dddd")</f>
        <v>sábado</v>
      </c>
      <c r="C960" t="str">
        <f>TEXT(Tabla24[[#This Row],[Fecha]],"mmmm")</f>
        <v>mayo</v>
      </c>
      <c r="D960" t="str">
        <f>TEXT(Tabla24[[#This Row],[Fecha]],"aaaa")</f>
        <v>2024</v>
      </c>
      <c r="E960" t="s">
        <v>42</v>
      </c>
      <c r="F960" t="s">
        <v>34</v>
      </c>
      <c r="G960" t="s">
        <v>24</v>
      </c>
      <c r="H960" t="s">
        <v>14</v>
      </c>
      <c r="I960" t="s">
        <v>15</v>
      </c>
      <c r="J960">
        <v>10</v>
      </c>
      <c r="K960">
        <v>38931</v>
      </c>
      <c r="L960">
        <f>Tabla24[[#This Row],[Precio_Unitario]]*Tabla24[[#This Row],[Unidades_Vendidas]]</f>
        <v>389310</v>
      </c>
      <c r="M960" t="s">
        <v>27</v>
      </c>
    </row>
    <row r="961" spans="1:13" x14ac:dyDescent="0.25">
      <c r="A961" t="s">
        <v>343</v>
      </c>
      <c r="B961" t="str">
        <f>TEXT(Tabla24[[#This Row],[Fecha]],"dddd")</f>
        <v>lunes</v>
      </c>
      <c r="C961" t="str">
        <f>TEXT(Tabla24[[#This Row],[Fecha]],"mmmm")</f>
        <v>diciembre</v>
      </c>
      <c r="D961" t="str">
        <f>TEXT(Tabla24[[#This Row],[Fecha]],"aaaa")</f>
        <v>2024</v>
      </c>
      <c r="E961" t="s">
        <v>22</v>
      </c>
      <c r="F961" t="s">
        <v>23</v>
      </c>
      <c r="G961" t="s">
        <v>24</v>
      </c>
      <c r="H961" t="s">
        <v>19</v>
      </c>
      <c r="I961" t="s">
        <v>15</v>
      </c>
      <c r="J961">
        <v>18</v>
      </c>
      <c r="K961">
        <v>28632</v>
      </c>
      <c r="L961">
        <f>Tabla24[[#This Row],[Precio_Unitario]]*Tabla24[[#This Row],[Unidades_Vendidas]]</f>
        <v>515376</v>
      </c>
      <c r="M961" t="s">
        <v>36</v>
      </c>
    </row>
    <row r="962" spans="1:13" x14ac:dyDescent="0.25">
      <c r="A962" t="s">
        <v>257</v>
      </c>
      <c r="B962" t="str">
        <f>TEXT(Tabla24[[#This Row],[Fecha]],"dddd")</f>
        <v>viernes</v>
      </c>
      <c r="C962" t="str">
        <f>TEXT(Tabla24[[#This Row],[Fecha]],"mmmm")</f>
        <v>marzo</v>
      </c>
      <c r="D962" t="str">
        <f>TEXT(Tabla24[[#This Row],[Fecha]],"aaaa")</f>
        <v>2024</v>
      </c>
      <c r="E962" t="s">
        <v>22</v>
      </c>
      <c r="F962" t="s">
        <v>38</v>
      </c>
      <c r="G962" t="s">
        <v>44</v>
      </c>
      <c r="H962" t="s">
        <v>14</v>
      </c>
      <c r="I962" t="s">
        <v>15</v>
      </c>
      <c r="J962">
        <v>6</v>
      </c>
      <c r="K962">
        <v>48578</v>
      </c>
      <c r="L962">
        <f>Tabla24[[#This Row],[Precio_Unitario]]*Tabla24[[#This Row],[Unidades_Vendidas]]</f>
        <v>291468</v>
      </c>
      <c r="M962" t="s">
        <v>16</v>
      </c>
    </row>
    <row r="963" spans="1:13" x14ac:dyDescent="0.25">
      <c r="A963" t="s">
        <v>371</v>
      </c>
      <c r="B963" t="str">
        <f>TEXT(Tabla24[[#This Row],[Fecha]],"dddd")</f>
        <v>jueves</v>
      </c>
      <c r="C963" t="str">
        <f>TEXT(Tabla24[[#This Row],[Fecha]],"mmmm")</f>
        <v>abril</v>
      </c>
      <c r="D963" t="str">
        <f>TEXT(Tabla24[[#This Row],[Fecha]],"aaaa")</f>
        <v>2024</v>
      </c>
      <c r="E963" t="s">
        <v>11</v>
      </c>
      <c r="F963" t="s">
        <v>34</v>
      </c>
      <c r="G963" t="s">
        <v>39</v>
      </c>
      <c r="H963" t="s">
        <v>30</v>
      </c>
      <c r="I963" t="s">
        <v>15</v>
      </c>
      <c r="J963">
        <v>19</v>
      </c>
      <c r="K963">
        <v>20091</v>
      </c>
      <c r="L963">
        <f>Tabla24[[#This Row],[Precio_Unitario]]*Tabla24[[#This Row],[Unidades_Vendidas]]</f>
        <v>381729</v>
      </c>
      <c r="M963" t="s">
        <v>36</v>
      </c>
    </row>
    <row r="964" spans="1:13" x14ac:dyDescent="0.25">
      <c r="A964" t="s">
        <v>249</v>
      </c>
      <c r="B964" t="str">
        <f>TEXT(Tabla24[[#This Row],[Fecha]],"dddd")</f>
        <v>sábado</v>
      </c>
      <c r="C964" t="str">
        <f>TEXT(Tabla24[[#This Row],[Fecha]],"mmmm")</f>
        <v>mayo</v>
      </c>
      <c r="D964" t="str">
        <f>TEXT(Tabla24[[#This Row],[Fecha]],"aaaa")</f>
        <v>2024</v>
      </c>
      <c r="E964" t="s">
        <v>18</v>
      </c>
      <c r="F964" t="s">
        <v>38</v>
      </c>
      <c r="G964" t="s">
        <v>48</v>
      </c>
      <c r="H964" t="s">
        <v>14</v>
      </c>
      <c r="I964" t="s">
        <v>15</v>
      </c>
      <c r="J964">
        <v>3</v>
      </c>
      <c r="K964">
        <v>31477</v>
      </c>
      <c r="L964">
        <f>Tabla24[[#This Row],[Precio_Unitario]]*Tabla24[[#This Row],[Unidades_Vendidas]]</f>
        <v>94431</v>
      </c>
      <c r="M964" t="s">
        <v>16</v>
      </c>
    </row>
    <row r="965" spans="1:13" x14ac:dyDescent="0.25">
      <c r="A965" t="s">
        <v>185</v>
      </c>
      <c r="B965" t="str">
        <f>TEXT(Tabla24[[#This Row],[Fecha]],"dddd")</f>
        <v>domingo</v>
      </c>
      <c r="C965" t="str">
        <f>TEXT(Tabla24[[#This Row],[Fecha]],"mmmm")</f>
        <v>noviembre</v>
      </c>
      <c r="D965" t="str">
        <f>TEXT(Tabla24[[#This Row],[Fecha]],"aaaa")</f>
        <v>2024</v>
      </c>
      <c r="E965" t="s">
        <v>18</v>
      </c>
      <c r="F965" t="s">
        <v>29</v>
      </c>
      <c r="G965" t="s">
        <v>44</v>
      </c>
      <c r="H965" t="s">
        <v>25</v>
      </c>
      <c r="I965" t="s">
        <v>40</v>
      </c>
      <c r="J965">
        <v>9</v>
      </c>
      <c r="K965">
        <v>26153</v>
      </c>
      <c r="L965">
        <f>Tabla24[[#This Row],[Precio_Unitario]]*Tabla24[[#This Row],[Unidades_Vendidas]]</f>
        <v>235377</v>
      </c>
      <c r="M965" t="s">
        <v>16</v>
      </c>
    </row>
    <row r="966" spans="1:13" x14ac:dyDescent="0.25">
      <c r="A966" t="s">
        <v>151</v>
      </c>
      <c r="B966" t="str">
        <f>TEXT(Tabla24[[#This Row],[Fecha]],"dddd")</f>
        <v>domingo</v>
      </c>
      <c r="C966" t="str">
        <f>TEXT(Tabla24[[#This Row],[Fecha]],"mmmm")</f>
        <v>mayo</v>
      </c>
      <c r="D966" t="str">
        <f>TEXT(Tabla24[[#This Row],[Fecha]],"aaaa")</f>
        <v>2024</v>
      </c>
      <c r="E966" t="s">
        <v>18</v>
      </c>
      <c r="F966" t="s">
        <v>29</v>
      </c>
      <c r="G966" t="s">
        <v>44</v>
      </c>
      <c r="H966" t="s">
        <v>14</v>
      </c>
      <c r="I966" t="s">
        <v>15</v>
      </c>
      <c r="J966">
        <v>17</v>
      </c>
      <c r="K966">
        <v>59635</v>
      </c>
      <c r="L966">
        <f>Tabla24[[#This Row],[Precio_Unitario]]*Tabla24[[#This Row],[Unidades_Vendidas]]</f>
        <v>1013795</v>
      </c>
      <c r="M966" t="s">
        <v>16</v>
      </c>
    </row>
    <row r="967" spans="1:13" x14ac:dyDescent="0.25">
      <c r="A967" t="s">
        <v>241</v>
      </c>
      <c r="B967" t="str">
        <f>TEXT(Tabla24[[#This Row],[Fecha]],"dddd")</f>
        <v>domingo</v>
      </c>
      <c r="C967" t="str">
        <f>TEXT(Tabla24[[#This Row],[Fecha]],"mmmm")</f>
        <v>febrero</v>
      </c>
      <c r="D967" t="str">
        <f>TEXT(Tabla24[[#This Row],[Fecha]],"aaaa")</f>
        <v>2024</v>
      </c>
      <c r="E967" t="s">
        <v>33</v>
      </c>
      <c r="F967" t="s">
        <v>38</v>
      </c>
      <c r="G967" t="s">
        <v>39</v>
      </c>
      <c r="H967" t="s">
        <v>35</v>
      </c>
      <c r="I967" t="s">
        <v>26</v>
      </c>
      <c r="J967">
        <v>16</v>
      </c>
      <c r="K967">
        <v>19570</v>
      </c>
      <c r="L967">
        <f>Tabla24[[#This Row],[Precio_Unitario]]*Tabla24[[#This Row],[Unidades_Vendidas]]</f>
        <v>313120</v>
      </c>
      <c r="M967" t="s">
        <v>36</v>
      </c>
    </row>
    <row r="968" spans="1:13" x14ac:dyDescent="0.25">
      <c r="A968" t="s">
        <v>372</v>
      </c>
      <c r="B968" t="str">
        <f>TEXT(Tabla24[[#This Row],[Fecha]],"dddd")</f>
        <v>viernes</v>
      </c>
      <c r="C968" t="str">
        <f>TEXT(Tabla24[[#This Row],[Fecha]],"mmmm")</f>
        <v>diciembre</v>
      </c>
      <c r="D968" t="str">
        <f>TEXT(Tabla24[[#This Row],[Fecha]],"aaaa")</f>
        <v>2024</v>
      </c>
      <c r="E968" t="s">
        <v>11</v>
      </c>
      <c r="F968" t="s">
        <v>12</v>
      </c>
      <c r="G968" t="s">
        <v>44</v>
      </c>
      <c r="H968" t="s">
        <v>25</v>
      </c>
      <c r="I968" t="s">
        <v>40</v>
      </c>
      <c r="J968">
        <v>4</v>
      </c>
      <c r="K968">
        <v>53844</v>
      </c>
      <c r="L968">
        <f>Tabla24[[#This Row],[Precio_Unitario]]*Tabla24[[#This Row],[Unidades_Vendidas]]</f>
        <v>215376</v>
      </c>
      <c r="M968" t="s">
        <v>27</v>
      </c>
    </row>
    <row r="969" spans="1:13" x14ac:dyDescent="0.25">
      <c r="A969" t="s">
        <v>67</v>
      </c>
      <c r="B969" t="str">
        <f>TEXT(Tabla24[[#This Row],[Fecha]],"dddd")</f>
        <v>jueves</v>
      </c>
      <c r="C969" t="str">
        <f>TEXT(Tabla24[[#This Row],[Fecha]],"mmmm")</f>
        <v>agosto</v>
      </c>
      <c r="D969" t="str">
        <f>TEXT(Tabla24[[#This Row],[Fecha]],"aaaa")</f>
        <v>2024</v>
      </c>
      <c r="E969" t="s">
        <v>22</v>
      </c>
      <c r="F969" t="s">
        <v>29</v>
      </c>
      <c r="G969" t="s">
        <v>44</v>
      </c>
      <c r="H969" t="s">
        <v>14</v>
      </c>
      <c r="I969" t="s">
        <v>40</v>
      </c>
      <c r="J969">
        <v>13</v>
      </c>
      <c r="K969">
        <v>23226</v>
      </c>
      <c r="L969">
        <f>Tabla24[[#This Row],[Precio_Unitario]]*Tabla24[[#This Row],[Unidades_Vendidas]]</f>
        <v>301938</v>
      </c>
      <c r="M969" t="s">
        <v>36</v>
      </c>
    </row>
    <row r="970" spans="1:13" x14ac:dyDescent="0.25">
      <c r="A970" t="s">
        <v>180</v>
      </c>
      <c r="B970" t="str">
        <f>TEXT(Tabla24[[#This Row],[Fecha]],"dddd")</f>
        <v>viernes</v>
      </c>
      <c r="C970" t="str">
        <f>TEXT(Tabla24[[#This Row],[Fecha]],"mmmm")</f>
        <v>marzo</v>
      </c>
      <c r="D970" t="str">
        <f>TEXT(Tabla24[[#This Row],[Fecha]],"aaaa")</f>
        <v>2024</v>
      </c>
      <c r="E970" t="s">
        <v>22</v>
      </c>
      <c r="F970" t="s">
        <v>12</v>
      </c>
      <c r="G970" t="s">
        <v>44</v>
      </c>
      <c r="H970" t="s">
        <v>35</v>
      </c>
      <c r="I970" t="s">
        <v>40</v>
      </c>
      <c r="J970">
        <v>16</v>
      </c>
      <c r="K970">
        <v>23191</v>
      </c>
      <c r="L970">
        <f>Tabla24[[#This Row],[Precio_Unitario]]*Tabla24[[#This Row],[Unidades_Vendidas]]</f>
        <v>371056</v>
      </c>
      <c r="M970" t="s">
        <v>27</v>
      </c>
    </row>
    <row r="971" spans="1:13" x14ac:dyDescent="0.25">
      <c r="A971" t="s">
        <v>272</v>
      </c>
      <c r="B971" t="str">
        <f>TEXT(Tabla24[[#This Row],[Fecha]],"dddd")</f>
        <v>lunes</v>
      </c>
      <c r="C971" t="str">
        <f>TEXT(Tabla24[[#This Row],[Fecha]],"mmmm")</f>
        <v>abril</v>
      </c>
      <c r="D971" t="str">
        <f>TEXT(Tabla24[[#This Row],[Fecha]],"aaaa")</f>
        <v>2024</v>
      </c>
      <c r="E971" t="s">
        <v>33</v>
      </c>
      <c r="F971" t="s">
        <v>12</v>
      </c>
      <c r="G971" t="s">
        <v>13</v>
      </c>
      <c r="H971" t="s">
        <v>19</v>
      </c>
      <c r="I971" t="s">
        <v>40</v>
      </c>
      <c r="J971">
        <v>8</v>
      </c>
      <c r="K971">
        <v>24904</v>
      </c>
      <c r="L971">
        <f>Tabla24[[#This Row],[Precio_Unitario]]*Tabla24[[#This Row],[Unidades_Vendidas]]</f>
        <v>199232</v>
      </c>
      <c r="M971" t="s">
        <v>27</v>
      </c>
    </row>
    <row r="972" spans="1:13" x14ac:dyDescent="0.25">
      <c r="A972" t="s">
        <v>348</v>
      </c>
      <c r="B972" t="str">
        <f>TEXT(Tabla24[[#This Row],[Fecha]],"dddd")</f>
        <v>lunes</v>
      </c>
      <c r="C972" t="str">
        <f>TEXT(Tabla24[[#This Row],[Fecha]],"mmmm")</f>
        <v>julio</v>
      </c>
      <c r="D972" t="str">
        <f>TEXT(Tabla24[[#This Row],[Fecha]],"aaaa")</f>
        <v>2024</v>
      </c>
      <c r="E972" t="s">
        <v>42</v>
      </c>
      <c r="F972" t="s">
        <v>38</v>
      </c>
      <c r="G972" t="s">
        <v>44</v>
      </c>
      <c r="H972" t="s">
        <v>14</v>
      </c>
      <c r="I972" t="s">
        <v>26</v>
      </c>
      <c r="J972">
        <v>1</v>
      </c>
      <c r="K972">
        <v>42548</v>
      </c>
      <c r="L972">
        <f>Tabla24[[#This Row],[Precio_Unitario]]*Tabla24[[#This Row],[Unidades_Vendidas]]</f>
        <v>42548</v>
      </c>
      <c r="M972" t="s">
        <v>20</v>
      </c>
    </row>
    <row r="973" spans="1:13" x14ac:dyDescent="0.25">
      <c r="A973" t="s">
        <v>186</v>
      </c>
      <c r="B973" t="str">
        <f>TEXT(Tabla24[[#This Row],[Fecha]],"dddd")</f>
        <v>jueves</v>
      </c>
      <c r="C973" t="str">
        <f>TEXT(Tabla24[[#This Row],[Fecha]],"mmmm")</f>
        <v>marzo</v>
      </c>
      <c r="D973" t="str">
        <f>TEXT(Tabla24[[#This Row],[Fecha]],"aaaa")</f>
        <v>2024</v>
      </c>
      <c r="E973" t="s">
        <v>18</v>
      </c>
      <c r="F973" t="s">
        <v>12</v>
      </c>
      <c r="G973" t="s">
        <v>13</v>
      </c>
      <c r="H973" t="s">
        <v>35</v>
      </c>
      <c r="I973" t="s">
        <v>40</v>
      </c>
      <c r="J973">
        <v>11</v>
      </c>
      <c r="K973">
        <v>39613</v>
      </c>
      <c r="L973">
        <f>Tabla24[[#This Row],[Precio_Unitario]]*Tabla24[[#This Row],[Unidades_Vendidas]]</f>
        <v>435743</v>
      </c>
      <c r="M973" t="s">
        <v>16</v>
      </c>
    </row>
    <row r="974" spans="1:13" x14ac:dyDescent="0.25">
      <c r="A974" t="s">
        <v>348</v>
      </c>
      <c r="B974" t="str">
        <f>TEXT(Tabla24[[#This Row],[Fecha]],"dddd")</f>
        <v>lunes</v>
      </c>
      <c r="C974" t="str">
        <f>TEXT(Tabla24[[#This Row],[Fecha]],"mmmm")</f>
        <v>julio</v>
      </c>
      <c r="D974" t="str">
        <f>TEXT(Tabla24[[#This Row],[Fecha]],"aaaa")</f>
        <v>2024</v>
      </c>
      <c r="E974" t="s">
        <v>18</v>
      </c>
      <c r="F974" t="s">
        <v>23</v>
      </c>
      <c r="G974" t="s">
        <v>44</v>
      </c>
      <c r="H974" t="s">
        <v>30</v>
      </c>
      <c r="I974" t="s">
        <v>40</v>
      </c>
      <c r="J974">
        <v>12</v>
      </c>
      <c r="K974">
        <v>16323</v>
      </c>
      <c r="L974">
        <f>Tabla24[[#This Row],[Precio_Unitario]]*Tabla24[[#This Row],[Unidades_Vendidas]]</f>
        <v>195876</v>
      </c>
      <c r="M974" t="s">
        <v>16</v>
      </c>
    </row>
    <row r="975" spans="1:13" x14ac:dyDescent="0.25">
      <c r="A975" t="s">
        <v>334</v>
      </c>
      <c r="B975" t="str">
        <f>TEXT(Tabla24[[#This Row],[Fecha]],"dddd")</f>
        <v>sábado</v>
      </c>
      <c r="C975" t="str">
        <f>TEXT(Tabla24[[#This Row],[Fecha]],"mmmm")</f>
        <v>diciembre</v>
      </c>
      <c r="D975" t="str">
        <f>TEXT(Tabla24[[#This Row],[Fecha]],"aaaa")</f>
        <v>2024</v>
      </c>
      <c r="E975" t="s">
        <v>33</v>
      </c>
      <c r="F975" t="s">
        <v>12</v>
      </c>
      <c r="G975" t="s">
        <v>44</v>
      </c>
      <c r="H975" t="s">
        <v>30</v>
      </c>
      <c r="I975" t="s">
        <v>26</v>
      </c>
      <c r="J975">
        <v>15</v>
      </c>
      <c r="K975">
        <v>59690</v>
      </c>
      <c r="L975">
        <f>Tabla24[[#This Row],[Precio_Unitario]]*Tabla24[[#This Row],[Unidades_Vendidas]]</f>
        <v>895350</v>
      </c>
      <c r="M975" t="s">
        <v>16</v>
      </c>
    </row>
    <row r="976" spans="1:13" x14ac:dyDescent="0.25">
      <c r="A976" t="s">
        <v>295</v>
      </c>
      <c r="B976" t="str">
        <f>TEXT(Tabla24[[#This Row],[Fecha]],"dddd")</f>
        <v>domingo</v>
      </c>
      <c r="C976" t="str">
        <f>TEXT(Tabla24[[#This Row],[Fecha]],"mmmm")</f>
        <v>abril</v>
      </c>
      <c r="D976" t="str">
        <f>TEXT(Tabla24[[#This Row],[Fecha]],"aaaa")</f>
        <v>2024</v>
      </c>
      <c r="E976" t="s">
        <v>18</v>
      </c>
      <c r="F976" t="s">
        <v>23</v>
      </c>
      <c r="G976" t="s">
        <v>48</v>
      </c>
      <c r="H976" t="s">
        <v>25</v>
      </c>
      <c r="I976" t="s">
        <v>15</v>
      </c>
      <c r="J976">
        <v>4</v>
      </c>
      <c r="K976">
        <v>20854</v>
      </c>
      <c r="L976">
        <f>Tabla24[[#This Row],[Precio_Unitario]]*Tabla24[[#This Row],[Unidades_Vendidas]]</f>
        <v>83416</v>
      </c>
      <c r="M976" t="s">
        <v>20</v>
      </c>
    </row>
    <row r="977" spans="1:13" x14ac:dyDescent="0.25">
      <c r="A977" t="s">
        <v>137</v>
      </c>
      <c r="B977" t="str">
        <f>TEXT(Tabla24[[#This Row],[Fecha]],"dddd")</f>
        <v>sábado</v>
      </c>
      <c r="C977" t="str">
        <f>TEXT(Tabla24[[#This Row],[Fecha]],"mmmm")</f>
        <v>mayo</v>
      </c>
      <c r="D977" t="str">
        <f>TEXT(Tabla24[[#This Row],[Fecha]],"aaaa")</f>
        <v>2024</v>
      </c>
      <c r="E977" t="s">
        <v>33</v>
      </c>
      <c r="F977" t="s">
        <v>12</v>
      </c>
      <c r="G977" t="s">
        <v>44</v>
      </c>
      <c r="H977" t="s">
        <v>30</v>
      </c>
      <c r="I977" t="s">
        <v>40</v>
      </c>
      <c r="J977">
        <v>17</v>
      </c>
      <c r="K977">
        <v>18853</v>
      </c>
      <c r="L977">
        <f>Tabla24[[#This Row],[Precio_Unitario]]*Tabla24[[#This Row],[Unidades_Vendidas]]</f>
        <v>320501</v>
      </c>
      <c r="M977" t="s">
        <v>16</v>
      </c>
    </row>
    <row r="978" spans="1:13" x14ac:dyDescent="0.25">
      <c r="A978" t="s">
        <v>112</v>
      </c>
      <c r="B978" t="str">
        <f>TEXT(Tabla24[[#This Row],[Fecha]],"dddd")</f>
        <v>viernes</v>
      </c>
      <c r="C978" t="str">
        <f>TEXT(Tabla24[[#This Row],[Fecha]],"mmmm")</f>
        <v>septiembre</v>
      </c>
      <c r="D978" t="str">
        <f>TEXT(Tabla24[[#This Row],[Fecha]],"aaaa")</f>
        <v>2024</v>
      </c>
      <c r="E978" t="s">
        <v>18</v>
      </c>
      <c r="F978" t="s">
        <v>12</v>
      </c>
      <c r="G978" t="s">
        <v>39</v>
      </c>
      <c r="H978" t="s">
        <v>30</v>
      </c>
      <c r="I978" t="s">
        <v>40</v>
      </c>
      <c r="J978">
        <v>7</v>
      </c>
      <c r="K978">
        <v>56584</v>
      </c>
      <c r="L978">
        <f>Tabla24[[#This Row],[Precio_Unitario]]*Tabla24[[#This Row],[Unidades_Vendidas]]</f>
        <v>396088</v>
      </c>
      <c r="M978" t="s">
        <v>20</v>
      </c>
    </row>
    <row r="979" spans="1:13" x14ac:dyDescent="0.25">
      <c r="A979" t="s">
        <v>215</v>
      </c>
      <c r="B979" t="str">
        <f>TEXT(Tabla24[[#This Row],[Fecha]],"dddd")</f>
        <v>domingo</v>
      </c>
      <c r="C979" t="str">
        <f>TEXT(Tabla24[[#This Row],[Fecha]],"mmmm")</f>
        <v>mayo</v>
      </c>
      <c r="D979" t="str">
        <f>TEXT(Tabla24[[#This Row],[Fecha]],"aaaa")</f>
        <v>2024</v>
      </c>
      <c r="E979" t="s">
        <v>22</v>
      </c>
      <c r="F979" t="s">
        <v>12</v>
      </c>
      <c r="G979" t="s">
        <v>48</v>
      </c>
      <c r="H979" t="s">
        <v>14</v>
      </c>
      <c r="I979" t="s">
        <v>15</v>
      </c>
      <c r="J979">
        <v>9</v>
      </c>
      <c r="K979">
        <v>43844</v>
      </c>
      <c r="L979">
        <f>Tabla24[[#This Row],[Precio_Unitario]]*Tabla24[[#This Row],[Unidades_Vendidas]]</f>
        <v>394596</v>
      </c>
      <c r="M979" t="s">
        <v>16</v>
      </c>
    </row>
    <row r="980" spans="1:13" x14ac:dyDescent="0.25">
      <c r="A980" t="s">
        <v>203</v>
      </c>
      <c r="B980" t="str">
        <f>TEXT(Tabla24[[#This Row],[Fecha]],"dddd")</f>
        <v>martes</v>
      </c>
      <c r="C980" t="str">
        <f>TEXT(Tabla24[[#This Row],[Fecha]],"mmmm")</f>
        <v>junio</v>
      </c>
      <c r="D980" t="str">
        <f>TEXT(Tabla24[[#This Row],[Fecha]],"aaaa")</f>
        <v>2024</v>
      </c>
      <c r="E980" t="s">
        <v>11</v>
      </c>
      <c r="F980" t="s">
        <v>23</v>
      </c>
      <c r="G980" t="s">
        <v>24</v>
      </c>
      <c r="H980" t="s">
        <v>14</v>
      </c>
      <c r="I980" t="s">
        <v>40</v>
      </c>
      <c r="J980">
        <v>11</v>
      </c>
      <c r="K980">
        <v>48399</v>
      </c>
      <c r="L980">
        <f>Tabla24[[#This Row],[Precio_Unitario]]*Tabla24[[#This Row],[Unidades_Vendidas]]</f>
        <v>532389</v>
      </c>
      <c r="M980" t="s">
        <v>16</v>
      </c>
    </row>
    <row r="981" spans="1:13" x14ac:dyDescent="0.25">
      <c r="A981" t="s">
        <v>373</v>
      </c>
      <c r="B981" t="str">
        <f>TEXT(Tabla24[[#This Row],[Fecha]],"dddd")</f>
        <v>jueves</v>
      </c>
      <c r="C981" t="str">
        <f>TEXT(Tabla24[[#This Row],[Fecha]],"mmmm")</f>
        <v>febrero</v>
      </c>
      <c r="D981" t="str">
        <f>TEXT(Tabla24[[#This Row],[Fecha]],"aaaa")</f>
        <v>2024</v>
      </c>
      <c r="E981" t="s">
        <v>22</v>
      </c>
      <c r="F981" t="s">
        <v>12</v>
      </c>
      <c r="G981" t="s">
        <v>13</v>
      </c>
      <c r="H981" t="s">
        <v>19</v>
      </c>
      <c r="I981" t="s">
        <v>15</v>
      </c>
      <c r="J981">
        <v>1</v>
      </c>
      <c r="K981">
        <v>37499</v>
      </c>
      <c r="L981">
        <f>Tabla24[[#This Row],[Precio_Unitario]]*Tabla24[[#This Row],[Unidades_Vendidas]]</f>
        <v>37499</v>
      </c>
      <c r="M981" t="s">
        <v>36</v>
      </c>
    </row>
    <row r="982" spans="1:13" x14ac:dyDescent="0.25">
      <c r="A982" t="s">
        <v>250</v>
      </c>
      <c r="B982" t="str">
        <f>TEXT(Tabla24[[#This Row],[Fecha]],"dddd")</f>
        <v>martes</v>
      </c>
      <c r="C982" t="str">
        <f>TEXT(Tabla24[[#This Row],[Fecha]],"mmmm")</f>
        <v>octubre</v>
      </c>
      <c r="D982" t="str">
        <f>TEXT(Tabla24[[#This Row],[Fecha]],"aaaa")</f>
        <v>2024</v>
      </c>
      <c r="E982" t="s">
        <v>33</v>
      </c>
      <c r="F982" t="s">
        <v>12</v>
      </c>
      <c r="G982" t="s">
        <v>24</v>
      </c>
      <c r="H982" t="s">
        <v>19</v>
      </c>
      <c r="I982" t="s">
        <v>15</v>
      </c>
      <c r="J982">
        <v>18</v>
      </c>
      <c r="K982">
        <v>22092</v>
      </c>
      <c r="L982">
        <f>Tabla24[[#This Row],[Precio_Unitario]]*Tabla24[[#This Row],[Unidades_Vendidas]]</f>
        <v>397656</v>
      </c>
      <c r="M982" t="s">
        <v>20</v>
      </c>
    </row>
    <row r="983" spans="1:13" x14ac:dyDescent="0.25">
      <c r="A983" t="s">
        <v>324</v>
      </c>
      <c r="B983" t="str">
        <f>TEXT(Tabla24[[#This Row],[Fecha]],"dddd")</f>
        <v>martes</v>
      </c>
      <c r="C983" t="str">
        <f>TEXT(Tabla24[[#This Row],[Fecha]],"mmmm")</f>
        <v>marzo</v>
      </c>
      <c r="D983" t="str">
        <f>TEXT(Tabla24[[#This Row],[Fecha]],"aaaa")</f>
        <v>2024</v>
      </c>
      <c r="E983" t="s">
        <v>11</v>
      </c>
      <c r="F983" t="s">
        <v>12</v>
      </c>
      <c r="G983" t="s">
        <v>48</v>
      </c>
      <c r="H983" t="s">
        <v>19</v>
      </c>
      <c r="I983" t="s">
        <v>26</v>
      </c>
      <c r="J983">
        <v>13</v>
      </c>
      <c r="K983">
        <v>31539</v>
      </c>
      <c r="L983">
        <f>Tabla24[[#This Row],[Precio_Unitario]]*Tabla24[[#This Row],[Unidades_Vendidas]]</f>
        <v>410007</v>
      </c>
      <c r="M983" t="s">
        <v>16</v>
      </c>
    </row>
    <row r="984" spans="1:13" x14ac:dyDescent="0.25">
      <c r="A984" t="s">
        <v>278</v>
      </c>
      <c r="B984" t="str">
        <f>TEXT(Tabla24[[#This Row],[Fecha]],"dddd")</f>
        <v>miércoles</v>
      </c>
      <c r="C984" t="str">
        <f>TEXT(Tabla24[[#This Row],[Fecha]],"mmmm")</f>
        <v>julio</v>
      </c>
      <c r="D984" t="str">
        <f>TEXT(Tabla24[[#This Row],[Fecha]],"aaaa")</f>
        <v>2024</v>
      </c>
      <c r="E984" t="s">
        <v>18</v>
      </c>
      <c r="F984" t="s">
        <v>34</v>
      </c>
      <c r="G984" t="s">
        <v>39</v>
      </c>
      <c r="H984" t="s">
        <v>14</v>
      </c>
      <c r="I984" t="s">
        <v>15</v>
      </c>
      <c r="J984">
        <v>5</v>
      </c>
      <c r="K984">
        <v>20078</v>
      </c>
      <c r="L984">
        <f>Tabla24[[#This Row],[Precio_Unitario]]*Tabla24[[#This Row],[Unidades_Vendidas]]</f>
        <v>100390</v>
      </c>
      <c r="M984" t="s">
        <v>16</v>
      </c>
    </row>
    <row r="985" spans="1:13" x14ac:dyDescent="0.25">
      <c r="A985" t="s">
        <v>361</v>
      </c>
      <c r="B985" t="str">
        <f>TEXT(Tabla24[[#This Row],[Fecha]],"dddd")</f>
        <v>martes</v>
      </c>
      <c r="C985" t="str">
        <f>TEXT(Tabla24[[#This Row],[Fecha]],"mmmm")</f>
        <v>junio</v>
      </c>
      <c r="D985" t="str">
        <f>TEXT(Tabla24[[#This Row],[Fecha]],"aaaa")</f>
        <v>2024</v>
      </c>
      <c r="E985" t="s">
        <v>42</v>
      </c>
      <c r="F985" t="s">
        <v>38</v>
      </c>
      <c r="G985" t="s">
        <v>44</v>
      </c>
      <c r="H985" t="s">
        <v>30</v>
      </c>
      <c r="I985" t="s">
        <v>15</v>
      </c>
      <c r="J985">
        <v>14</v>
      </c>
      <c r="K985">
        <v>36418</v>
      </c>
      <c r="L985">
        <f>Tabla24[[#This Row],[Precio_Unitario]]*Tabla24[[#This Row],[Unidades_Vendidas]]</f>
        <v>509852</v>
      </c>
      <c r="M985" t="s">
        <v>16</v>
      </c>
    </row>
    <row r="986" spans="1:13" x14ac:dyDescent="0.25">
      <c r="A986" t="s">
        <v>31</v>
      </c>
      <c r="B986" t="str">
        <f>TEXT(Tabla24[[#This Row],[Fecha]],"dddd")</f>
        <v>miércoles</v>
      </c>
      <c r="C986" t="str">
        <f>TEXT(Tabla24[[#This Row],[Fecha]],"mmmm")</f>
        <v>abril</v>
      </c>
      <c r="D986" t="str">
        <f>TEXT(Tabla24[[#This Row],[Fecha]],"aaaa")</f>
        <v>2024</v>
      </c>
      <c r="E986" t="s">
        <v>42</v>
      </c>
      <c r="F986" t="s">
        <v>12</v>
      </c>
      <c r="G986" t="s">
        <v>44</v>
      </c>
      <c r="H986" t="s">
        <v>25</v>
      </c>
      <c r="I986" t="s">
        <v>40</v>
      </c>
      <c r="J986">
        <v>19</v>
      </c>
      <c r="K986">
        <v>44815</v>
      </c>
      <c r="L986">
        <f>Tabla24[[#This Row],[Precio_Unitario]]*Tabla24[[#This Row],[Unidades_Vendidas]]</f>
        <v>851485</v>
      </c>
      <c r="M986" t="s">
        <v>16</v>
      </c>
    </row>
    <row r="987" spans="1:13" x14ac:dyDescent="0.25">
      <c r="A987" t="s">
        <v>262</v>
      </c>
      <c r="B987" t="str">
        <f>TEXT(Tabla24[[#This Row],[Fecha]],"dddd")</f>
        <v>viernes</v>
      </c>
      <c r="C987" t="str">
        <f>TEXT(Tabla24[[#This Row],[Fecha]],"mmmm")</f>
        <v>enero</v>
      </c>
      <c r="D987" t="str">
        <f>TEXT(Tabla24[[#This Row],[Fecha]],"aaaa")</f>
        <v>2024</v>
      </c>
      <c r="E987" t="s">
        <v>42</v>
      </c>
      <c r="F987" t="s">
        <v>34</v>
      </c>
      <c r="G987" t="s">
        <v>39</v>
      </c>
      <c r="H987" t="s">
        <v>25</v>
      </c>
      <c r="I987" t="s">
        <v>15</v>
      </c>
      <c r="J987">
        <v>19</v>
      </c>
      <c r="K987">
        <v>38234</v>
      </c>
      <c r="L987">
        <f>Tabla24[[#This Row],[Precio_Unitario]]*Tabla24[[#This Row],[Unidades_Vendidas]]</f>
        <v>726446</v>
      </c>
      <c r="M987" t="s">
        <v>36</v>
      </c>
    </row>
    <row r="988" spans="1:13" x14ac:dyDescent="0.25">
      <c r="A988" t="s">
        <v>351</v>
      </c>
      <c r="B988" t="str">
        <f>TEXT(Tabla24[[#This Row],[Fecha]],"dddd")</f>
        <v>lunes</v>
      </c>
      <c r="C988" t="str">
        <f>TEXT(Tabla24[[#This Row],[Fecha]],"mmmm")</f>
        <v>abril</v>
      </c>
      <c r="D988" t="str">
        <f>TEXT(Tabla24[[#This Row],[Fecha]],"aaaa")</f>
        <v>2024</v>
      </c>
      <c r="E988" t="s">
        <v>22</v>
      </c>
      <c r="F988" t="s">
        <v>29</v>
      </c>
      <c r="G988" t="s">
        <v>44</v>
      </c>
      <c r="H988" t="s">
        <v>25</v>
      </c>
      <c r="I988" t="s">
        <v>26</v>
      </c>
      <c r="J988">
        <v>2</v>
      </c>
      <c r="K988">
        <v>27689</v>
      </c>
      <c r="L988">
        <f>Tabla24[[#This Row],[Precio_Unitario]]*Tabla24[[#This Row],[Unidades_Vendidas]]</f>
        <v>55378</v>
      </c>
      <c r="M988" t="s">
        <v>16</v>
      </c>
    </row>
    <row r="989" spans="1:13" x14ac:dyDescent="0.25">
      <c r="A989" t="s">
        <v>279</v>
      </c>
      <c r="B989" t="str">
        <f>TEXT(Tabla24[[#This Row],[Fecha]],"dddd")</f>
        <v>miércoles</v>
      </c>
      <c r="C989" t="str">
        <f>TEXT(Tabla24[[#This Row],[Fecha]],"mmmm")</f>
        <v>marzo</v>
      </c>
      <c r="D989" t="str">
        <f>TEXT(Tabla24[[#This Row],[Fecha]],"aaaa")</f>
        <v>2024</v>
      </c>
      <c r="E989" t="s">
        <v>33</v>
      </c>
      <c r="F989" t="s">
        <v>12</v>
      </c>
      <c r="G989" t="s">
        <v>39</v>
      </c>
      <c r="H989" t="s">
        <v>25</v>
      </c>
      <c r="I989" t="s">
        <v>40</v>
      </c>
      <c r="J989">
        <v>7</v>
      </c>
      <c r="K989">
        <v>56681</v>
      </c>
      <c r="L989">
        <f>Tabla24[[#This Row],[Precio_Unitario]]*Tabla24[[#This Row],[Unidades_Vendidas]]</f>
        <v>396767</v>
      </c>
      <c r="M989" t="s">
        <v>27</v>
      </c>
    </row>
    <row r="990" spans="1:13" x14ac:dyDescent="0.25">
      <c r="A990" t="s">
        <v>72</v>
      </c>
      <c r="B990" t="str">
        <f>TEXT(Tabla24[[#This Row],[Fecha]],"dddd")</f>
        <v>sábado</v>
      </c>
      <c r="C990" t="str">
        <f>TEXT(Tabla24[[#This Row],[Fecha]],"mmmm")</f>
        <v>septiembre</v>
      </c>
      <c r="D990" t="str">
        <f>TEXT(Tabla24[[#This Row],[Fecha]],"aaaa")</f>
        <v>2024</v>
      </c>
      <c r="E990" t="s">
        <v>33</v>
      </c>
      <c r="F990" t="s">
        <v>23</v>
      </c>
      <c r="G990" t="s">
        <v>48</v>
      </c>
      <c r="H990" t="s">
        <v>25</v>
      </c>
      <c r="I990" t="s">
        <v>15</v>
      </c>
      <c r="J990">
        <v>3</v>
      </c>
      <c r="K990">
        <v>32701</v>
      </c>
      <c r="L990">
        <f>Tabla24[[#This Row],[Precio_Unitario]]*Tabla24[[#This Row],[Unidades_Vendidas]]</f>
        <v>98103</v>
      </c>
      <c r="M990" t="s">
        <v>27</v>
      </c>
    </row>
    <row r="991" spans="1:13" x14ac:dyDescent="0.25">
      <c r="A991" t="s">
        <v>58</v>
      </c>
      <c r="B991" t="str">
        <f>TEXT(Tabla24[[#This Row],[Fecha]],"dddd")</f>
        <v>lunes</v>
      </c>
      <c r="C991" t="str">
        <f>TEXT(Tabla24[[#This Row],[Fecha]],"mmmm")</f>
        <v>octubre</v>
      </c>
      <c r="D991" t="str">
        <f>TEXT(Tabla24[[#This Row],[Fecha]],"aaaa")</f>
        <v>2024</v>
      </c>
      <c r="E991" t="s">
        <v>11</v>
      </c>
      <c r="F991" t="s">
        <v>12</v>
      </c>
      <c r="G991" t="s">
        <v>39</v>
      </c>
      <c r="H991" t="s">
        <v>30</v>
      </c>
      <c r="I991" t="s">
        <v>15</v>
      </c>
      <c r="J991">
        <v>15</v>
      </c>
      <c r="K991">
        <v>16943</v>
      </c>
      <c r="L991">
        <f>Tabla24[[#This Row],[Precio_Unitario]]*Tabla24[[#This Row],[Unidades_Vendidas]]</f>
        <v>254145</v>
      </c>
      <c r="M991" t="s">
        <v>36</v>
      </c>
    </row>
    <row r="992" spans="1:13" x14ac:dyDescent="0.25">
      <c r="A992" t="s">
        <v>126</v>
      </c>
      <c r="B992" t="str">
        <f>TEXT(Tabla24[[#This Row],[Fecha]],"dddd")</f>
        <v>lunes</v>
      </c>
      <c r="C992" t="str">
        <f>TEXT(Tabla24[[#This Row],[Fecha]],"mmmm")</f>
        <v>noviembre</v>
      </c>
      <c r="D992" t="str">
        <f>TEXT(Tabla24[[#This Row],[Fecha]],"aaaa")</f>
        <v>2024</v>
      </c>
      <c r="E992" t="s">
        <v>11</v>
      </c>
      <c r="F992" t="s">
        <v>12</v>
      </c>
      <c r="G992" t="s">
        <v>44</v>
      </c>
      <c r="H992" t="s">
        <v>19</v>
      </c>
      <c r="I992" t="s">
        <v>40</v>
      </c>
      <c r="J992">
        <v>19</v>
      </c>
      <c r="K992">
        <v>24079</v>
      </c>
      <c r="L992">
        <f>Tabla24[[#This Row],[Precio_Unitario]]*Tabla24[[#This Row],[Unidades_Vendidas]]</f>
        <v>457501</v>
      </c>
      <c r="M992" t="s">
        <v>27</v>
      </c>
    </row>
    <row r="993" spans="1:13" x14ac:dyDescent="0.25">
      <c r="A993" t="s">
        <v>316</v>
      </c>
      <c r="B993" t="str">
        <f>TEXT(Tabla24[[#This Row],[Fecha]],"dddd")</f>
        <v>sábado</v>
      </c>
      <c r="C993" t="str">
        <f>TEXT(Tabla24[[#This Row],[Fecha]],"mmmm")</f>
        <v>febrero</v>
      </c>
      <c r="D993" t="str">
        <f>TEXT(Tabla24[[#This Row],[Fecha]],"aaaa")</f>
        <v>2024</v>
      </c>
      <c r="E993" t="s">
        <v>22</v>
      </c>
      <c r="F993" t="s">
        <v>23</v>
      </c>
      <c r="G993" t="s">
        <v>44</v>
      </c>
      <c r="H993" t="s">
        <v>35</v>
      </c>
      <c r="I993" t="s">
        <v>40</v>
      </c>
      <c r="J993">
        <v>12</v>
      </c>
      <c r="K993">
        <v>44797</v>
      </c>
      <c r="L993">
        <f>Tabla24[[#This Row],[Precio_Unitario]]*Tabla24[[#This Row],[Unidades_Vendidas]]</f>
        <v>537564</v>
      </c>
      <c r="M993" t="s">
        <v>36</v>
      </c>
    </row>
    <row r="994" spans="1:13" x14ac:dyDescent="0.25">
      <c r="A994" t="s">
        <v>203</v>
      </c>
      <c r="B994" t="str">
        <f>TEXT(Tabla24[[#This Row],[Fecha]],"dddd")</f>
        <v>martes</v>
      </c>
      <c r="C994" t="str">
        <f>TEXT(Tabla24[[#This Row],[Fecha]],"mmmm")</f>
        <v>junio</v>
      </c>
      <c r="D994" t="str">
        <f>TEXT(Tabla24[[#This Row],[Fecha]],"aaaa")</f>
        <v>2024</v>
      </c>
      <c r="E994" t="s">
        <v>22</v>
      </c>
      <c r="F994" t="s">
        <v>23</v>
      </c>
      <c r="G994" t="s">
        <v>39</v>
      </c>
      <c r="H994" t="s">
        <v>14</v>
      </c>
      <c r="I994" t="s">
        <v>15</v>
      </c>
      <c r="J994">
        <v>17</v>
      </c>
      <c r="K994">
        <v>39662</v>
      </c>
      <c r="L994">
        <f>Tabla24[[#This Row],[Precio_Unitario]]*Tabla24[[#This Row],[Unidades_Vendidas]]</f>
        <v>674254</v>
      </c>
      <c r="M994" t="s">
        <v>36</v>
      </c>
    </row>
    <row r="995" spans="1:13" x14ac:dyDescent="0.25">
      <c r="A995" t="s">
        <v>124</v>
      </c>
      <c r="B995" t="str">
        <f>TEXT(Tabla24[[#This Row],[Fecha]],"dddd")</f>
        <v>sábado</v>
      </c>
      <c r="C995" t="str">
        <f>TEXT(Tabla24[[#This Row],[Fecha]],"mmmm")</f>
        <v>junio</v>
      </c>
      <c r="D995" t="str">
        <f>TEXT(Tabla24[[#This Row],[Fecha]],"aaaa")</f>
        <v>2024</v>
      </c>
      <c r="E995" t="s">
        <v>11</v>
      </c>
      <c r="F995" t="s">
        <v>12</v>
      </c>
      <c r="G995" t="s">
        <v>48</v>
      </c>
      <c r="H995" t="s">
        <v>25</v>
      </c>
      <c r="I995" t="s">
        <v>40</v>
      </c>
      <c r="J995">
        <v>16</v>
      </c>
      <c r="K995">
        <v>45846</v>
      </c>
      <c r="L995">
        <f>Tabla24[[#This Row],[Precio_Unitario]]*Tabla24[[#This Row],[Unidades_Vendidas]]</f>
        <v>733536</v>
      </c>
      <c r="M995" t="s">
        <v>20</v>
      </c>
    </row>
    <row r="996" spans="1:13" x14ac:dyDescent="0.25">
      <c r="A996" t="s">
        <v>290</v>
      </c>
      <c r="B996" t="str">
        <f>TEXT(Tabla24[[#This Row],[Fecha]],"dddd")</f>
        <v>miércoles</v>
      </c>
      <c r="C996" t="str">
        <f>TEXT(Tabla24[[#This Row],[Fecha]],"mmmm")</f>
        <v>julio</v>
      </c>
      <c r="D996" t="str">
        <f>TEXT(Tabla24[[#This Row],[Fecha]],"aaaa")</f>
        <v>2024</v>
      </c>
      <c r="E996" t="s">
        <v>22</v>
      </c>
      <c r="F996" t="s">
        <v>29</v>
      </c>
      <c r="G996" t="s">
        <v>24</v>
      </c>
      <c r="H996" t="s">
        <v>19</v>
      </c>
      <c r="I996" t="s">
        <v>15</v>
      </c>
      <c r="J996">
        <v>3</v>
      </c>
      <c r="K996">
        <v>19009</v>
      </c>
      <c r="L996">
        <f>Tabla24[[#This Row],[Precio_Unitario]]*Tabla24[[#This Row],[Unidades_Vendidas]]</f>
        <v>57027</v>
      </c>
      <c r="M996" t="s">
        <v>27</v>
      </c>
    </row>
    <row r="997" spans="1:13" x14ac:dyDescent="0.25">
      <c r="A997" t="s">
        <v>332</v>
      </c>
      <c r="B997" t="str">
        <f>TEXT(Tabla24[[#This Row],[Fecha]],"dddd")</f>
        <v>martes</v>
      </c>
      <c r="C997" t="str">
        <f>TEXT(Tabla24[[#This Row],[Fecha]],"mmmm")</f>
        <v>julio</v>
      </c>
      <c r="D997" t="str">
        <f>TEXT(Tabla24[[#This Row],[Fecha]],"aaaa")</f>
        <v>2024</v>
      </c>
      <c r="E997" t="s">
        <v>18</v>
      </c>
      <c r="F997" t="s">
        <v>12</v>
      </c>
      <c r="G997" t="s">
        <v>39</v>
      </c>
      <c r="H997" t="s">
        <v>30</v>
      </c>
      <c r="I997" t="s">
        <v>15</v>
      </c>
      <c r="J997">
        <v>1</v>
      </c>
      <c r="K997">
        <v>59790</v>
      </c>
      <c r="L997">
        <f>Tabla24[[#This Row],[Precio_Unitario]]*Tabla24[[#This Row],[Unidades_Vendidas]]</f>
        <v>59790</v>
      </c>
      <c r="M997" t="s">
        <v>27</v>
      </c>
    </row>
    <row r="998" spans="1:13" x14ac:dyDescent="0.25">
      <c r="A998" t="s">
        <v>233</v>
      </c>
      <c r="B998" t="str">
        <f>TEXT(Tabla24[[#This Row],[Fecha]],"dddd")</f>
        <v>martes</v>
      </c>
      <c r="C998" t="str">
        <f>TEXT(Tabla24[[#This Row],[Fecha]],"mmmm")</f>
        <v>abril</v>
      </c>
      <c r="D998" t="str">
        <f>TEXT(Tabla24[[#This Row],[Fecha]],"aaaa")</f>
        <v>2024</v>
      </c>
      <c r="E998" t="s">
        <v>42</v>
      </c>
      <c r="F998" t="s">
        <v>34</v>
      </c>
      <c r="G998" t="s">
        <v>24</v>
      </c>
      <c r="H998" t="s">
        <v>30</v>
      </c>
      <c r="I998" t="s">
        <v>40</v>
      </c>
      <c r="J998">
        <v>1</v>
      </c>
      <c r="K998">
        <v>57236</v>
      </c>
      <c r="L998">
        <f>Tabla24[[#This Row],[Precio_Unitario]]*Tabla24[[#This Row],[Unidades_Vendidas]]</f>
        <v>57236</v>
      </c>
      <c r="M998" t="s">
        <v>16</v>
      </c>
    </row>
    <row r="999" spans="1:13" x14ac:dyDescent="0.25">
      <c r="A999" t="s">
        <v>374</v>
      </c>
      <c r="B999" t="str">
        <f>TEXT(Tabla24[[#This Row],[Fecha]],"dddd")</f>
        <v>domingo</v>
      </c>
      <c r="C999" t="str">
        <f>TEXT(Tabla24[[#This Row],[Fecha]],"mmmm")</f>
        <v>octubre</v>
      </c>
      <c r="D999" t="str">
        <f>TEXT(Tabla24[[#This Row],[Fecha]],"aaaa")</f>
        <v>2024</v>
      </c>
      <c r="E999" t="s">
        <v>18</v>
      </c>
      <c r="F999" t="s">
        <v>23</v>
      </c>
      <c r="G999" t="s">
        <v>39</v>
      </c>
      <c r="H999" t="s">
        <v>14</v>
      </c>
      <c r="I999" t="s">
        <v>40</v>
      </c>
      <c r="J999">
        <v>2</v>
      </c>
      <c r="K999">
        <v>45234</v>
      </c>
      <c r="L999">
        <f>Tabla24[[#This Row],[Precio_Unitario]]*Tabla24[[#This Row],[Unidades_Vendidas]]</f>
        <v>90468</v>
      </c>
      <c r="M999" t="s">
        <v>16</v>
      </c>
    </row>
    <row r="1000" spans="1:13" x14ac:dyDescent="0.25">
      <c r="A1000" t="s">
        <v>300</v>
      </c>
      <c r="B1000" t="str">
        <f>TEXT(Tabla24[[#This Row],[Fecha]],"dddd")</f>
        <v>martes</v>
      </c>
      <c r="C1000" t="str">
        <f>TEXT(Tabla24[[#This Row],[Fecha]],"mmmm")</f>
        <v>febrero</v>
      </c>
      <c r="D1000" t="str">
        <f>TEXT(Tabla24[[#This Row],[Fecha]],"aaaa")</f>
        <v>2024</v>
      </c>
      <c r="E1000" t="s">
        <v>22</v>
      </c>
      <c r="F1000" t="s">
        <v>29</v>
      </c>
      <c r="G1000" t="s">
        <v>39</v>
      </c>
      <c r="H1000" t="s">
        <v>19</v>
      </c>
      <c r="I1000" t="s">
        <v>15</v>
      </c>
      <c r="J1000">
        <v>7</v>
      </c>
      <c r="K1000">
        <v>20376</v>
      </c>
      <c r="L1000">
        <f>Tabla24[[#This Row],[Precio_Unitario]]*Tabla24[[#This Row],[Unidades_Vendidas]]</f>
        <v>142632</v>
      </c>
      <c r="M1000" t="s">
        <v>36</v>
      </c>
    </row>
    <row r="1001" spans="1:13" x14ac:dyDescent="0.25">
      <c r="A1001" t="s">
        <v>78</v>
      </c>
      <c r="B1001" t="str">
        <f>TEXT(Tabla24[[#This Row],[Fecha]],"dddd")</f>
        <v>martes</v>
      </c>
      <c r="C1001" t="str">
        <f>TEXT(Tabla24[[#This Row],[Fecha]],"mmmm")</f>
        <v>octubre</v>
      </c>
      <c r="D1001" t="str">
        <f>TEXT(Tabla24[[#This Row],[Fecha]],"aaaa")</f>
        <v>2024</v>
      </c>
      <c r="E1001" t="s">
        <v>22</v>
      </c>
      <c r="F1001" t="s">
        <v>38</v>
      </c>
      <c r="G1001" t="s">
        <v>44</v>
      </c>
      <c r="H1001" t="s">
        <v>35</v>
      </c>
      <c r="I1001" t="s">
        <v>26</v>
      </c>
      <c r="J1001">
        <v>17</v>
      </c>
      <c r="K1001">
        <v>19400</v>
      </c>
      <c r="L1001">
        <f>Tabla24[[#This Row],[Precio_Unitario]]*Tabla24[[#This Row],[Unidades_Vendidas]]</f>
        <v>329800</v>
      </c>
      <c r="M1001" t="s">
        <v>20</v>
      </c>
    </row>
    <row r="1002" spans="1:13" x14ac:dyDescent="0.25">
      <c r="A1002" t="s">
        <v>134</v>
      </c>
      <c r="B1002" t="str">
        <f>TEXT(Tabla24[[#This Row],[Fecha]],"dddd")</f>
        <v>jueves</v>
      </c>
      <c r="C1002" t="str">
        <f>TEXT(Tabla24[[#This Row],[Fecha]],"mmmm")</f>
        <v>octubre</v>
      </c>
      <c r="D1002" t="str">
        <f>TEXT(Tabla24[[#This Row],[Fecha]],"aaaa")</f>
        <v>2024</v>
      </c>
      <c r="E1002" t="s">
        <v>33</v>
      </c>
      <c r="F1002" t="s">
        <v>38</v>
      </c>
      <c r="G1002" t="s">
        <v>13</v>
      </c>
      <c r="H1002" t="s">
        <v>25</v>
      </c>
      <c r="I1002" t="s">
        <v>26</v>
      </c>
      <c r="J1002">
        <v>15</v>
      </c>
      <c r="K1002">
        <v>26580</v>
      </c>
      <c r="L1002">
        <f>Tabla24[[#This Row],[Precio_Unitario]]*Tabla24[[#This Row],[Unidades_Vendidas]]</f>
        <v>398700</v>
      </c>
      <c r="M1002" t="s">
        <v>20</v>
      </c>
    </row>
    <row r="1003" spans="1:13" x14ac:dyDescent="0.25">
      <c r="A1003" t="s">
        <v>126</v>
      </c>
      <c r="B1003" t="str">
        <f>TEXT(Tabla24[[#This Row],[Fecha]],"dddd")</f>
        <v>lunes</v>
      </c>
      <c r="C1003" t="str">
        <f>TEXT(Tabla24[[#This Row],[Fecha]],"mmmm")</f>
        <v>noviembre</v>
      </c>
      <c r="D1003" t="str">
        <f>TEXT(Tabla24[[#This Row],[Fecha]],"aaaa")</f>
        <v>2024</v>
      </c>
      <c r="E1003" t="s">
        <v>42</v>
      </c>
      <c r="F1003" t="s">
        <v>12</v>
      </c>
      <c r="G1003" t="s">
        <v>24</v>
      </c>
      <c r="H1003" t="s">
        <v>14</v>
      </c>
      <c r="I1003" t="s">
        <v>40</v>
      </c>
      <c r="J1003">
        <v>7</v>
      </c>
      <c r="K1003">
        <v>54155</v>
      </c>
      <c r="L1003">
        <f>Tabla24[[#This Row],[Precio_Unitario]]*Tabla24[[#This Row],[Unidades_Vendidas]]</f>
        <v>379085</v>
      </c>
      <c r="M1003" t="s">
        <v>36</v>
      </c>
    </row>
    <row r="1004" spans="1:13" x14ac:dyDescent="0.25">
      <c r="A1004" t="s">
        <v>243</v>
      </c>
      <c r="B1004" t="str">
        <f>TEXT(Tabla24[[#This Row],[Fecha]],"dddd")</f>
        <v>lunes</v>
      </c>
      <c r="C1004" t="str">
        <f>TEXT(Tabla24[[#This Row],[Fecha]],"mmmm")</f>
        <v>marzo</v>
      </c>
      <c r="D1004" t="str">
        <f>TEXT(Tabla24[[#This Row],[Fecha]],"aaaa")</f>
        <v>2024</v>
      </c>
      <c r="E1004" t="s">
        <v>42</v>
      </c>
      <c r="F1004" t="s">
        <v>34</v>
      </c>
      <c r="G1004" t="s">
        <v>48</v>
      </c>
      <c r="H1004" t="s">
        <v>25</v>
      </c>
      <c r="I1004" t="s">
        <v>26</v>
      </c>
      <c r="J1004">
        <v>10</v>
      </c>
      <c r="K1004">
        <v>48254</v>
      </c>
      <c r="L1004">
        <f>Tabla24[[#This Row],[Precio_Unitario]]*Tabla24[[#This Row],[Unidades_Vendidas]]</f>
        <v>482540</v>
      </c>
      <c r="M1004" t="s">
        <v>20</v>
      </c>
    </row>
    <row r="1005" spans="1:13" x14ac:dyDescent="0.25">
      <c r="A1005" t="s">
        <v>37</v>
      </c>
      <c r="B1005" t="str">
        <f>TEXT(Tabla24[[#This Row],[Fecha]],"dddd")</f>
        <v>viernes</v>
      </c>
      <c r="C1005" t="str">
        <f>TEXT(Tabla24[[#This Row],[Fecha]],"mmmm")</f>
        <v>noviembre</v>
      </c>
      <c r="D1005" t="str">
        <f>TEXT(Tabla24[[#This Row],[Fecha]],"aaaa")</f>
        <v>2024</v>
      </c>
      <c r="E1005" t="s">
        <v>18</v>
      </c>
      <c r="F1005" t="s">
        <v>23</v>
      </c>
      <c r="G1005" t="s">
        <v>48</v>
      </c>
      <c r="H1005" t="s">
        <v>14</v>
      </c>
      <c r="I1005" t="s">
        <v>40</v>
      </c>
      <c r="J1005">
        <v>20</v>
      </c>
      <c r="K1005">
        <v>43175</v>
      </c>
      <c r="L1005">
        <f>Tabla24[[#This Row],[Precio_Unitario]]*Tabla24[[#This Row],[Unidades_Vendidas]]</f>
        <v>863500</v>
      </c>
      <c r="M1005" t="s">
        <v>27</v>
      </c>
    </row>
    <row r="1006" spans="1:13" x14ac:dyDescent="0.25">
      <c r="A1006" t="s">
        <v>240</v>
      </c>
      <c r="B1006" t="str">
        <f>TEXT(Tabla24[[#This Row],[Fecha]],"dddd")</f>
        <v>lunes</v>
      </c>
      <c r="C1006" t="str">
        <f>TEXT(Tabla24[[#This Row],[Fecha]],"mmmm")</f>
        <v>diciembre</v>
      </c>
      <c r="D1006" t="str">
        <f>TEXT(Tabla24[[#This Row],[Fecha]],"aaaa")</f>
        <v>2024</v>
      </c>
      <c r="E1006" t="s">
        <v>33</v>
      </c>
      <c r="F1006" t="s">
        <v>29</v>
      </c>
      <c r="G1006" t="s">
        <v>39</v>
      </c>
      <c r="H1006" t="s">
        <v>25</v>
      </c>
      <c r="I1006" t="s">
        <v>26</v>
      </c>
      <c r="J1006">
        <v>15</v>
      </c>
      <c r="K1006">
        <v>49444</v>
      </c>
      <c r="L1006">
        <f>Tabla24[[#This Row],[Precio_Unitario]]*Tabla24[[#This Row],[Unidades_Vendidas]]</f>
        <v>741660</v>
      </c>
      <c r="M1006" t="s">
        <v>36</v>
      </c>
    </row>
    <row r="1007" spans="1:13" x14ac:dyDescent="0.25">
      <c r="A1007" t="s">
        <v>211</v>
      </c>
      <c r="B1007" t="str">
        <f>TEXT(Tabla24[[#This Row],[Fecha]],"dddd")</f>
        <v>domingo</v>
      </c>
      <c r="C1007" t="str">
        <f>TEXT(Tabla24[[#This Row],[Fecha]],"mmmm")</f>
        <v>marzo</v>
      </c>
      <c r="D1007" t="str">
        <f>TEXT(Tabla24[[#This Row],[Fecha]],"aaaa")</f>
        <v>2024</v>
      </c>
      <c r="E1007" t="s">
        <v>42</v>
      </c>
      <c r="F1007" t="s">
        <v>23</v>
      </c>
      <c r="G1007" t="s">
        <v>24</v>
      </c>
      <c r="H1007" t="s">
        <v>19</v>
      </c>
      <c r="I1007" t="s">
        <v>26</v>
      </c>
      <c r="J1007">
        <v>16</v>
      </c>
      <c r="K1007">
        <v>42935</v>
      </c>
      <c r="L1007">
        <f>Tabla24[[#This Row],[Precio_Unitario]]*Tabla24[[#This Row],[Unidades_Vendidas]]</f>
        <v>686960</v>
      </c>
      <c r="M1007" t="s">
        <v>36</v>
      </c>
    </row>
    <row r="1008" spans="1:13" x14ac:dyDescent="0.25">
      <c r="A1008" t="s">
        <v>103</v>
      </c>
      <c r="B1008" t="str">
        <f>TEXT(Tabla24[[#This Row],[Fecha]],"dddd")</f>
        <v>martes</v>
      </c>
      <c r="C1008" t="str">
        <f>TEXT(Tabla24[[#This Row],[Fecha]],"mmmm")</f>
        <v>febrero</v>
      </c>
      <c r="D1008" t="str">
        <f>TEXT(Tabla24[[#This Row],[Fecha]],"aaaa")</f>
        <v>2024</v>
      </c>
      <c r="E1008" t="s">
        <v>42</v>
      </c>
      <c r="F1008" t="s">
        <v>23</v>
      </c>
      <c r="G1008" t="s">
        <v>13</v>
      </c>
      <c r="H1008" t="s">
        <v>35</v>
      </c>
      <c r="I1008" t="s">
        <v>40</v>
      </c>
      <c r="J1008">
        <v>16</v>
      </c>
      <c r="K1008">
        <v>55433</v>
      </c>
      <c r="L1008">
        <f>Tabla24[[#This Row],[Precio_Unitario]]*Tabla24[[#This Row],[Unidades_Vendidas]]</f>
        <v>886928</v>
      </c>
      <c r="M1008" t="s">
        <v>36</v>
      </c>
    </row>
    <row r="1009" spans="1:13" x14ac:dyDescent="0.25">
      <c r="A1009" t="s">
        <v>181</v>
      </c>
      <c r="B1009" t="str">
        <f>TEXT(Tabla24[[#This Row],[Fecha]],"dddd")</f>
        <v>viernes</v>
      </c>
      <c r="C1009" t="str">
        <f>TEXT(Tabla24[[#This Row],[Fecha]],"mmmm")</f>
        <v>agosto</v>
      </c>
      <c r="D1009" t="str">
        <f>TEXT(Tabla24[[#This Row],[Fecha]],"aaaa")</f>
        <v>2024</v>
      </c>
      <c r="E1009" t="s">
        <v>33</v>
      </c>
      <c r="F1009" t="s">
        <v>23</v>
      </c>
      <c r="G1009" t="s">
        <v>39</v>
      </c>
      <c r="H1009" t="s">
        <v>14</v>
      </c>
      <c r="I1009" t="s">
        <v>40</v>
      </c>
      <c r="J1009">
        <v>3</v>
      </c>
      <c r="K1009">
        <v>17925</v>
      </c>
      <c r="L1009">
        <f>Tabla24[[#This Row],[Precio_Unitario]]*Tabla24[[#This Row],[Unidades_Vendidas]]</f>
        <v>53775</v>
      </c>
      <c r="M1009" t="s">
        <v>36</v>
      </c>
    </row>
    <row r="1010" spans="1:13" x14ac:dyDescent="0.25">
      <c r="A1010" t="s">
        <v>182</v>
      </c>
      <c r="B1010" t="str">
        <f>TEXT(Tabla24[[#This Row],[Fecha]],"dddd")</f>
        <v>martes</v>
      </c>
      <c r="C1010" t="str">
        <f>TEXT(Tabla24[[#This Row],[Fecha]],"mmmm")</f>
        <v>diciembre</v>
      </c>
      <c r="D1010" t="str">
        <f>TEXT(Tabla24[[#This Row],[Fecha]],"aaaa")</f>
        <v>2024</v>
      </c>
      <c r="E1010" t="s">
        <v>42</v>
      </c>
      <c r="F1010" t="s">
        <v>34</v>
      </c>
      <c r="G1010" t="s">
        <v>13</v>
      </c>
      <c r="H1010" t="s">
        <v>25</v>
      </c>
      <c r="I1010" t="s">
        <v>26</v>
      </c>
      <c r="J1010">
        <v>6</v>
      </c>
      <c r="K1010">
        <v>18406</v>
      </c>
      <c r="L1010">
        <f>Tabla24[[#This Row],[Precio_Unitario]]*Tabla24[[#This Row],[Unidades_Vendidas]]</f>
        <v>110436</v>
      </c>
      <c r="M1010" t="s">
        <v>20</v>
      </c>
    </row>
    <row r="1011" spans="1:13" x14ac:dyDescent="0.25">
      <c r="A1011" t="s">
        <v>282</v>
      </c>
      <c r="B1011" t="str">
        <f>TEXT(Tabla24[[#This Row],[Fecha]],"dddd")</f>
        <v>domingo</v>
      </c>
      <c r="C1011" t="str">
        <f>TEXT(Tabla24[[#This Row],[Fecha]],"mmmm")</f>
        <v>junio</v>
      </c>
      <c r="D1011" t="str">
        <f>TEXT(Tabla24[[#This Row],[Fecha]],"aaaa")</f>
        <v>2024</v>
      </c>
      <c r="E1011" t="s">
        <v>22</v>
      </c>
      <c r="F1011" t="s">
        <v>23</v>
      </c>
      <c r="G1011" t="s">
        <v>24</v>
      </c>
      <c r="H1011" t="s">
        <v>25</v>
      </c>
      <c r="I1011" t="s">
        <v>15</v>
      </c>
      <c r="J1011">
        <v>1</v>
      </c>
      <c r="K1011">
        <v>21961</v>
      </c>
      <c r="L1011">
        <f>Tabla24[[#This Row],[Precio_Unitario]]*Tabla24[[#This Row],[Unidades_Vendidas]]</f>
        <v>21961</v>
      </c>
      <c r="M1011" t="s">
        <v>27</v>
      </c>
    </row>
    <row r="1012" spans="1:13" x14ac:dyDescent="0.25">
      <c r="A1012" t="s">
        <v>80</v>
      </c>
      <c r="B1012" t="str">
        <f>TEXT(Tabla24[[#This Row],[Fecha]],"dddd")</f>
        <v>miércoles</v>
      </c>
      <c r="C1012" t="str">
        <f>TEXT(Tabla24[[#This Row],[Fecha]],"mmmm")</f>
        <v>mayo</v>
      </c>
      <c r="D1012" t="str">
        <f>TEXT(Tabla24[[#This Row],[Fecha]],"aaaa")</f>
        <v>2024</v>
      </c>
      <c r="E1012" t="s">
        <v>42</v>
      </c>
      <c r="F1012" t="s">
        <v>23</v>
      </c>
      <c r="G1012" t="s">
        <v>48</v>
      </c>
      <c r="H1012" t="s">
        <v>30</v>
      </c>
      <c r="I1012" t="s">
        <v>40</v>
      </c>
      <c r="J1012">
        <v>11</v>
      </c>
      <c r="K1012">
        <v>21318</v>
      </c>
      <c r="L1012">
        <f>Tabla24[[#This Row],[Precio_Unitario]]*Tabla24[[#This Row],[Unidades_Vendidas]]</f>
        <v>234498</v>
      </c>
      <c r="M1012" t="s">
        <v>27</v>
      </c>
    </row>
    <row r="1013" spans="1:13" x14ac:dyDescent="0.25">
      <c r="A1013" t="s">
        <v>150</v>
      </c>
      <c r="B1013" t="str">
        <f>TEXT(Tabla24[[#This Row],[Fecha]],"dddd")</f>
        <v>sábado</v>
      </c>
      <c r="C1013" t="str">
        <f>TEXT(Tabla24[[#This Row],[Fecha]],"mmmm")</f>
        <v>agosto</v>
      </c>
      <c r="D1013" t="str">
        <f>TEXT(Tabla24[[#This Row],[Fecha]],"aaaa")</f>
        <v>2024</v>
      </c>
      <c r="E1013" t="s">
        <v>42</v>
      </c>
      <c r="F1013" t="s">
        <v>23</v>
      </c>
      <c r="G1013" t="s">
        <v>13</v>
      </c>
      <c r="H1013" t="s">
        <v>25</v>
      </c>
      <c r="I1013" t="s">
        <v>26</v>
      </c>
      <c r="J1013">
        <v>10</v>
      </c>
      <c r="K1013">
        <v>25532</v>
      </c>
      <c r="L1013">
        <f>Tabla24[[#This Row],[Precio_Unitario]]*Tabla24[[#This Row],[Unidades_Vendidas]]</f>
        <v>255320</v>
      </c>
      <c r="M1013" t="s">
        <v>27</v>
      </c>
    </row>
    <row r="1014" spans="1:13" x14ac:dyDescent="0.25">
      <c r="A1014" t="s">
        <v>60</v>
      </c>
      <c r="B1014" t="str">
        <f>TEXT(Tabla24[[#This Row],[Fecha]],"dddd")</f>
        <v>lunes</v>
      </c>
      <c r="C1014" t="str">
        <f>TEXT(Tabla24[[#This Row],[Fecha]],"mmmm")</f>
        <v>junio</v>
      </c>
      <c r="D1014" t="str">
        <f>TEXT(Tabla24[[#This Row],[Fecha]],"aaaa")</f>
        <v>2024</v>
      </c>
      <c r="E1014" t="s">
        <v>22</v>
      </c>
      <c r="F1014" t="s">
        <v>38</v>
      </c>
      <c r="G1014" t="s">
        <v>24</v>
      </c>
      <c r="H1014" t="s">
        <v>35</v>
      </c>
      <c r="I1014" t="s">
        <v>26</v>
      </c>
      <c r="J1014">
        <v>13</v>
      </c>
      <c r="K1014">
        <v>53147</v>
      </c>
      <c r="L1014">
        <f>Tabla24[[#This Row],[Precio_Unitario]]*Tabla24[[#This Row],[Unidades_Vendidas]]</f>
        <v>690911</v>
      </c>
      <c r="M1014" t="s">
        <v>27</v>
      </c>
    </row>
    <row r="1015" spans="1:13" x14ac:dyDescent="0.25">
      <c r="A1015" t="s">
        <v>346</v>
      </c>
      <c r="B1015" t="str">
        <f>TEXT(Tabla24[[#This Row],[Fecha]],"dddd")</f>
        <v>domingo</v>
      </c>
      <c r="C1015" t="str">
        <f>TEXT(Tabla24[[#This Row],[Fecha]],"mmmm")</f>
        <v>septiembre</v>
      </c>
      <c r="D1015" t="str">
        <f>TEXT(Tabla24[[#This Row],[Fecha]],"aaaa")</f>
        <v>2024</v>
      </c>
      <c r="E1015" t="s">
        <v>22</v>
      </c>
      <c r="F1015" t="s">
        <v>23</v>
      </c>
      <c r="G1015" t="s">
        <v>39</v>
      </c>
      <c r="H1015" t="s">
        <v>14</v>
      </c>
      <c r="I1015" t="s">
        <v>15</v>
      </c>
      <c r="J1015">
        <v>11</v>
      </c>
      <c r="K1015">
        <v>44104</v>
      </c>
      <c r="L1015">
        <f>Tabla24[[#This Row],[Precio_Unitario]]*Tabla24[[#This Row],[Unidades_Vendidas]]</f>
        <v>485144</v>
      </c>
      <c r="M1015" t="s">
        <v>27</v>
      </c>
    </row>
    <row r="1016" spans="1:13" x14ac:dyDescent="0.25">
      <c r="A1016" t="s">
        <v>168</v>
      </c>
      <c r="B1016" t="str">
        <f>TEXT(Tabla24[[#This Row],[Fecha]],"dddd")</f>
        <v>martes</v>
      </c>
      <c r="C1016" t="str">
        <f>TEXT(Tabla24[[#This Row],[Fecha]],"mmmm")</f>
        <v>enero</v>
      </c>
      <c r="D1016" t="str">
        <f>TEXT(Tabla24[[#This Row],[Fecha]],"aaaa")</f>
        <v>2024</v>
      </c>
      <c r="E1016" t="s">
        <v>33</v>
      </c>
      <c r="F1016" t="s">
        <v>34</v>
      </c>
      <c r="G1016" t="s">
        <v>13</v>
      </c>
      <c r="H1016" t="s">
        <v>30</v>
      </c>
      <c r="I1016" t="s">
        <v>26</v>
      </c>
      <c r="J1016">
        <v>1</v>
      </c>
      <c r="K1016">
        <v>47358</v>
      </c>
      <c r="L1016">
        <f>Tabla24[[#This Row],[Precio_Unitario]]*Tabla24[[#This Row],[Unidades_Vendidas]]</f>
        <v>47358</v>
      </c>
      <c r="M1016" t="s">
        <v>36</v>
      </c>
    </row>
    <row r="1017" spans="1:13" x14ac:dyDescent="0.25">
      <c r="A1017" t="s">
        <v>293</v>
      </c>
      <c r="B1017" t="str">
        <f>TEXT(Tabla24[[#This Row],[Fecha]],"dddd")</f>
        <v>jueves</v>
      </c>
      <c r="C1017" t="str">
        <f>TEXT(Tabla24[[#This Row],[Fecha]],"mmmm")</f>
        <v>mayo</v>
      </c>
      <c r="D1017" t="str">
        <f>TEXT(Tabla24[[#This Row],[Fecha]],"aaaa")</f>
        <v>2024</v>
      </c>
      <c r="E1017" t="s">
        <v>22</v>
      </c>
      <c r="F1017" t="s">
        <v>34</v>
      </c>
      <c r="G1017" t="s">
        <v>44</v>
      </c>
      <c r="H1017" t="s">
        <v>14</v>
      </c>
      <c r="I1017" t="s">
        <v>26</v>
      </c>
      <c r="J1017">
        <v>18</v>
      </c>
      <c r="K1017">
        <v>37818</v>
      </c>
      <c r="L1017">
        <f>Tabla24[[#This Row],[Precio_Unitario]]*Tabla24[[#This Row],[Unidades_Vendidas]]</f>
        <v>680724</v>
      </c>
      <c r="M1017" t="s">
        <v>20</v>
      </c>
    </row>
    <row r="1018" spans="1:13" x14ac:dyDescent="0.25">
      <c r="A1018" t="s">
        <v>196</v>
      </c>
      <c r="B1018" t="str">
        <f>TEXT(Tabla24[[#This Row],[Fecha]],"dddd")</f>
        <v>lunes</v>
      </c>
      <c r="C1018" t="str">
        <f>TEXT(Tabla24[[#This Row],[Fecha]],"mmmm")</f>
        <v>junio</v>
      </c>
      <c r="D1018" t="str">
        <f>TEXT(Tabla24[[#This Row],[Fecha]],"aaaa")</f>
        <v>2024</v>
      </c>
      <c r="E1018" t="s">
        <v>22</v>
      </c>
      <c r="F1018" t="s">
        <v>23</v>
      </c>
      <c r="G1018" t="s">
        <v>44</v>
      </c>
      <c r="H1018" t="s">
        <v>25</v>
      </c>
      <c r="I1018" t="s">
        <v>26</v>
      </c>
      <c r="J1018">
        <v>8</v>
      </c>
      <c r="K1018">
        <v>34758</v>
      </c>
      <c r="L1018">
        <f>Tabla24[[#This Row],[Precio_Unitario]]*Tabla24[[#This Row],[Unidades_Vendidas]]</f>
        <v>278064</v>
      </c>
      <c r="M1018" t="s">
        <v>27</v>
      </c>
    </row>
    <row r="1019" spans="1:13" x14ac:dyDescent="0.25">
      <c r="A1019" t="s">
        <v>345</v>
      </c>
      <c r="B1019" t="str">
        <f>TEXT(Tabla24[[#This Row],[Fecha]],"dddd")</f>
        <v>domingo</v>
      </c>
      <c r="C1019" t="str">
        <f>TEXT(Tabla24[[#This Row],[Fecha]],"mmmm")</f>
        <v>septiembre</v>
      </c>
      <c r="D1019" t="str">
        <f>TEXT(Tabla24[[#This Row],[Fecha]],"aaaa")</f>
        <v>2024</v>
      </c>
      <c r="E1019" t="s">
        <v>18</v>
      </c>
      <c r="F1019" t="s">
        <v>12</v>
      </c>
      <c r="G1019" t="s">
        <v>13</v>
      </c>
      <c r="H1019" t="s">
        <v>14</v>
      </c>
      <c r="I1019" t="s">
        <v>26</v>
      </c>
      <c r="J1019">
        <v>19</v>
      </c>
      <c r="K1019">
        <v>32944</v>
      </c>
      <c r="L1019">
        <f>Tabla24[[#This Row],[Precio_Unitario]]*Tabla24[[#This Row],[Unidades_Vendidas]]</f>
        <v>625936</v>
      </c>
      <c r="M1019" t="s">
        <v>27</v>
      </c>
    </row>
    <row r="1020" spans="1:13" x14ac:dyDescent="0.25">
      <c r="A1020" t="s">
        <v>117</v>
      </c>
      <c r="B1020" t="str">
        <f>TEXT(Tabla24[[#This Row],[Fecha]],"dddd")</f>
        <v>domingo</v>
      </c>
      <c r="C1020" t="str">
        <f>TEXT(Tabla24[[#This Row],[Fecha]],"mmmm")</f>
        <v>enero</v>
      </c>
      <c r="D1020" t="str">
        <f>TEXT(Tabla24[[#This Row],[Fecha]],"aaaa")</f>
        <v>2024</v>
      </c>
      <c r="E1020" t="s">
        <v>33</v>
      </c>
      <c r="F1020" t="s">
        <v>34</v>
      </c>
      <c r="G1020" t="s">
        <v>39</v>
      </c>
      <c r="H1020" t="s">
        <v>35</v>
      </c>
      <c r="I1020" t="s">
        <v>15</v>
      </c>
      <c r="J1020">
        <v>15</v>
      </c>
      <c r="K1020">
        <v>30118</v>
      </c>
      <c r="L1020">
        <f>Tabla24[[#This Row],[Precio_Unitario]]*Tabla24[[#This Row],[Unidades_Vendidas]]</f>
        <v>451770</v>
      </c>
      <c r="M1020" t="s">
        <v>36</v>
      </c>
    </row>
    <row r="1021" spans="1:13" x14ac:dyDescent="0.25">
      <c r="A1021" t="s">
        <v>358</v>
      </c>
      <c r="B1021" t="str">
        <f>TEXT(Tabla24[[#This Row],[Fecha]],"dddd")</f>
        <v>martes</v>
      </c>
      <c r="C1021" t="str">
        <f>TEXT(Tabla24[[#This Row],[Fecha]],"mmmm")</f>
        <v>octubre</v>
      </c>
      <c r="D1021" t="str">
        <f>TEXT(Tabla24[[#This Row],[Fecha]],"aaaa")</f>
        <v>2024</v>
      </c>
      <c r="E1021" t="s">
        <v>18</v>
      </c>
      <c r="F1021" t="s">
        <v>23</v>
      </c>
      <c r="G1021" t="s">
        <v>48</v>
      </c>
      <c r="H1021" t="s">
        <v>30</v>
      </c>
      <c r="I1021" t="s">
        <v>26</v>
      </c>
      <c r="J1021">
        <v>6</v>
      </c>
      <c r="K1021">
        <v>53102</v>
      </c>
      <c r="L1021">
        <f>Tabla24[[#This Row],[Precio_Unitario]]*Tabla24[[#This Row],[Unidades_Vendidas]]</f>
        <v>318612</v>
      </c>
      <c r="M1021" t="s">
        <v>36</v>
      </c>
    </row>
    <row r="1022" spans="1:13" x14ac:dyDescent="0.25">
      <c r="A1022" t="s">
        <v>323</v>
      </c>
      <c r="B1022" t="str">
        <f>TEXT(Tabla24[[#This Row],[Fecha]],"dddd")</f>
        <v>domingo</v>
      </c>
      <c r="C1022" t="str">
        <f>TEXT(Tabla24[[#This Row],[Fecha]],"mmmm")</f>
        <v>julio</v>
      </c>
      <c r="D1022" t="str">
        <f>TEXT(Tabla24[[#This Row],[Fecha]],"aaaa")</f>
        <v>2024</v>
      </c>
      <c r="E1022" t="s">
        <v>42</v>
      </c>
      <c r="F1022" t="s">
        <v>38</v>
      </c>
      <c r="G1022" t="s">
        <v>44</v>
      </c>
      <c r="H1022" t="s">
        <v>14</v>
      </c>
      <c r="I1022" t="s">
        <v>15</v>
      </c>
      <c r="J1022">
        <v>20</v>
      </c>
      <c r="K1022">
        <v>17524</v>
      </c>
      <c r="L1022">
        <f>Tabla24[[#This Row],[Precio_Unitario]]*Tabla24[[#This Row],[Unidades_Vendidas]]</f>
        <v>350480</v>
      </c>
      <c r="M1022" t="s">
        <v>16</v>
      </c>
    </row>
    <row r="1023" spans="1:13" x14ac:dyDescent="0.25">
      <c r="A1023" t="s">
        <v>355</v>
      </c>
      <c r="B1023" t="str">
        <f>TEXT(Tabla24[[#This Row],[Fecha]],"dddd")</f>
        <v>miércoles</v>
      </c>
      <c r="C1023" t="str">
        <f>TEXT(Tabla24[[#This Row],[Fecha]],"mmmm")</f>
        <v>septiembre</v>
      </c>
      <c r="D1023" t="str">
        <f>TEXT(Tabla24[[#This Row],[Fecha]],"aaaa")</f>
        <v>2024</v>
      </c>
      <c r="E1023" t="s">
        <v>33</v>
      </c>
      <c r="F1023" t="s">
        <v>38</v>
      </c>
      <c r="G1023" t="s">
        <v>44</v>
      </c>
      <c r="H1023" t="s">
        <v>19</v>
      </c>
      <c r="I1023" t="s">
        <v>26</v>
      </c>
      <c r="J1023">
        <v>12</v>
      </c>
      <c r="K1023">
        <v>19449</v>
      </c>
      <c r="L1023">
        <f>Tabla24[[#This Row],[Precio_Unitario]]*Tabla24[[#This Row],[Unidades_Vendidas]]</f>
        <v>233388</v>
      </c>
      <c r="M1023" t="s">
        <v>36</v>
      </c>
    </row>
    <row r="1024" spans="1:13" x14ac:dyDescent="0.25">
      <c r="A1024" t="s">
        <v>375</v>
      </c>
      <c r="B1024" t="str">
        <f>TEXT(Tabla24[[#This Row],[Fecha]],"dddd")</f>
        <v>lunes</v>
      </c>
      <c r="C1024" t="str">
        <f>TEXT(Tabla24[[#This Row],[Fecha]],"mmmm")</f>
        <v>septiembre</v>
      </c>
      <c r="D1024" t="str">
        <f>TEXT(Tabla24[[#This Row],[Fecha]],"aaaa")</f>
        <v>2024</v>
      </c>
      <c r="E1024" t="s">
        <v>18</v>
      </c>
      <c r="F1024" t="s">
        <v>34</v>
      </c>
      <c r="G1024" t="s">
        <v>48</v>
      </c>
      <c r="H1024" t="s">
        <v>30</v>
      </c>
      <c r="I1024" t="s">
        <v>26</v>
      </c>
      <c r="J1024">
        <v>14</v>
      </c>
      <c r="K1024">
        <v>42700</v>
      </c>
      <c r="L1024">
        <f>Tabla24[[#This Row],[Precio_Unitario]]*Tabla24[[#This Row],[Unidades_Vendidas]]</f>
        <v>597800</v>
      </c>
      <c r="M1024" t="s">
        <v>16</v>
      </c>
    </row>
    <row r="1025" spans="1:13" x14ac:dyDescent="0.25">
      <c r="A1025" t="s">
        <v>301</v>
      </c>
      <c r="B1025" t="str">
        <f>TEXT(Tabla24[[#This Row],[Fecha]],"dddd")</f>
        <v>lunes</v>
      </c>
      <c r="C1025" t="str">
        <f>TEXT(Tabla24[[#This Row],[Fecha]],"mmmm")</f>
        <v>octubre</v>
      </c>
      <c r="D1025" t="str">
        <f>TEXT(Tabla24[[#This Row],[Fecha]],"aaaa")</f>
        <v>2024</v>
      </c>
      <c r="E1025" t="s">
        <v>33</v>
      </c>
      <c r="F1025" t="s">
        <v>12</v>
      </c>
      <c r="G1025" t="s">
        <v>48</v>
      </c>
      <c r="H1025" t="s">
        <v>30</v>
      </c>
      <c r="I1025" t="s">
        <v>26</v>
      </c>
      <c r="J1025">
        <v>16</v>
      </c>
      <c r="K1025">
        <v>51025</v>
      </c>
      <c r="L1025">
        <f>Tabla24[[#This Row],[Precio_Unitario]]*Tabla24[[#This Row],[Unidades_Vendidas]]</f>
        <v>816400</v>
      </c>
      <c r="M1025" t="s">
        <v>16</v>
      </c>
    </row>
    <row r="1026" spans="1:13" x14ac:dyDescent="0.25">
      <c r="A1026" t="s">
        <v>222</v>
      </c>
      <c r="B1026" t="str">
        <f>TEXT(Tabla24[[#This Row],[Fecha]],"dddd")</f>
        <v>sábado</v>
      </c>
      <c r="C1026" t="str">
        <f>TEXT(Tabla24[[#This Row],[Fecha]],"mmmm")</f>
        <v>febrero</v>
      </c>
      <c r="D1026" t="str">
        <f>TEXT(Tabla24[[#This Row],[Fecha]],"aaaa")</f>
        <v>2024</v>
      </c>
      <c r="E1026" t="s">
        <v>22</v>
      </c>
      <c r="F1026" t="s">
        <v>12</v>
      </c>
      <c r="G1026" t="s">
        <v>13</v>
      </c>
      <c r="H1026" t="s">
        <v>30</v>
      </c>
      <c r="I1026" t="s">
        <v>40</v>
      </c>
      <c r="J1026">
        <v>18</v>
      </c>
      <c r="K1026">
        <v>25963</v>
      </c>
      <c r="L1026">
        <f>Tabla24[[#This Row],[Precio_Unitario]]*Tabla24[[#This Row],[Unidades_Vendidas]]</f>
        <v>467334</v>
      </c>
      <c r="M1026" t="s">
        <v>20</v>
      </c>
    </row>
    <row r="1027" spans="1:13" x14ac:dyDescent="0.25">
      <c r="A1027" t="s">
        <v>262</v>
      </c>
      <c r="B1027" t="str">
        <f>TEXT(Tabla24[[#This Row],[Fecha]],"dddd")</f>
        <v>viernes</v>
      </c>
      <c r="C1027" t="str">
        <f>TEXT(Tabla24[[#This Row],[Fecha]],"mmmm")</f>
        <v>enero</v>
      </c>
      <c r="D1027" t="str">
        <f>TEXT(Tabla24[[#This Row],[Fecha]],"aaaa")</f>
        <v>2024</v>
      </c>
      <c r="E1027" t="s">
        <v>22</v>
      </c>
      <c r="F1027" t="s">
        <v>38</v>
      </c>
      <c r="G1027" t="s">
        <v>24</v>
      </c>
      <c r="H1027" t="s">
        <v>19</v>
      </c>
      <c r="I1027" t="s">
        <v>26</v>
      </c>
      <c r="J1027">
        <v>13</v>
      </c>
      <c r="K1027">
        <v>24910</v>
      </c>
      <c r="L1027">
        <f>Tabla24[[#This Row],[Precio_Unitario]]*Tabla24[[#This Row],[Unidades_Vendidas]]</f>
        <v>323830</v>
      </c>
      <c r="M1027" t="s">
        <v>16</v>
      </c>
    </row>
    <row r="1028" spans="1:13" x14ac:dyDescent="0.25">
      <c r="A1028" t="s">
        <v>323</v>
      </c>
      <c r="B1028" t="str">
        <f>TEXT(Tabla24[[#This Row],[Fecha]],"dddd")</f>
        <v>domingo</v>
      </c>
      <c r="C1028" t="str">
        <f>TEXT(Tabla24[[#This Row],[Fecha]],"mmmm")</f>
        <v>julio</v>
      </c>
      <c r="D1028" t="str">
        <f>TEXT(Tabla24[[#This Row],[Fecha]],"aaaa")</f>
        <v>2024</v>
      </c>
      <c r="E1028" t="s">
        <v>11</v>
      </c>
      <c r="F1028" t="s">
        <v>23</v>
      </c>
      <c r="G1028" t="s">
        <v>39</v>
      </c>
      <c r="H1028" t="s">
        <v>14</v>
      </c>
      <c r="I1028" t="s">
        <v>40</v>
      </c>
      <c r="J1028">
        <v>3</v>
      </c>
      <c r="K1028">
        <v>51375</v>
      </c>
      <c r="L1028">
        <f>Tabla24[[#This Row],[Precio_Unitario]]*Tabla24[[#This Row],[Unidades_Vendidas]]</f>
        <v>154125</v>
      </c>
      <c r="M1028" t="s">
        <v>27</v>
      </c>
    </row>
    <row r="1029" spans="1:13" x14ac:dyDescent="0.25">
      <c r="A1029" t="s">
        <v>218</v>
      </c>
      <c r="B1029" t="str">
        <f>TEXT(Tabla24[[#This Row],[Fecha]],"dddd")</f>
        <v>lunes</v>
      </c>
      <c r="C1029" t="str">
        <f>TEXT(Tabla24[[#This Row],[Fecha]],"mmmm")</f>
        <v>marzo</v>
      </c>
      <c r="D1029" t="str">
        <f>TEXT(Tabla24[[#This Row],[Fecha]],"aaaa")</f>
        <v>2024</v>
      </c>
      <c r="E1029" t="s">
        <v>22</v>
      </c>
      <c r="F1029" t="s">
        <v>23</v>
      </c>
      <c r="G1029" t="s">
        <v>48</v>
      </c>
      <c r="H1029" t="s">
        <v>19</v>
      </c>
      <c r="I1029" t="s">
        <v>40</v>
      </c>
      <c r="J1029">
        <v>16</v>
      </c>
      <c r="K1029">
        <v>15349</v>
      </c>
      <c r="L1029">
        <f>Tabla24[[#This Row],[Precio_Unitario]]*Tabla24[[#This Row],[Unidades_Vendidas]]</f>
        <v>245584</v>
      </c>
      <c r="M1029" t="s">
        <v>27</v>
      </c>
    </row>
    <row r="1030" spans="1:13" x14ac:dyDescent="0.25">
      <c r="A1030" t="s">
        <v>250</v>
      </c>
      <c r="B1030" t="str">
        <f>TEXT(Tabla24[[#This Row],[Fecha]],"dddd")</f>
        <v>martes</v>
      </c>
      <c r="C1030" t="str">
        <f>TEXT(Tabla24[[#This Row],[Fecha]],"mmmm")</f>
        <v>octubre</v>
      </c>
      <c r="D1030" t="str">
        <f>TEXT(Tabla24[[#This Row],[Fecha]],"aaaa")</f>
        <v>2024</v>
      </c>
      <c r="E1030" t="s">
        <v>18</v>
      </c>
      <c r="F1030" t="s">
        <v>12</v>
      </c>
      <c r="G1030" t="s">
        <v>44</v>
      </c>
      <c r="H1030" t="s">
        <v>30</v>
      </c>
      <c r="I1030" t="s">
        <v>40</v>
      </c>
      <c r="J1030">
        <v>3</v>
      </c>
      <c r="K1030">
        <v>54646</v>
      </c>
      <c r="L1030">
        <f>Tabla24[[#This Row],[Precio_Unitario]]*Tabla24[[#This Row],[Unidades_Vendidas]]</f>
        <v>163938</v>
      </c>
      <c r="M1030" t="s">
        <v>36</v>
      </c>
    </row>
    <row r="1031" spans="1:13" x14ac:dyDescent="0.25">
      <c r="A1031" t="s">
        <v>342</v>
      </c>
      <c r="B1031" t="str">
        <f>TEXT(Tabla24[[#This Row],[Fecha]],"dddd")</f>
        <v>viernes</v>
      </c>
      <c r="C1031" t="str">
        <f>TEXT(Tabla24[[#This Row],[Fecha]],"mmmm")</f>
        <v>julio</v>
      </c>
      <c r="D1031" t="str">
        <f>TEXT(Tabla24[[#This Row],[Fecha]],"aaaa")</f>
        <v>2024</v>
      </c>
      <c r="E1031" t="s">
        <v>18</v>
      </c>
      <c r="F1031" t="s">
        <v>12</v>
      </c>
      <c r="G1031" t="s">
        <v>13</v>
      </c>
      <c r="H1031" t="s">
        <v>30</v>
      </c>
      <c r="I1031" t="s">
        <v>26</v>
      </c>
      <c r="J1031">
        <v>2</v>
      </c>
      <c r="K1031">
        <v>55961</v>
      </c>
      <c r="L1031">
        <f>Tabla24[[#This Row],[Precio_Unitario]]*Tabla24[[#This Row],[Unidades_Vendidas]]</f>
        <v>111922</v>
      </c>
      <c r="M1031" t="s">
        <v>20</v>
      </c>
    </row>
    <row r="1032" spans="1:13" x14ac:dyDescent="0.25">
      <c r="A1032" t="s">
        <v>335</v>
      </c>
      <c r="B1032" t="str">
        <f>TEXT(Tabla24[[#This Row],[Fecha]],"dddd")</f>
        <v>miércoles</v>
      </c>
      <c r="C1032" t="str">
        <f>TEXT(Tabla24[[#This Row],[Fecha]],"mmmm")</f>
        <v>mayo</v>
      </c>
      <c r="D1032" t="str">
        <f>TEXT(Tabla24[[#This Row],[Fecha]],"aaaa")</f>
        <v>2024</v>
      </c>
      <c r="E1032" t="s">
        <v>18</v>
      </c>
      <c r="F1032" t="s">
        <v>34</v>
      </c>
      <c r="G1032" t="s">
        <v>48</v>
      </c>
      <c r="H1032" t="s">
        <v>35</v>
      </c>
      <c r="I1032" t="s">
        <v>15</v>
      </c>
      <c r="J1032">
        <v>7</v>
      </c>
      <c r="K1032">
        <v>51559</v>
      </c>
      <c r="L1032">
        <f>Tabla24[[#This Row],[Precio_Unitario]]*Tabla24[[#This Row],[Unidades_Vendidas]]</f>
        <v>360913</v>
      </c>
      <c r="M1032" t="s">
        <v>27</v>
      </c>
    </row>
    <row r="1033" spans="1:13" x14ac:dyDescent="0.25">
      <c r="A1033" t="s">
        <v>376</v>
      </c>
      <c r="B1033" t="str">
        <f>TEXT(Tabla24[[#This Row],[Fecha]],"dddd")</f>
        <v>miércoles</v>
      </c>
      <c r="C1033" t="str">
        <f>TEXT(Tabla24[[#This Row],[Fecha]],"mmmm")</f>
        <v>enero</v>
      </c>
      <c r="D1033" t="str">
        <f>TEXT(Tabla24[[#This Row],[Fecha]],"aaaa")</f>
        <v>2024</v>
      </c>
      <c r="E1033" t="s">
        <v>22</v>
      </c>
      <c r="F1033" t="s">
        <v>23</v>
      </c>
      <c r="G1033" t="s">
        <v>48</v>
      </c>
      <c r="H1033" t="s">
        <v>35</v>
      </c>
      <c r="I1033" t="s">
        <v>15</v>
      </c>
      <c r="J1033">
        <v>16</v>
      </c>
      <c r="K1033">
        <v>37007</v>
      </c>
      <c r="L1033">
        <f>Tabla24[[#This Row],[Precio_Unitario]]*Tabla24[[#This Row],[Unidades_Vendidas]]</f>
        <v>592112</v>
      </c>
      <c r="M1033" t="s">
        <v>27</v>
      </c>
    </row>
    <row r="1034" spans="1:13" x14ac:dyDescent="0.25">
      <c r="A1034" t="s">
        <v>214</v>
      </c>
      <c r="B1034" t="str">
        <f>TEXT(Tabla24[[#This Row],[Fecha]],"dddd")</f>
        <v>lunes</v>
      </c>
      <c r="C1034" t="str">
        <f>TEXT(Tabla24[[#This Row],[Fecha]],"mmmm")</f>
        <v>noviembre</v>
      </c>
      <c r="D1034" t="str">
        <f>TEXT(Tabla24[[#This Row],[Fecha]],"aaaa")</f>
        <v>2024</v>
      </c>
      <c r="E1034" t="s">
        <v>22</v>
      </c>
      <c r="F1034" t="s">
        <v>34</v>
      </c>
      <c r="G1034" t="s">
        <v>24</v>
      </c>
      <c r="H1034" t="s">
        <v>35</v>
      </c>
      <c r="I1034" t="s">
        <v>26</v>
      </c>
      <c r="J1034">
        <v>18</v>
      </c>
      <c r="K1034">
        <v>54676</v>
      </c>
      <c r="L1034">
        <f>Tabla24[[#This Row],[Precio_Unitario]]*Tabla24[[#This Row],[Unidades_Vendidas]]</f>
        <v>984168</v>
      </c>
      <c r="M1034" t="s">
        <v>36</v>
      </c>
    </row>
    <row r="1035" spans="1:13" x14ac:dyDescent="0.25">
      <c r="A1035" t="s">
        <v>186</v>
      </c>
      <c r="B1035" t="str">
        <f>TEXT(Tabla24[[#This Row],[Fecha]],"dddd")</f>
        <v>jueves</v>
      </c>
      <c r="C1035" t="str">
        <f>TEXT(Tabla24[[#This Row],[Fecha]],"mmmm")</f>
        <v>marzo</v>
      </c>
      <c r="D1035" t="str">
        <f>TEXT(Tabla24[[#This Row],[Fecha]],"aaaa")</f>
        <v>2024</v>
      </c>
      <c r="E1035" t="s">
        <v>33</v>
      </c>
      <c r="F1035" t="s">
        <v>12</v>
      </c>
      <c r="G1035" t="s">
        <v>48</v>
      </c>
      <c r="H1035" t="s">
        <v>14</v>
      </c>
      <c r="I1035" t="s">
        <v>40</v>
      </c>
      <c r="J1035">
        <v>12</v>
      </c>
      <c r="K1035">
        <v>23505</v>
      </c>
      <c r="L1035">
        <f>Tabla24[[#This Row],[Precio_Unitario]]*Tabla24[[#This Row],[Unidades_Vendidas]]</f>
        <v>282060</v>
      </c>
      <c r="M1035" t="s">
        <v>20</v>
      </c>
    </row>
    <row r="1036" spans="1:13" x14ac:dyDescent="0.25">
      <c r="A1036" t="s">
        <v>79</v>
      </c>
      <c r="B1036" t="str">
        <f>TEXT(Tabla24[[#This Row],[Fecha]],"dddd")</f>
        <v>lunes</v>
      </c>
      <c r="C1036" t="str">
        <f>TEXT(Tabla24[[#This Row],[Fecha]],"mmmm")</f>
        <v>diciembre</v>
      </c>
      <c r="D1036" t="str">
        <f>TEXT(Tabla24[[#This Row],[Fecha]],"aaaa")</f>
        <v>2024</v>
      </c>
      <c r="E1036" t="s">
        <v>22</v>
      </c>
      <c r="F1036" t="s">
        <v>38</v>
      </c>
      <c r="G1036" t="s">
        <v>13</v>
      </c>
      <c r="H1036" t="s">
        <v>25</v>
      </c>
      <c r="I1036" t="s">
        <v>15</v>
      </c>
      <c r="J1036">
        <v>7</v>
      </c>
      <c r="K1036">
        <v>32094</v>
      </c>
      <c r="L1036">
        <f>Tabla24[[#This Row],[Precio_Unitario]]*Tabla24[[#This Row],[Unidades_Vendidas]]</f>
        <v>224658</v>
      </c>
      <c r="M1036" t="s">
        <v>16</v>
      </c>
    </row>
    <row r="1037" spans="1:13" x14ac:dyDescent="0.25">
      <c r="A1037" t="s">
        <v>116</v>
      </c>
      <c r="B1037" t="str">
        <f>TEXT(Tabla24[[#This Row],[Fecha]],"dddd")</f>
        <v>martes</v>
      </c>
      <c r="C1037" t="str">
        <f>TEXT(Tabla24[[#This Row],[Fecha]],"mmmm")</f>
        <v>mayo</v>
      </c>
      <c r="D1037" t="str">
        <f>TEXT(Tabla24[[#This Row],[Fecha]],"aaaa")</f>
        <v>2024</v>
      </c>
      <c r="E1037" t="s">
        <v>11</v>
      </c>
      <c r="F1037" t="s">
        <v>38</v>
      </c>
      <c r="G1037" t="s">
        <v>48</v>
      </c>
      <c r="H1037" t="s">
        <v>14</v>
      </c>
      <c r="I1037" t="s">
        <v>15</v>
      </c>
      <c r="J1037">
        <v>15</v>
      </c>
      <c r="K1037">
        <v>19489</v>
      </c>
      <c r="L1037">
        <f>Tabla24[[#This Row],[Precio_Unitario]]*Tabla24[[#This Row],[Unidades_Vendidas]]</f>
        <v>292335</v>
      </c>
      <c r="M1037" t="s">
        <v>20</v>
      </c>
    </row>
    <row r="1038" spans="1:13" x14ac:dyDescent="0.25">
      <c r="A1038" t="s">
        <v>278</v>
      </c>
      <c r="B1038" t="str">
        <f>TEXT(Tabla24[[#This Row],[Fecha]],"dddd")</f>
        <v>miércoles</v>
      </c>
      <c r="C1038" t="str">
        <f>TEXT(Tabla24[[#This Row],[Fecha]],"mmmm")</f>
        <v>julio</v>
      </c>
      <c r="D1038" t="str">
        <f>TEXT(Tabla24[[#This Row],[Fecha]],"aaaa")</f>
        <v>2024</v>
      </c>
      <c r="E1038" t="s">
        <v>11</v>
      </c>
      <c r="F1038" t="s">
        <v>29</v>
      </c>
      <c r="G1038" t="s">
        <v>24</v>
      </c>
      <c r="H1038" t="s">
        <v>14</v>
      </c>
      <c r="I1038" t="s">
        <v>15</v>
      </c>
      <c r="J1038">
        <v>8</v>
      </c>
      <c r="K1038">
        <v>40102</v>
      </c>
      <c r="L1038">
        <f>Tabla24[[#This Row],[Precio_Unitario]]*Tabla24[[#This Row],[Unidades_Vendidas]]</f>
        <v>320816</v>
      </c>
      <c r="M1038" t="s">
        <v>27</v>
      </c>
    </row>
    <row r="1039" spans="1:13" x14ac:dyDescent="0.25">
      <c r="A1039" t="s">
        <v>230</v>
      </c>
      <c r="B1039" t="str">
        <f>TEXT(Tabla24[[#This Row],[Fecha]],"dddd")</f>
        <v>lunes</v>
      </c>
      <c r="C1039" t="str">
        <f>TEXT(Tabla24[[#This Row],[Fecha]],"mmmm")</f>
        <v>marzo</v>
      </c>
      <c r="D1039" t="str">
        <f>TEXT(Tabla24[[#This Row],[Fecha]],"aaaa")</f>
        <v>2024</v>
      </c>
      <c r="E1039" t="s">
        <v>18</v>
      </c>
      <c r="F1039" t="s">
        <v>29</v>
      </c>
      <c r="G1039" t="s">
        <v>48</v>
      </c>
      <c r="H1039" t="s">
        <v>35</v>
      </c>
      <c r="I1039" t="s">
        <v>40</v>
      </c>
      <c r="J1039">
        <v>8</v>
      </c>
      <c r="K1039">
        <v>39400</v>
      </c>
      <c r="L1039">
        <f>Tabla24[[#This Row],[Precio_Unitario]]*Tabla24[[#This Row],[Unidades_Vendidas]]</f>
        <v>315200</v>
      </c>
      <c r="M1039" t="s">
        <v>16</v>
      </c>
    </row>
    <row r="1040" spans="1:13" x14ac:dyDescent="0.25">
      <c r="A1040" t="s">
        <v>71</v>
      </c>
      <c r="B1040" t="str">
        <f>TEXT(Tabla24[[#This Row],[Fecha]],"dddd")</f>
        <v>martes</v>
      </c>
      <c r="C1040" t="str">
        <f>TEXT(Tabla24[[#This Row],[Fecha]],"mmmm")</f>
        <v>julio</v>
      </c>
      <c r="D1040" t="str">
        <f>TEXT(Tabla24[[#This Row],[Fecha]],"aaaa")</f>
        <v>2024</v>
      </c>
      <c r="E1040" t="s">
        <v>22</v>
      </c>
      <c r="F1040" t="s">
        <v>34</v>
      </c>
      <c r="G1040" t="s">
        <v>13</v>
      </c>
      <c r="H1040" t="s">
        <v>25</v>
      </c>
      <c r="I1040" t="s">
        <v>40</v>
      </c>
      <c r="J1040">
        <v>13</v>
      </c>
      <c r="K1040">
        <v>39861</v>
      </c>
      <c r="L1040">
        <f>Tabla24[[#This Row],[Precio_Unitario]]*Tabla24[[#This Row],[Unidades_Vendidas]]</f>
        <v>518193</v>
      </c>
      <c r="M1040" t="s">
        <v>16</v>
      </c>
    </row>
    <row r="1041" spans="1:13" x14ac:dyDescent="0.25">
      <c r="A1041" t="s">
        <v>227</v>
      </c>
      <c r="B1041" t="str">
        <f>TEXT(Tabla24[[#This Row],[Fecha]],"dddd")</f>
        <v>jueves</v>
      </c>
      <c r="C1041" t="str">
        <f>TEXT(Tabla24[[#This Row],[Fecha]],"mmmm")</f>
        <v>enero</v>
      </c>
      <c r="D1041" t="str">
        <f>TEXT(Tabla24[[#This Row],[Fecha]],"aaaa")</f>
        <v>2024</v>
      </c>
      <c r="E1041" t="s">
        <v>11</v>
      </c>
      <c r="F1041" t="s">
        <v>12</v>
      </c>
      <c r="G1041" t="s">
        <v>24</v>
      </c>
      <c r="H1041" t="s">
        <v>30</v>
      </c>
      <c r="I1041" t="s">
        <v>40</v>
      </c>
      <c r="J1041">
        <v>4</v>
      </c>
      <c r="K1041">
        <v>44931</v>
      </c>
      <c r="L1041">
        <f>Tabla24[[#This Row],[Precio_Unitario]]*Tabla24[[#This Row],[Unidades_Vendidas]]</f>
        <v>179724</v>
      </c>
      <c r="M1041" t="s">
        <v>27</v>
      </c>
    </row>
    <row r="1042" spans="1:13" x14ac:dyDescent="0.25">
      <c r="A1042" t="s">
        <v>213</v>
      </c>
      <c r="B1042" t="str">
        <f>TEXT(Tabla24[[#This Row],[Fecha]],"dddd")</f>
        <v>miércoles</v>
      </c>
      <c r="C1042" t="str">
        <f>TEXT(Tabla24[[#This Row],[Fecha]],"mmmm")</f>
        <v>septiembre</v>
      </c>
      <c r="D1042" t="str">
        <f>TEXT(Tabla24[[#This Row],[Fecha]],"aaaa")</f>
        <v>2024</v>
      </c>
      <c r="E1042" t="s">
        <v>42</v>
      </c>
      <c r="F1042" t="s">
        <v>34</v>
      </c>
      <c r="G1042" t="s">
        <v>39</v>
      </c>
      <c r="H1042" t="s">
        <v>19</v>
      </c>
      <c r="I1042" t="s">
        <v>15</v>
      </c>
      <c r="J1042">
        <v>9</v>
      </c>
      <c r="K1042">
        <v>21550</v>
      </c>
      <c r="L1042">
        <f>Tabla24[[#This Row],[Precio_Unitario]]*Tabla24[[#This Row],[Unidades_Vendidas]]</f>
        <v>193950</v>
      </c>
      <c r="M1042" t="s">
        <v>16</v>
      </c>
    </row>
    <row r="1043" spans="1:13" x14ac:dyDescent="0.25">
      <c r="A1043" t="s">
        <v>43</v>
      </c>
      <c r="B1043" t="str">
        <f>TEXT(Tabla24[[#This Row],[Fecha]],"dddd")</f>
        <v>martes</v>
      </c>
      <c r="C1043" t="str">
        <f>TEXT(Tabla24[[#This Row],[Fecha]],"mmmm")</f>
        <v>marzo</v>
      </c>
      <c r="D1043" t="str">
        <f>TEXT(Tabla24[[#This Row],[Fecha]],"aaaa")</f>
        <v>2024</v>
      </c>
      <c r="E1043" t="s">
        <v>18</v>
      </c>
      <c r="F1043" t="s">
        <v>12</v>
      </c>
      <c r="G1043" t="s">
        <v>44</v>
      </c>
      <c r="H1043" t="s">
        <v>30</v>
      </c>
      <c r="I1043" t="s">
        <v>40</v>
      </c>
      <c r="J1043">
        <v>14</v>
      </c>
      <c r="K1043">
        <v>53625</v>
      </c>
      <c r="L1043">
        <f>Tabla24[[#This Row],[Precio_Unitario]]*Tabla24[[#This Row],[Unidades_Vendidas]]</f>
        <v>750750</v>
      </c>
      <c r="M1043" t="s">
        <v>16</v>
      </c>
    </row>
    <row r="1044" spans="1:13" x14ac:dyDescent="0.25">
      <c r="A1044" t="s">
        <v>196</v>
      </c>
      <c r="B1044" t="str">
        <f>TEXT(Tabla24[[#This Row],[Fecha]],"dddd")</f>
        <v>lunes</v>
      </c>
      <c r="C1044" t="str">
        <f>TEXT(Tabla24[[#This Row],[Fecha]],"mmmm")</f>
        <v>junio</v>
      </c>
      <c r="D1044" t="str">
        <f>TEXT(Tabla24[[#This Row],[Fecha]],"aaaa")</f>
        <v>2024</v>
      </c>
      <c r="E1044" t="s">
        <v>22</v>
      </c>
      <c r="F1044" t="s">
        <v>38</v>
      </c>
      <c r="G1044" t="s">
        <v>44</v>
      </c>
      <c r="H1044" t="s">
        <v>25</v>
      </c>
      <c r="I1044" t="s">
        <v>15</v>
      </c>
      <c r="J1044">
        <v>14</v>
      </c>
      <c r="K1044">
        <v>41912</v>
      </c>
      <c r="L1044">
        <f>Tabla24[[#This Row],[Precio_Unitario]]*Tabla24[[#This Row],[Unidades_Vendidas]]</f>
        <v>586768</v>
      </c>
      <c r="M1044" t="s">
        <v>20</v>
      </c>
    </row>
    <row r="1045" spans="1:13" x14ac:dyDescent="0.25">
      <c r="A1045" t="s">
        <v>290</v>
      </c>
      <c r="B1045" t="str">
        <f>TEXT(Tabla24[[#This Row],[Fecha]],"dddd")</f>
        <v>miércoles</v>
      </c>
      <c r="C1045" t="str">
        <f>TEXT(Tabla24[[#This Row],[Fecha]],"mmmm")</f>
        <v>julio</v>
      </c>
      <c r="D1045" t="str">
        <f>TEXT(Tabla24[[#This Row],[Fecha]],"aaaa")</f>
        <v>2024</v>
      </c>
      <c r="E1045" t="s">
        <v>33</v>
      </c>
      <c r="F1045" t="s">
        <v>12</v>
      </c>
      <c r="G1045" t="s">
        <v>44</v>
      </c>
      <c r="H1045" t="s">
        <v>14</v>
      </c>
      <c r="I1045" t="s">
        <v>40</v>
      </c>
      <c r="J1045">
        <v>5</v>
      </c>
      <c r="K1045">
        <v>41032</v>
      </c>
      <c r="L1045">
        <f>Tabla24[[#This Row],[Precio_Unitario]]*Tabla24[[#This Row],[Unidades_Vendidas]]</f>
        <v>205160</v>
      </c>
      <c r="M1045" t="s">
        <v>27</v>
      </c>
    </row>
    <row r="1046" spans="1:13" x14ac:dyDescent="0.25">
      <c r="A1046" t="s">
        <v>230</v>
      </c>
      <c r="B1046" t="str">
        <f>TEXT(Tabla24[[#This Row],[Fecha]],"dddd")</f>
        <v>lunes</v>
      </c>
      <c r="C1046" t="str">
        <f>TEXT(Tabla24[[#This Row],[Fecha]],"mmmm")</f>
        <v>marzo</v>
      </c>
      <c r="D1046" t="str">
        <f>TEXT(Tabla24[[#This Row],[Fecha]],"aaaa")</f>
        <v>2024</v>
      </c>
      <c r="E1046" t="s">
        <v>18</v>
      </c>
      <c r="F1046" t="s">
        <v>23</v>
      </c>
      <c r="G1046" t="s">
        <v>44</v>
      </c>
      <c r="H1046" t="s">
        <v>14</v>
      </c>
      <c r="I1046" t="s">
        <v>40</v>
      </c>
      <c r="J1046">
        <v>6</v>
      </c>
      <c r="K1046">
        <v>23895</v>
      </c>
      <c r="L1046">
        <f>Tabla24[[#This Row],[Precio_Unitario]]*Tabla24[[#This Row],[Unidades_Vendidas]]</f>
        <v>143370</v>
      </c>
      <c r="M1046" t="s">
        <v>16</v>
      </c>
    </row>
    <row r="1047" spans="1:13" x14ac:dyDescent="0.25">
      <c r="A1047" t="s">
        <v>342</v>
      </c>
      <c r="B1047" t="str">
        <f>TEXT(Tabla24[[#This Row],[Fecha]],"dddd")</f>
        <v>viernes</v>
      </c>
      <c r="C1047" t="str">
        <f>TEXT(Tabla24[[#This Row],[Fecha]],"mmmm")</f>
        <v>julio</v>
      </c>
      <c r="D1047" t="str">
        <f>TEXT(Tabla24[[#This Row],[Fecha]],"aaaa")</f>
        <v>2024</v>
      </c>
      <c r="E1047" t="s">
        <v>33</v>
      </c>
      <c r="F1047" t="s">
        <v>34</v>
      </c>
      <c r="G1047" t="s">
        <v>13</v>
      </c>
      <c r="H1047" t="s">
        <v>14</v>
      </c>
      <c r="I1047" t="s">
        <v>40</v>
      </c>
      <c r="J1047">
        <v>16</v>
      </c>
      <c r="K1047">
        <v>49021</v>
      </c>
      <c r="L1047">
        <f>Tabla24[[#This Row],[Precio_Unitario]]*Tabla24[[#This Row],[Unidades_Vendidas]]</f>
        <v>784336</v>
      </c>
      <c r="M1047" t="s">
        <v>16</v>
      </c>
    </row>
    <row r="1048" spans="1:13" x14ac:dyDescent="0.25">
      <c r="A1048" t="s">
        <v>257</v>
      </c>
      <c r="B1048" t="str">
        <f>TEXT(Tabla24[[#This Row],[Fecha]],"dddd")</f>
        <v>viernes</v>
      </c>
      <c r="C1048" t="str">
        <f>TEXT(Tabla24[[#This Row],[Fecha]],"mmmm")</f>
        <v>marzo</v>
      </c>
      <c r="D1048" t="str">
        <f>TEXT(Tabla24[[#This Row],[Fecha]],"aaaa")</f>
        <v>2024</v>
      </c>
      <c r="E1048" t="s">
        <v>22</v>
      </c>
      <c r="F1048" t="s">
        <v>34</v>
      </c>
      <c r="G1048" t="s">
        <v>24</v>
      </c>
      <c r="H1048" t="s">
        <v>19</v>
      </c>
      <c r="I1048" t="s">
        <v>15</v>
      </c>
      <c r="J1048">
        <v>18</v>
      </c>
      <c r="K1048">
        <v>27211</v>
      </c>
      <c r="L1048">
        <f>Tabla24[[#This Row],[Precio_Unitario]]*Tabla24[[#This Row],[Unidades_Vendidas]]</f>
        <v>489798</v>
      </c>
      <c r="M1048" t="s">
        <v>16</v>
      </c>
    </row>
    <row r="1049" spans="1:13" x14ac:dyDescent="0.25">
      <c r="A1049" t="s">
        <v>127</v>
      </c>
      <c r="B1049" t="str">
        <f>TEXT(Tabla24[[#This Row],[Fecha]],"dddd")</f>
        <v>sábado</v>
      </c>
      <c r="C1049" t="str">
        <f>TEXT(Tabla24[[#This Row],[Fecha]],"mmmm")</f>
        <v>septiembre</v>
      </c>
      <c r="D1049" t="str">
        <f>TEXT(Tabla24[[#This Row],[Fecha]],"aaaa")</f>
        <v>2024</v>
      </c>
      <c r="E1049" t="s">
        <v>22</v>
      </c>
      <c r="F1049" t="s">
        <v>29</v>
      </c>
      <c r="G1049" t="s">
        <v>44</v>
      </c>
      <c r="H1049" t="s">
        <v>19</v>
      </c>
      <c r="I1049" t="s">
        <v>26</v>
      </c>
      <c r="J1049">
        <v>6</v>
      </c>
      <c r="K1049">
        <v>17097</v>
      </c>
      <c r="L1049">
        <f>Tabla24[[#This Row],[Precio_Unitario]]*Tabla24[[#This Row],[Unidades_Vendidas]]</f>
        <v>102582</v>
      </c>
      <c r="M1049" t="s">
        <v>20</v>
      </c>
    </row>
    <row r="1050" spans="1:13" x14ac:dyDescent="0.25">
      <c r="A1050" t="s">
        <v>85</v>
      </c>
      <c r="B1050" t="str">
        <f>TEXT(Tabla24[[#This Row],[Fecha]],"dddd")</f>
        <v>sábado</v>
      </c>
      <c r="C1050" t="str">
        <f>TEXT(Tabla24[[#This Row],[Fecha]],"mmmm")</f>
        <v>julio</v>
      </c>
      <c r="D1050" t="str">
        <f>TEXT(Tabla24[[#This Row],[Fecha]],"aaaa")</f>
        <v>2024</v>
      </c>
      <c r="E1050" t="s">
        <v>22</v>
      </c>
      <c r="F1050" t="s">
        <v>38</v>
      </c>
      <c r="G1050" t="s">
        <v>24</v>
      </c>
      <c r="H1050" t="s">
        <v>30</v>
      </c>
      <c r="I1050" t="s">
        <v>40</v>
      </c>
      <c r="J1050">
        <v>9</v>
      </c>
      <c r="K1050">
        <v>58073</v>
      </c>
      <c r="L1050">
        <f>Tabla24[[#This Row],[Precio_Unitario]]*Tabla24[[#This Row],[Unidades_Vendidas]]</f>
        <v>522657</v>
      </c>
      <c r="M1050" t="s">
        <v>36</v>
      </c>
    </row>
    <row r="1051" spans="1:13" x14ac:dyDescent="0.25">
      <c r="A1051" t="s">
        <v>219</v>
      </c>
      <c r="B1051" t="str">
        <f>TEXT(Tabla24[[#This Row],[Fecha]],"dddd")</f>
        <v>sábado</v>
      </c>
      <c r="C1051" t="str">
        <f>TEXT(Tabla24[[#This Row],[Fecha]],"mmmm")</f>
        <v>julio</v>
      </c>
      <c r="D1051" t="str">
        <f>TEXT(Tabla24[[#This Row],[Fecha]],"aaaa")</f>
        <v>2024</v>
      </c>
      <c r="E1051" t="s">
        <v>18</v>
      </c>
      <c r="F1051" t="s">
        <v>29</v>
      </c>
      <c r="G1051" t="s">
        <v>48</v>
      </c>
      <c r="H1051" t="s">
        <v>19</v>
      </c>
      <c r="I1051" t="s">
        <v>15</v>
      </c>
      <c r="J1051">
        <v>15</v>
      </c>
      <c r="K1051">
        <v>55662</v>
      </c>
      <c r="L1051">
        <f>Tabla24[[#This Row],[Precio_Unitario]]*Tabla24[[#This Row],[Unidades_Vendidas]]</f>
        <v>834930</v>
      </c>
      <c r="M1051" t="s">
        <v>27</v>
      </c>
    </row>
    <row r="1052" spans="1:13" x14ac:dyDescent="0.25">
      <c r="A1052" t="s">
        <v>176</v>
      </c>
      <c r="B1052" t="str">
        <f>TEXT(Tabla24[[#This Row],[Fecha]],"dddd")</f>
        <v>domingo</v>
      </c>
      <c r="C1052" t="str">
        <f>TEXT(Tabla24[[#This Row],[Fecha]],"mmmm")</f>
        <v>septiembre</v>
      </c>
      <c r="D1052" t="str">
        <f>TEXT(Tabla24[[#This Row],[Fecha]],"aaaa")</f>
        <v>2024</v>
      </c>
      <c r="E1052" t="s">
        <v>33</v>
      </c>
      <c r="F1052" t="s">
        <v>12</v>
      </c>
      <c r="G1052" t="s">
        <v>39</v>
      </c>
      <c r="H1052" t="s">
        <v>19</v>
      </c>
      <c r="I1052" t="s">
        <v>26</v>
      </c>
      <c r="J1052">
        <v>1</v>
      </c>
      <c r="K1052">
        <v>38639</v>
      </c>
      <c r="L1052">
        <f>Tabla24[[#This Row],[Precio_Unitario]]*Tabla24[[#This Row],[Unidades_Vendidas]]</f>
        <v>38639</v>
      </c>
      <c r="M1052" t="s">
        <v>20</v>
      </c>
    </row>
    <row r="1053" spans="1:13" x14ac:dyDescent="0.25">
      <c r="A1053" t="s">
        <v>322</v>
      </c>
      <c r="B1053" t="str">
        <f>TEXT(Tabla24[[#This Row],[Fecha]],"dddd")</f>
        <v>miércoles</v>
      </c>
      <c r="C1053" t="str">
        <f>TEXT(Tabla24[[#This Row],[Fecha]],"mmmm")</f>
        <v>septiembre</v>
      </c>
      <c r="D1053" t="str">
        <f>TEXT(Tabla24[[#This Row],[Fecha]],"aaaa")</f>
        <v>2024</v>
      </c>
      <c r="E1053" t="s">
        <v>33</v>
      </c>
      <c r="F1053" t="s">
        <v>29</v>
      </c>
      <c r="G1053" t="s">
        <v>24</v>
      </c>
      <c r="H1053" t="s">
        <v>35</v>
      </c>
      <c r="I1053" t="s">
        <v>40</v>
      </c>
      <c r="J1053">
        <v>16</v>
      </c>
      <c r="K1053">
        <v>34105</v>
      </c>
      <c r="L1053">
        <f>Tabla24[[#This Row],[Precio_Unitario]]*Tabla24[[#This Row],[Unidades_Vendidas]]</f>
        <v>545680</v>
      </c>
      <c r="M1053" t="s">
        <v>20</v>
      </c>
    </row>
    <row r="1054" spans="1:13" x14ac:dyDescent="0.25">
      <c r="A1054" t="s">
        <v>196</v>
      </c>
      <c r="B1054" t="str">
        <f>TEXT(Tabla24[[#This Row],[Fecha]],"dddd")</f>
        <v>lunes</v>
      </c>
      <c r="C1054" t="str">
        <f>TEXT(Tabla24[[#This Row],[Fecha]],"mmmm")</f>
        <v>junio</v>
      </c>
      <c r="D1054" t="str">
        <f>TEXT(Tabla24[[#This Row],[Fecha]],"aaaa")</f>
        <v>2024</v>
      </c>
      <c r="E1054" t="s">
        <v>42</v>
      </c>
      <c r="F1054" t="s">
        <v>23</v>
      </c>
      <c r="G1054" t="s">
        <v>39</v>
      </c>
      <c r="H1054" t="s">
        <v>35</v>
      </c>
      <c r="I1054" t="s">
        <v>40</v>
      </c>
      <c r="J1054">
        <v>16</v>
      </c>
      <c r="K1054">
        <v>37048</v>
      </c>
      <c r="L1054">
        <f>Tabla24[[#This Row],[Precio_Unitario]]*Tabla24[[#This Row],[Unidades_Vendidas]]</f>
        <v>592768</v>
      </c>
      <c r="M1054" t="s">
        <v>36</v>
      </c>
    </row>
    <row r="1055" spans="1:13" x14ac:dyDescent="0.25">
      <c r="A1055" t="s">
        <v>262</v>
      </c>
      <c r="B1055" t="str">
        <f>TEXT(Tabla24[[#This Row],[Fecha]],"dddd")</f>
        <v>viernes</v>
      </c>
      <c r="C1055" t="str">
        <f>TEXT(Tabla24[[#This Row],[Fecha]],"mmmm")</f>
        <v>enero</v>
      </c>
      <c r="D1055" t="str">
        <f>TEXT(Tabla24[[#This Row],[Fecha]],"aaaa")</f>
        <v>2024</v>
      </c>
      <c r="E1055" t="s">
        <v>33</v>
      </c>
      <c r="F1055" t="s">
        <v>23</v>
      </c>
      <c r="G1055" t="s">
        <v>48</v>
      </c>
      <c r="H1055" t="s">
        <v>30</v>
      </c>
      <c r="I1055" t="s">
        <v>40</v>
      </c>
      <c r="J1055">
        <v>12</v>
      </c>
      <c r="K1055">
        <v>37088</v>
      </c>
      <c r="L1055">
        <f>Tabla24[[#This Row],[Precio_Unitario]]*Tabla24[[#This Row],[Unidades_Vendidas]]</f>
        <v>445056</v>
      </c>
      <c r="M1055" t="s">
        <v>20</v>
      </c>
    </row>
    <row r="1056" spans="1:13" x14ac:dyDescent="0.25">
      <c r="A1056" t="s">
        <v>359</v>
      </c>
      <c r="B1056" t="str">
        <f>TEXT(Tabla24[[#This Row],[Fecha]],"dddd")</f>
        <v>domingo</v>
      </c>
      <c r="C1056" t="str">
        <f>TEXT(Tabla24[[#This Row],[Fecha]],"mmmm")</f>
        <v>marzo</v>
      </c>
      <c r="D1056" t="str">
        <f>TEXT(Tabla24[[#This Row],[Fecha]],"aaaa")</f>
        <v>2024</v>
      </c>
      <c r="E1056" t="s">
        <v>33</v>
      </c>
      <c r="F1056" t="s">
        <v>38</v>
      </c>
      <c r="G1056" t="s">
        <v>44</v>
      </c>
      <c r="H1056" t="s">
        <v>19</v>
      </c>
      <c r="I1056" t="s">
        <v>15</v>
      </c>
      <c r="J1056">
        <v>3</v>
      </c>
      <c r="K1056">
        <v>44001</v>
      </c>
      <c r="L1056">
        <f>Tabla24[[#This Row],[Precio_Unitario]]*Tabla24[[#This Row],[Unidades_Vendidas]]</f>
        <v>132003</v>
      </c>
      <c r="M1056" t="s">
        <v>20</v>
      </c>
    </row>
    <row r="1057" spans="1:13" x14ac:dyDescent="0.25">
      <c r="A1057" t="s">
        <v>133</v>
      </c>
      <c r="B1057" t="str">
        <f>TEXT(Tabla24[[#This Row],[Fecha]],"dddd")</f>
        <v>viernes</v>
      </c>
      <c r="C1057" t="str">
        <f>TEXT(Tabla24[[#This Row],[Fecha]],"mmmm")</f>
        <v>junio</v>
      </c>
      <c r="D1057" t="str">
        <f>TEXT(Tabla24[[#This Row],[Fecha]],"aaaa")</f>
        <v>2024</v>
      </c>
      <c r="E1057" t="s">
        <v>22</v>
      </c>
      <c r="F1057" t="s">
        <v>12</v>
      </c>
      <c r="G1057" t="s">
        <v>48</v>
      </c>
      <c r="H1057" t="s">
        <v>25</v>
      </c>
      <c r="I1057" t="s">
        <v>40</v>
      </c>
      <c r="J1057">
        <v>11</v>
      </c>
      <c r="K1057">
        <v>35502</v>
      </c>
      <c r="L1057">
        <f>Tabla24[[#This Row],[Precio_Unitario]]*Tabla24[[#This Row],[Unidades_Vendidas]]</f>
        <v>390522</v>
      </c>
      <c r="M1057" t="s">
        <v>16</v>
      </c>
    </row>
    <row r="1058" spans="1:13" x14ac:dyDescent="0.25">
      <c r="A1058" t="s">
        <v>358</v>
      </c>
      <c r="B1058" t="str">
        <f>TEXT(Tabla24[[#This Row],[Fecha]],"dddd")</f>
        <v>martes</v>
      </c>
      <c r="C1058" t="str">
        <f>TEXT(Tabla24[[#This Row],[Fecha]],"mmmm")</f>
        <v>octubre</v>
      </c>
      <c r="D1058" t="str">
        <f>TEXT(Tabla24[[#This Row],[Fecha]],"aaaa")</f>
        <v>2024</v>
      </c>
      <c r="E1058" t="s">
        <v>22</v>
      </c>
      <c r="F1058" t="s">
        <v>12</v>
      </c>
      <c r="G1058" t="s">
        <v>48</v>
      </c>
      <c r="H1058" t="s">
        <v>14</v>
      </c>
      <c r="I1058" t="s">
        <v>40</v>
      </c>
      <c r="J1058">
        <v>10</v>
      </c>
      <c r="K1058">
        <v>52887</v>
      </c>
      <c r="L1058">
        <f>Tabla24[[#This Row],[Precio_Unitario]]*Tabla24[[#This Row],[Unidades_Vendidas]]</f>
        <v>528870</v>
      </c>
      <c r="M1058" t="s">
        <v>36</v>
      </c>
    </row>
    <row r="1059" spans="1:13" x14ac:dyDescent="0.25">
      <c r="A1059" t="s">
        <v>305</v>
      </c>
      <c r="B1059" t="str">
        <f>TEXT(Tabla24[[#This Row],[Fecha]],"dddd")</f>
        <v>viernes</v>
      </c>
      <c r="C1059" t="str">
        <f>TEXT(Tabla24[[#This Row],[Fecha]],"mmmm")</f>
        <v>septiembre</v>
      </c>
      <c r="D1059" t="str">
        <f>TEXT(Tabla24[[#This Row],[Fecha]],"aaaa")</f>
        <v>2024</v>
      </c>
      <c r="E1059" t="s">
        <v>11</v>
      </c>
      <c r="F1059" t="s">
        <v>34</v>
      </c>
      <c r="G1059" t="s">
        <v>24</v>
      </c>
      <c r="H1059" t="s">
        <v>25</v>
      </c>
      <c r="I1059" t="s">
        <v>40</v>
      </c>
      <c r="J1059">
        <v>16</v>
      </c>
      <c r="K1059">
        <v>28744</v>
      </c>
      <c r="L1059">
        <f>Tabla24[[#This Row],[Precio_Unitario]]*Tabla24[[#This Row],[Unidades_Vendidas]]</f>
        <v>459904</v>
      </c>
      <c r="M1059" t="s">
        <v>20</v>
      </c>
    </row>
    <row r="1060" spans="1:13" x14ac:dyDescent="0.25">
      <c r="A1060" t="s">
        <v>83</v>
      </c>
      <c r="B1060" t="str">
        <f>TEXT(Tabla24[[#This Row],[Fecha]],"dddd")</f>
        <v>lunes</v>
      </c>
      <c r="C1060" t="str">
        <f>TEXT(Tabla24[[#This Row],[Fecha]],"mmmm")</f>
        <v>noviembre</v>
      </c>
      <c r="D1060" t="str">
        <f>TEXT(Tabla24[[#This Row],[Fecha]],"aaaa")</f>
        <v>2024</v>
      </c>
      <c r="E1060" t="s">
        <v>11</v>
      </c>
      <c r="F1060" t="s">
        <v>12</v>
      </c>
      <c r="G1060" t="s">
        <v>48</v>
      </c>
      <c r="H1060" t="s">
        <v>35</v>
      </c>
      <c r="I1060" t="s">
        <v>26</v>
      </c>
      <c r="J1060">
        <v>15</v>
      </c>
      <c r="K1060">
        <v>51047</v>
      </c>
      <c r="L1060">
        <f>Tabla24[[#This Row],[Precio_Unitario]]*Tabla24[[#This Row],[Unidades_Vendidas]]</f>
        <v>765705</v>
      </c>
      <c r="M1060" t="s">
        <v>36</v>
      </c>
    </row>
    <row r="1061" spans="1:13" x14ac:dyDescent="0.25">
      <c r="A1061" t="s">
        <v>377</v>
      </c>
      <c r="B1061" t="str">
        <f>TEXT(Tabla24[[#This Row],[Fecha]],"dddd")</f>
        <v>domingo</v>
      </c>
      <c r="C1061" t="str">
        <f>TEXT(Tabla24[[#This Row],[Fecha]],"mmmm")</f>
        <v>octubre</v>
      </c>
      <c r="D1061" t="str">
        <f>TEXT(Tabla24[[#This Row],[Fecha]],"aaaa")</f>
        <v>2024</v>
      </c>
      <c r="E1061" t="s">
        <v>22</v>
      </c>
      <c r="F1061" t="s">
        <v>29</v>
      </c>
      <c r="G1061" t="s">
        <v>13</v>
      </c>
      <c r="H1061" t="s">
        <v>19</v>
      </c>
      <c r="I1061" t="s">
        <v>15</v>
      </c>
      <c r="J1061">
        <v>4</v>
      </c>
      <c r="K1061">
        <v>37447</v>
      </c>
      <c r="L1061">
        <f>Tabla24[[#This Row],[Precio_Unitario]]*Tabla24[[#This Row],[Unidades_Vendidas]]</f>
        <v>149788</v>
      </c>
      <c r="M1061" t="s">
        <v>20</v>
      </c>
    </row>
    <row r="1062" spans="1:13" x14ac:dyDescent="0.25">
      <c r="A1062" t="s">
        <v>378</v>
      </c>
      <c r="B1062" t="str">
        <f>TEXT(Tabla24[[#This Row],[Fecha]],"dddd")</f>
        <v>domingo</v>
      </c>
      <c r="C1062" t="str">
        <f>TEXT(Tabla24[[#This Row],[Fecha]],"mmmm")</f>
        <v>agosto</v>
      </c>
      <c r="D1062" t="str">
        <f>TEXT(Tabla24[[#This Row],[Fecha]],"aaaa")</f>
        <v>2024</v>
      </c>
      <c r="E1062" t="s">
        <v>33</v>
      </c>
      <c r="F1062" t="s">
        <v>12</v>
      </c>
      <c r="G1062" t="s">
        <v>44</v>
      </c>
      <c r="H1062" t="s">
        <v>25</v>
      </c>
      <c r="I1062" t="s">
        <v>40</v>
      </c>
      <c r="J1062">
        <v>5</v>
      </c>
      <c r="K1062">
        <v>51960</v>
      </c>
      <c r="L1062">
        <f>Tabla24[[#This Row],[Precio_Unitario]]*Tabla24[[#This Row],[Unidades_Vendidas]]</f>
        <v>259800</v>
      </c>
      <c r="M1062" t="s">
        <v>16</v>
      </c>
    </row>
    <row r="1063" spans="1:13" x14ac:dyDescent="0.25">
      <c r="A1063" t="s">
        <v>220</v>
      </c>
      <c r="B1063" t="str">
        <f>TEXT(Tabla24[[#This Row],[Fecha]],"dddd")</f>
        <v>lunes</v>
      </c>
      <c r="C1063" t="str">
        <f>TEXT(Tabla24[[#This Row],[Fecha]],"mmmm")</f>
        <v>enero</v>
      </c>
      <c r="D1063" t="str">
        <f>TEXT(Tabla24[[#This Row],[Fecha]],"aaaa")</f>
        <v>2024</v>
      </c>
      <c r="E1063" t="s">
        <v>18</v>
      </c>
      <c r="F1063" t="s">
        <v>34</v>
      </c>
      <c r="G1063" t="s">
        <v>44</v>
      </c>
      <c r="H1063" t="s">
        <v>30</v>
      </c>
      <c r="I1063" t="s">
        <v>40</v>
      </c>
      <c r="J1063">
        <v>20</v>
      </c>
      <c r="K1063">
        <v>17853</v>
      </c>
      <c r="L1063">
        <f>Tabla24[[#This Row],[Precio_Unitario]]*Tabla24[[#This Row],[Unidades_Vendidas]]</f>
        <v>357060</v>
      </c>
      <c r="M1063" t="s">
        <v>20</v>
      </c>
    </row>
    <row r="1064" spans="1:13" x14ac:dyDescent="0.25">
      <c r="A1064" t="s">
        <v>307</v>
      </c>
      <c r="B1064" t="str">
        <f>TEXT(Tabla24[[#This Row],[Fecha]],"dddd")</f>
        <v>jueves</v>
      </c>
      <c r="C1064" t="str">
        <f>TEXT(Tabla24[[#This Row],[Fecha]],"mmmm")</f>
        <v>septiembre</v>
      </c>
      <c r="D1064" t="str">
        <f>TEXT(Tabla24[[#This Row],[Fecha]],"aaaa")</f>
        <v>2024</v>
      </c>
      <c r="E1064" t="s">
        <v>42</v>
      </c>
      <c r="F1064" t="s">
        <v>34</v>
      </c>
      <c r="G1064" t="s">
        <v>24</v>
      </c>
      <c r="H1064" t="s">
        <v>14</v>
      </c>
      <c r="I1064" t="s">
        <v>26</v>
      </c>
      <c r="J1064">
        <v>12</v>
      </c>
      <c r="K1064">
        <v>54829</v>
      </c>
      <c r="L1064">
        <f>Tabla24[[#This Row],[Precio_Unitario]]*Tabla24[[#This Row],[Unidades_Vendidas]]</f>
        <v>657948</v>
      </c>
      <c r="M1064" t="s">
        <v>36</v>
      </c>
    </row>
    <row r="1065" spans="1:13" x14ac:dyDescent="0.25">
      <c r="A1065" t="s">
        <v>196</v>
      </c>
      <c r="B1065" t="str">
        <f>TEXT(Tabla24[[#This Row],[Fecha]],"dddd")</f>
        <v>lunes</v>
      </c>
      <c r="C1065" t="str">
        <f>TEXT(Tabla24[[#This Row],[Fecha]],"mmmm")</f>
        <v>junio</v>
      </c>
      <c r="D1065" t="str">
        <f>TEXT(Tabla24[[#This Row],[Fecha]],"aaaa")</f>
        <v>2024</v>
      </c>
      <c r="E1065" t="s">
        <v>22</v>
      </c>
      <c r="F1065" t="s">
        <v>38</v>
      </c>
      <c r="G1065" t="s">
        <v>44</v>
      </c>
      <c r="H1065" t="s">
        <v>35</v>
      </c>
      <c r="I1065" t="s">
        <v>40</v>
      </c>
      <c r="J1065">
        <v>5</v>
      </c>
      <c r="K1065">
        <v>32988</v>
      </c>
      <c r="L1065">
        <f>Tabla24[[#This Row],[Precio_Unitario]]*Tabla24[[#This Row],[Unidades_Vendidas]]</f>
        <v>164940</v>
      </c>
      <c r="M1065" t="s">
        <v>27</v>
      </c>
    </row>
    <row r="1066" spans="1:13" x14ac:dyDescent="0.25">
      <c r="A1066" t="s">
        <v>253</v>
      </c>
      <c r="B1066" t="str">
        <f>TEXT(Tabla24[[#This Row],[Fecha]],"dddd")</f>
        <v>jueves</v>
      </c>
      <c r="C1066" t="str">
        <f>TEXT(Tabla24[[#This Row],[Fecha]],"mmmm")</f>
        <v>marzo</v>
      </c>
      <c r="D1066" t="str">
        <f>TEXT(Tabla24[[#This Row],[Fecha]],"aaaa")</f>
        <v>2024</v>
      </c>
      <c r="E1066" t="s">
        <v>33</v>
      </c>
      <c r="F1066" t="s">
        <v>12</v>
      </c>
      <c r="G1066" t="s">
        <v>48</v>
      </c>
      <c r="H1066" t="s">
        <v>30</v>
      </c>
      <c r="I1066" t="s">
        <v>40</v>
      </c>
      <c r="J1066">
        <v>5</v>
      </c>
      <c r="K1066">
        <v>36275</v>
      </c>
      <c r="L1066">
        <f>Tabla24[[#This Row],[Precio_Unitario]]*Tabla24[[#This Row],[Unidades_Vendidas]]</f>
        <v>181375</v>
      </c>
      <c r="M1066" t="s">
        <v>27</v>
      </c>
    </row>
    <row r="1067" spans="1:13" x14ac:dyDescent="0.25">
      <c r="A1067" t="s">
        <v>230</v>
      </c>
      <c r="B1067" t="str">
        <f>TEXT(Tabla24[[#This Row],[Fecha]],"dddd")</f>
        <v>lunes</v>
      </c>
      <c r="C1067" t="str">
        <f>TEXT(Tabla24[[#This Row],[Fecha]],"mmmm")</f>
        <v>marzo</v>
      </c>
      <c r="D1067" t="str">
        <f>TEXT(Tabla24[[#This Row],[Fecha]],"aaaa")</f>
        <v>2024</v>
      </c>
      <c r="E1067" t="s">
        <v>11</v>
      </c>
      <c r="F1067" t="s">
        <v>12</v>
      </c>
      <c r="G1067" t="s">
        <v>44</v>
      </c>
      <c r="H1067" t="s">
        <v>25</v>
      </c>
      <c r="I1067" t="s">
        <v>40</v>
      </c>
      <c r="J1067">
        <v>19</v>
      </c>
      <c r="K1067">
        <v>25029</v>
      </c>
      <c r="L1067">
        <f>Tabla24[[#This Row],[Precio_Unitario]]*Tabla24[[#This Row],[Unidades_Vendidas]]</f>
        <v>475551</v>
      </c>
      <c r="M1067" t="s">
        <v>27</v>
      </c>
    </row>
    <row r="1068" spans="1:13" x14ac:dyDescent="0.25">
      <c r="A1068" t="s">
        <v>379</v>
      </c>
      <c r="B1068" t="str">
        <f>TEXT(Tabla24[[#This Row],[Fecha]],"dddd")</f>
        <v>jueves</v>
      </c>
      <c r="C1068" t="str">
        <f>TEXT(Tabla24[[#This Row],[Fecha]],"mmmm")</f>
        <v>noviembre</v>
      </c>
      <c r="D1068" t="str">
        <f>TEXT(Tabla24[[#This Row],[Fecha]],"aaaa")</f>
        <v>2024</v>
      </c>
      <c r="E1068" t="s">
        <v>22</v>
      </c>
      <c r="F1068" t="s">
        <v>23</v>
      </c>
      <c r="G1068" t="s">
        <v>39</v>
      </c>
      <c r="H1068" t="s">
        <v>14</v>
      </c>
      <c r="I1068" t="s">
        <v>15</v>
      </c>
      <c r="J1068">
        <v>2</v>
      </c>
      <c r="K1068">
        <v>32647</v>
      </c>
      <c r="L1068">
        <f>Tabla24[[#This Row],[Precio_Unitario]]*Tabla24[[#This Row],[Unidades_Vendidas]]</f>
        <v>65294</v>
      </c>
      <c r="M1068" t="s">
        <v>20</v>
      </c>
    </row>
    <row r="1069" spans="1:13" x14ac:dyDescent="0.25">
      <c r="A1069" t="s">
        <v>320</v>
      </c>
      <c r="B1069" t="str">
        <f>TEXT(Tabla24[[#This Row],[Fecha]],"dddd")</f>
        <v>viernes</v>
      </c>
      <c r="C1069" t="str">
        <f>TEXT(Tabla24[[#This Row],[Fecha]],"mmmm")</f>
        <v>abril</v>
      </c>
      <c r="D1069" t="str">
        <f>TEXT(Tabla24[[#This Row],[Fecha]],"aaaa")</f>
        <v>2024</v>
      </c>
      <c r="E1069" t="s">
        <v>18</v>
      </c>
      <c r="F1069" t="s">
        <v>34</v>
      </c>
      <c r="G1069" t="s">
        <v>24</v>
      </c>
      <c r="H1069" t="s">
        <v>30</v>
      </c>
      <c r="I1069" t="s">
        <v>40</v>
      </c>
      <c r="J1069">
        <v>8</v>
      </c>
      <c r="K1069">
        <v>39350</v>
      </c>
      <c r="L1069">
        <f>Tabla24[[#This Row],[Precio_Unitario]]*Tabla24[[#This Row],[Unidades_Vendidas]]</f>
        <v>314800</v>
      </c>
      <c r="M1069" t="s">
        <v>36</v>
      </c>
    </row>
    <row r="1070" spans="1:13" x14ac:dyDescent="0.25">
      <c r="A1070" t="s">
        <v>295</v>
      </c>
      <c r="B1070" t="str">
        <f>TEXT(Tabla24[[#This Row],[Fecha]],"dddd")</f>
        <v>domingo</v>
      </c>
      <c r="C1070" t="str">
        <f>TEXT(Tabla24[[#This Row],[Fecha]],"mmmm")</f>
        <v>abril</v>
      </c>
      <c r="D1070" t="str">
        <f>TEXT(Tabla24[[#This Row],[Fecha]],"aaaa")</f>
        <v>2024</v>
      </c>
      <c r="E1070" t="s">
        <v>11</v>
      </c>
      <c r="F1070" t="s">
        <v>38</v>
      </c>
      <c r="G1070" t="s">
        <v>44</v>
      </c>
      <c r="H1070" t="s">
        <v>30</v>
      </c>
      <c r="I1070" t="s">
        <v>40</v>
      </c>
      <c r="J1070">
        <v>20</v>
      </c>
      <c r="K1070">
        <v>16005</v>
      </c>
      <c r="L1070">
        <f>Tabla24[[#This Row],[Precio_Unitario]]*Tabla24[[#This Row],[Unidades_Vendidas]]</f>
        <v>320100</v>
      </c>
      <c r="M1070" t="s">
        <v>27</v>
      </c>
    </row>
    <row r="1071" spans="1:13" x14ac:dyDescent="0.25">
      <c r="A1071" t="s">
        <v>325</v>
      </c>
      <c r="B1071" t="str">
        <f>TEXT(Tabla24[[#This Row],[Fecha]],"dddd")</f>
        <v>jueves</v>
      </c>
      <c r="C1071" t="str">
        <f>TEXT(Tabla24[[#This Row],[Fecha]],"mmmm")</f>
        <v>diciembre</v>
      </c>
      <c r="D1071" t="str">
        <f>TEXT(Tabla24[[#This Row],[Fecha]],"aaaa")</f>
        <v>2024</v>
      </c>
      <c r="E1071" t="s">
        <v>22</v>
      </c>
      <c r="F1071" t="s">
        <v>12</v>
      </c>
      <c r="G1071" t="s">
        <v>24</v>
      </c>
      <c r="H1071" t="s">
        <v>30</v>
      </c>
      <c r="I1071" t="s">
        <v>15</v>
      </c>
      <c r="J1071">
        <v>7</v>
      </c>
      <c r="K1071">
        <v>50868</v>
      </c>
      <c r="L1071">
        <f>Tabla24[[#This Row],[Precio_Unitario]]*Tabla24[[#This Row],[Unidades_Vendidas]]</f>
        <v>356076</v>
      </c>
      <c r="M1071" t="s">
        <v>16</v>
      </c>
    </row>
    <row r="1072" spans="1:13" x14ac:dyDescent="0.25">
      <c r="A1072" t="s">
        <v>338</v>
      </c>
      <c r="B1072" t="str">
        <f>TEXT(Tabla24[[#This Row],[Fecha]],"dddd")</f>
        <v>domingo</v>
      </c>
      <c r="C1072" t="str">
        <f>TEXT(Tabla24[[#This Row],[Fecha]],"mmmm")</f>
        <v>septiembre</v>
      </c>
      <c r="D1072" t="str">
        <f>TEXT(Tabla24[[#This Row],[Fecha]],"aaaa")</f>
        <v>2024</v>
      </c>
      <c r="E1072" t="s">
        <v>33</v>
      </c>
      <c r="F1072" t="s">
        <v>38</v>
      </c>
      <c r="G1072" t="s">
        <v>44</v>
      </c>
      <c r="H1072" t="s">
        <v>14</v>
      </c>
      <c r="I1072" t="s">
        <v>40</v>
      </c>
      <c r="J1072">
        <v>14</v>
      </c>
      <c r="K1072">
        <v>35924</v>
      </c>
      <c r="L1072">
        <f>Tabla24[[#This Row],[Precio_Unitario]]*Tabla24[[#This Row],[Unidades_Vendidas]]</f>
        <v>502936</v>
      </c>
      <c r="M1072" t="s">
        <v>36</v>
      </c>
    </row>
    <row r="1073" spans="1:13" x14ac:dyDescent="0.25">
      <c r="A1073" t="s">
        <v>270</v>
      </c>
      <c r="B1073" t="str">
        <f>TEXT(Tabla24[[#This Row],[Fecha]],"dddd")</f>
        <v>viernes</v>
      </c>
      <c r="C1073" t="str">
        <f>TEXT(Tabla24[[#This Row],[Fecha]],"mmmm")</f>
        <v>octubre</v>
      </c>
      <c r="D1073" t="str">
        <f>TEXT(Tabla24[[#This Row],[Fecha]],"aaaa")</f>
        <v>2024</v>
      </c>
      <c r="E1073" t="s">
        <v>33</v>
      </c>
      <c r="F1073" t="s">
        <v>34</v>
      </c>
      <c r="G1073" t="s">
        <v>48</v>
      </c>
      <c r="H1073" t="s">
        <v>14</v>
      </c>
      <c r="I1073" t="s">
        <v>40</v>
      </c>
      <c r="J1073">
        <v>10</v>
      </c>
      <c r="K1073">
        <v>18514</v>
      </c>
      <c r="L1073">
        <f>Tabla24[[#This Row],[Precio_Unitario]]*Tabla24[[#This Row],[Unidades_Vendidas]]</f>
        <v>185140</v>
      </c>
      <c r="M1073" t="s">
        <v>27</v>
      </c>
    </row>
    <row r="1074" spans="1:13" x14ac:dyDescent="0.25">
      <c r="A1074" t="s">
        <v>308</v>
      </c>
      <c r="B1074" t="str">
        <f>TEXT(Tabla24[[#This Row],[Fecha]],"dddd")</f>
        <v>martes</v>
      </c>
      <c r="C1074" t="str">
        <f>TEXT(Tabla24[[#This Row],[Fecha]],"mmmm")</f>
        <v>agosto</v>
      </c>
      <c r="D1074" t="str">
        <f>TEXT(Tabla24[[#This Row],[Fecha]],"aaaa")</f>
        <v>2024</v>
      </c>
      <c r="E1074" t="s">
        <v>22</v>
      </c>
      <c r="F1074" t="s">
        <v>23</v>
      </c>
      <c r="G1074" t="s">
        <v>48</v>
      </c>
      <c r="H1074" t="s">
        <v>30</v>
      </c>
      <c r="I1074" t="s">
        <v>26</v>
      </c>
      <c r="J1074">
        <v>16</v>
      </c>
      <c r="K1074">
        <v>26076</v>
      </c>
      <c r="L1074">
        <f>Tabla24[[#This Row],[Precio_Unitario]]*Tabla24[[#This Row],[Unidades_Vendidas]]</f>
        <v>417216</v>
      </c>
      <c r="M1074" t="s">
        <v>36</v>
      </c>
    </row>
    <row r="1075" spans="1:13" x14ac:dyDescent="0.25">
      <c r="A1075" t="s">
        <v>146</v>
      </c>
      <c r="B1075" t="str">
        <f>TEXT(Tabla24[[#This Row],[Fecha]],"dddd")</f>
        <v>sábado</v>
      </c>
      <c r="C1075" t="str">
        <f>TEXT(Tabla24[[#This Row],[Fecha]],"mmmm")</f>
        <v>octubre</v>
      </c>
      <c r="D1075" t="str">
        <f>TEXT(Tabla24[[#This Row],[Fecha]],"aaaa")</f>
        <v>2024</v>
      </c>
      <c r="E1075" t="s">
        <v>33</v>
      </c>
      <c r="F1075" t="s">
        <v>34</v>
      </c>
      <c r="G1075" t="s">
        <v>13</v>
      </c>
      <c r="H1075" t="s">
        <v>19</v>
      </c>
      <c r="I1075" t="s">
        <v>15</v>
      </c>
      <c r="J1075">
        <v>19</v>
      </c>
      <c r="K1075">
        <v>50244</v>
      </c>
      <c r="L1075">
        <f>Tabla24[[#This Row],[Precio_Unitario]]*Tabla24[[#This Row],[Unidades_Vendidas]]</f>
        <v>954636</v>
      </c>
      <c r="M1075" t="s">
        <v>36</v>
      </c>
    </row>
    <row r="1076" spans="1:13" x14ac:dyDescent="0.25">
      <c r="A1076" t="s">
        <v>281</v>
      </c>
      <c r="B1076" t="str">
        <f>TEXT(Tabla24[[#This Row],[Fecha]],"dddd")</f>
        <v>sábado</v>
      </c>
      <c r="C1076" t="str">
        <f>TEXT(Tabla24[[#This Row],[Fecha]],"mmmm")</f>
        <v>enero</v>
      </c>
      <c r="D1076" t="str">
        <f>TEXT(Tabla24[[#This Row],[Fecha]],"aaaa")</f>
        <v>2024</v>
      </c>
      <c r="E1076" t="s">
        <v>42</v>
      </c>
      <c r="F1076" t="s">
        <v>38</v>
      </c>
      <c r="G1076" t="s">
        <v>39</v>
      </c>
      <c r="H1076" t="s">
        <v>25</v>
      </c>
      <c r="I1076" t="s">
        <v>15</v>
      </c>
      <c r="J1076">
        <v>4</v>
      </c>
      <c r="K1076">
        <v>29412</v>
      </c>
      <c r="L1076">
        <f>Tabla24[[#This Row],[Precio_Unitario]]*Tabla24[[#This Row],[Unidades_Vendidas]]</f>
        <v>117648</v>
      </c>
      <c r="M1076" t="s">
        <v>16</v>
      </c>
    </row>
    <row r="1077" spans="1:13" x14ac:dyDescent="0.25">
      <c r="A1077" t="s">
        <v>341</v>
      </c>
      <c r="B1077" t="str">
        <f>TEXT(Tabla24[[#This Row],[Fecha]],"dddd")</f>
        <v>lunes</v>
      </c>
      <c r="C1077" t="str">
        <f>TEXT(Tabla24[[#This Row],[Fecha]],"mmmm")</f>
        <v>abril</v>
      </c>
      <c r="D1077" t="str">
        <f>TEXT(Tabla24[[#This Row],[Fecha]],"aaaa")</f>
        <v>2024</v>
      </c>
      <c r="E1077" t="s">
        <v>22</v>
      </c>
      <c r="F1077" t="s">
        <v>34</v>
      </c>
      <c r="G1077" t="s">
        <v>24</v>
      </c>
      <c r="H1077" t="s">
        <v>30</v>
      </c>
      <c r="I1077" t="s">
        <v>40</v>
      </c>
      <c r="J1077">
        <v>12</v>
      </c>
      <c r="K1077">
        <v>34176</v>
      </c>
      <c r="L1077">
        <f>Tabla24[[#This Row],[Precio_Unitario]]*Tabla24[[#This Row],[Unidades_Vendidas]]</f>
        <v>410112</v>
      </c>
      <c r="M1077" t="s">
        <v>20</v>
      </c>
    </row>
    <row r="1078" spans="1:13" x14ac:dyDescent="0.25">
      <c r="A1078" t="s">
        <v>143</v>
      </c>
      <c r="B1078" t="str">
        <f>TEXT(Tabla24[[#This Row],[Fecha]],"dddd")</f>
        <v>domingo</v>
      </c>
      <c r="C1078" t="str">
        <f>TEXT(Tabla24[[#This Row],[Fecha]],"mmmm")</f>
        <v>enero</v>
      </c>
      <c r="D1078" t="str">
        <f>TEXT(Tabla24[[#This Row],[Fecha]],"aaaa")</f>
        <v>2024</v>
      </c>
      <c r="E1078" t="s">
        <v>11</v>
      </c>
      <c r="F1078" t="s">
        <v>23</v>
      </c>
      <c r="G1078" t="s">
        <v>44</v>
      </c>
      <c r="H1078" t="s">
        <v>30</v>
      </c>
      <c r="I1078" t="s">
        <v>15</v>
      </c>
      <c r="J1078">
        <v>1</v>
      </c>
      <c r="K1078">
        <v>17898</v>
      </c>
      <c r="L1078">
        <f>Tabla24[[#This Row],[Precio_Unitario]]*Tabla24[[#This Row],[Unidades_Vendidas]]</f>
        <v>17898</v>
      </c>
      <c r="M1078" t="s">
        <v>20</v>
      </c>
    </row>
    <row r="1079" spans="1:13" x14ac:dyDescent="0.25">
      <c r="A1079" t="s">
        <v>380</v>
      </c>
      <c r="B1079" t="str">
        <f>TEXT(Tabla24[[#This Row],[Fecha]],"dddd")</f>
        <v>jueves</v>
      </c>
      <c r="C1079" t="str">
        <f>TEXT(Tabla24[[#This Row],[Fecha]],"mmmm")</f>
        <v>octubre</v>
      </c>
      <c r="D1079" t="str">
        <f>TEXT(Tabla24[[#This Row],[Fecha]],"aaaa")</f>
        <v>2024</v>
      </c>
      <c r="E1079" t="s">
        <v>42</v>
      </c>
      <c r="F1079" t="s">
        <v>29</v>
      </c>
      <c r="G1079" t="s">
        <v>44</v>
      </c>
      <c r="H1079" t="s">
        <v>14</v>
      </c>
      <c r="I1079" t="s">
        <v>26</v>
      </c>
      <c r="J1079">
        <v>10</v>
      </c>
      <c r="K1079">
        <v>24793</v>
      </c>
      <c r="L1079">
        <f>Tabla24[[#This Row],[Precio_Unitario]]*Tabla24[[#This Row],[Unidades_Vendidas]]</f>
        <v>247930</v>
      </c>
      <c r="M1079" t="s">
        <v>27</v>
      </c>
    </row>
    <row r="1080" spans="1:13" x14ac:dyDescent="0.25">
      <c r="A1080" t="s">
        <v>50</v>
      </c>
      <c r="B1080" t="str">
        <f>TEXT(Tabla24[[#This Row],[Fecha]],"dddd")</f>
        <v>viernes</v>
      </c>
      <c r="C1080" t="str">
        <f>TEXT(Tabla24[[#This Row],[Fecha]],"mmmm")</f>
        <v>agosto</v>
      </c>
      <c r="D1080" t="str">
        <f>TEXT(Tabla24[[#This Row],[Fecha]],"aaaa")</f>
        <v>2024</v>
      </c>
      <c r="E1080" t="s">
        <v>22</v>
      </c>
      <c r="F1080" t="s">
        <v>34</v>
      </c>
      <c r="G1080" t="s">
        <v>24</v>
      </c>
      <c r="H1080" t="s">
        <v>14</v>
      </c>
      <c r="I1080" t="s">
        <v>40</v>
      </c>
      <c r="J1080">
        <v>13</v>
      </c>
      <c r="K1080">
        <v>38147</v>
      </c>
      <c r="L1080">
        <f>Tabla24[[#This Row],[Precio_Unitario]]*Tabla24[[#This Row],[Unidades_Vendidas]]</f>
        <v>495911</v>
      </c>
      <c r="M1080" t="s">
        <v>16</v>
      </c>
    </row>
    <row r="1081" spans="1:13" x14ac:dyDescent="0.25">
      <c r="A1081" t="s">
        <v>51</v>
      </c>
      <c r="B1081" t="str">
        <f>TEXT(Tabla24[[#This Row],[Fecha]],"dddd")</f>
        <v>miércoles</v>
      </c>
      <c r="C1081" t="str">
        <f>TEXT(Tabla24[[#This Row],[Fecha]],"mmmm")</f>
        <v>octubre</v>
      </c>
      <c r="D1081" t="str">
        <f>TEXT(Tabla24[[#This Row],[Fecha]],"aaaa")</f>
        <v>2024</v>
      </c>
      <c r="E1081" t="s">
        <v>42</v>
      </c>
      <c r="F1081" t="s">
        <v>23</v>
      </c>
      <c r="G1081" t="s">
        <v>24</v>
      </c>
      <c r="H1081" t="s">
        <v>35</v>
      </c>
      <c r="I1081" t="s">
        <v>26</v>
      </c>
      <c r="J1081">
        <v>15</v>
      </c>
      <c r="K1081">
        <v>51871</v>
      </c>
      <c r="L1081">
        <f>Tabla24[[#This Row],[Precio_Unitario]]*Tabla24[[#This Row],[Unidades_Vendidas]]</f>
        <v>778065</v>
      </c>
      <c r="M1081" t="s">
        <v>27</v>
      </c>
    </row>
    <row r="1082" spans="1:13" x14ac:dyDescent="0.25">
      <c r="A1082" t="s">
        <v>378</v>
      </c>
      <c r="B1082" t="str">
        <f>TEXT(Tabla24[[#This Row],[Fecha]],"dddd")</f>
        <v>domingo</v>
      </c>
      <c r="C1082" t="str">
        <f>TEXT(Tabla24[[#This Row],[Fecha]],"mmmm")</f>
        <v>agosto</v>
      </c>
      <c r="D1082" t="str">
        <f>TEXT(Tabla24[[#This Row],[Fecha]],"aaaa")</f>
        <v>2024</v>
      </c>
      <c r="E1082" t="s">
        <v>22</v>
      </c>
      <c r="F1082" t="s">
        <v>38</v>
      </c>
      <c r="G1082" t="s">
        <v>13</v>
      </c>
      <c r="H1082" t="s">
        <v>14</v>
      </c>
      <c r="I1082" t="s">
        <v>40</v>
      </c>
      <c r="J1082">
        <v>20</v>
      </c>
      <c r="K1082">
        <v>39728</v>
      </c>
      <c r="L1082">
        <f>Tabla24[[#This Row],[Precio_Unitario]]*Tabla24[[#This Row],[Unidades_Vendidas]]</f>
        <v>794560</v>
      </c>
      <c r="M1082" t="s">
        <v>20</v>
      </c>
    </row>
    <row r="1083" spans="1:13" x14ac:dyDescent="0.25">
      <c r="A1083" t="s">
        <v>83</v>
      </c>
      <c r="B1083" t="str">
        <f>TEXT(Tabla24[[#This Row],[Fecha]],"dddd")</f>
        <v>lunes</v>
      </c>
      <c r="C1083" t="str">
        <f>TEXT(Tabla24[[#This Row],[Fecha]],"mmmm")</f>
        <v>noviembre</v>
      </c>
      <c r="D1083" t="str">
        <f>TEXT(Tabla24[[#This Row],[Fecha]],"aaaa")</f>
        <v>2024</v>
      </c>
      <c r="E1083" t="s">
        <v>18</v>
      </c>
      <c r="F1083" t="s">
        <v>29</v>
      </c>
      <c r="G1083" t="s">
        <v>48</v>
      </c>
      <c r="H1083" t="s">
        <v>35</v>
      </c>
      <c r="I1083" t="s">
        <v>40</v>
      </c>
      <c r="J1083">
        <v>4</v>
      </c>
      <c r="K1083">
        <v>31077</v>
      </c>
      <c r="L1083">
        <f>Tabla24[[#This Row],[Precio_Unitario]]*Tabla24[[#This Row],[Unidades_Vendidas]]</f>
        <v>124308</v>
      </c>
      <c r="M1083" t="s">
        <v>20</v>
      </c>
    </row>
    <row r="1084" spans="1:13" x14ac:dyDescent="0.25">
      <c r="A1084" t="s">
        <v>176</v>
      </c>
      <c r="B1084" t="str">
        <f>TEXT(Tabla24[[#This Row],[Fecha]],"dddd")</f>
        <v>domingo</v>
      </c>
      <c r="C1084" t="str">
        <f>TEXT(Tabla24[[#This Row],[Fecha]],"mmmm")</f>
        <v>septiembre</v>
      </c>
      <c r="D1084" t="str">
        <f>TEXT(Tabla24[[#This Row],[Fecha]],"aaaa")</f>
        <v>2024</v>
      </c>
      <c r="E1084" t="s">
        <v>11</v>
      </c>
      <c r="F1084" t="s">
        <v>29</v>
      </c>
      <c r="G1084" t="s">
        <v>48</v>
      </c>
      <c r="H1084" t="s">
        <v>19</v>
      </c>
      <c r="I1084" t="s">
        <v>26</v>
      </c>
      <c r="J1084">
        <v>9</v>
      </c>
      <c r="K1084">
        <v>37230</v>
      </c>
      <c r="L1084">
        <f>Tabla24[[#This Row],[Precio_Unitario]]*Tabla24[[#This Row],[Unidades_Vendidas]]</f>
        <v>335070</v>
      </c>
      <c r="M1084" t="s">
        <v>16</v>
      </c>
    </row>
    <row r="1085" spans="1:13" x14ac:dyDescent="0.25">
      <c r="A1085" t="s">
        <v>165</v>
      </c>
      <c r="B1085" t="str">
        <f>TEXT(Tabla24[[#This Row],[Fecha]],"dddd")</f>
        <v>sábado</v>
      </c>
      <c r="C1085" t="str">
        <f>TEXT(Tabla24[[#This Row],[Fecha]],"mmmm")</f>
        <v>noviembre</v>
      </c>
      <c r="D1085" t="str">
        <f>TEXT(Tabla24[[#This Row],[Fecha]],"aaaa")</f>
        <v>2024</v>
      </c>
      <c r="E1085" t="s">
        <v>11</v>
      </c>
      <c r="F1085" t="s">
        <v>34</v>
      </c>
      <c r="G1085" t="s">
        <v>44</v>
      </c>
      <c r="H1085" t="s">
        <v>30</v>
      </c>
      <c r="I1085" t="s">
        <v>40</v>
      </c>
      <c r="J1085">
        <v>9</v>
      </c>
      <c r="K1085">
        <v>22597</v>
      </c>
      <c r="L1085">
        <f>Tabla24[[#This Row],[Precio_Unitario]]*Tabla24[[#This Row],[Unidades_Vendidas]]</f>
        <v>203373</v>
      </c>
      <c r="M1085" t="s">
        <v>20</v>
      </c>
    </row>
    <row r="1086" spans="1:13" x14ac:dyDescent="0.25">
      <c r="A1086" t="s">
        <v>243</v>
      </c>
      <c r="B1086" t="str">
        <f>TEXT(Tabla24[[#This Row],[Fecha]],"dddd")</f>
        <v>lunes</v>
      </c>
      <c r="C1086" t="str">
        <f>TEXT(Tabla24[[#This Row],[Fecha]],"mmmm")</f>
        <v>marzo</v>
      </c>
      <c r="D1086" t="str">
        <f>TEXT(Tabla24[[#This Row],[Fecha]],"aaaa")</f>
        <v>2024</v>
      </c>
      <c r="E1086" t="s">
        <v>42</v>
      </c>
      <c r="F1086" t="s">
        <v>12</v>
      </c>
      <c r="G1086" t="s">
        <v>48</v>
      </c>
      <c r="H1086" t="s">
        <v>35</v>
      </c>
      <c r="I1086" t="s">
        <v>26</v>
      </c>
      <c r="J1086">
        <v>2</v>
      </c>
      <c r="K1086">
        <v>45256</v>
      </c>
      <c r="L1086">
        <f>Tabla24[[#This Row],[Precio_Unitario]]*Tabla24[[#This Row],[Unidades_Vendidas]]</f>
        <v>90512</v>
      </c>
      <c r="M1086" t="s">
        <v>20</v>
      </c>
    </row>
    <row r="1087" spans="1:13" x14ac:dyDescent="0.25">
      <c r="A1087" t="s">
        <v>238</v>
      </c>
      <c r="B1087" t="str">
        <f>TEXT(Tabla24[[#This Row],[Fecha]],"dddd")</f>
        <v>miércoles</v>
      </c>
      <c r="C1087" t="str">
        <f>TEXT(Tabla24[[#This Row],[Fecha]],"mmmm")</f>
        <v>noviembre</v>
      </c>
      <c r="D1087" t="str">
        <f>TEXT(Tabla24[[#This Row],[Fecha]],"aaaa")</f>
        <v>2024</v>
      </c>
      <c r="E1087" t="s">
        <v>33</v>
      </c>
      <c r="F1087" t="s">
        <v>12</v>
      </c>
      <c r="G1087" t="s">
        <v>39</v>
      </c>
      <c r="H1087" t="s">
        <v>35</v>
      </c>
      <c r="I1087" t="s">
        <v>40</v>
      </c>
      <c r="J1087">
        <v>20</v>
      </c>
      <c r="K1087">
        <v>39377</v>
      </c>
      <c r="L1087">
        <f>Tabla24[[#This Row],[Precio_Unitario]]*Tabla24[[#This Row],[Unidades_Vendidas]]</f>
        <v>787540</v>
      </c>
      <c r="M1087" t="s">
        <v>16</v>
      </c>
    </row>
    <row r="1088" spans="1:13" x14ac:dyDescent="0.25">
      <c r="A1088" t="s">
        <v>336</v>
      </c>
      <c r="B1088" t="str">
        <f>TEXT(Tabla24[[#This Row],[Fecha]],"dddd")</f>
        <v>jueves</v>
      </c>
      <c r="C1088" t="str">
        <f>TEXT(Tabla24[[#This Row],[Fecha]],"mmmm")</f>
        <v>julio</v>
      </c>
      <c r="D1088" t="str">
        <f>TEXT(Tabla24[[#This Row],[Fecha]],"aaaa")</f>
        <v>2024</v>
      </c>
      <c r="E1088" t="s">
        <v>22</v>
      </c>
      <c r="F1088" t="s">
        <v>23</v>
      </c>
      <c r="G1088" t="s">
        <v>44</v>
      </c>
      <c r="H1088" t="s">
        <v>30</v>
      </c>
      <c r="I1088" t="s">
        <v>40</v>
      </c>
      <c r="J1088">
        <v>20</v>
      </c>
      <c r="K1088">
        <v>35624</v>
      </c>
      <c r="L1088">
        <f>Tabla24[[#This Row],[Precio_Unitario]]*Tabla24[[#This Row],[Unidades_Vendidas]]</f>
        <v>712480</v>
      </c>
      <c r="M1088" t="s">
        <v>36</v>
      </c>
    </row>
    <row r="1089" spans="1:13" x14ac:dyDescent="0.25">
      <c r="A1089" t="s">
        <v>359</v>
      </c>
      <c r="B1089" t="str">
        <f>TEXT(Tabla24[[#This Row],[Fecha]],"dddd")</f>
        <v>domingo</v>
      </c>
      <c r="C1089" t="str">
        <f>TEXT(Tabla24[[#This Row],[Fecha]],"mmmm")</f>
        <v>marzo</v>
      </c>
      <c r="D1089" t="str">
        <f>TEXT(Tabla24[[#This Row],[Fecha]],"aaaa")</f>
        <v>2024</v>
      </c>
      <c r="E1089" t="s">
        <v>33</v>
      </c>
      <c r="F1089" t="s">
        <v>34</v>
      </c>
      <c r="G1089" t="s">
        <v>24</v>
      </c>
      <c r="H1089" t="s">
        <v>25</v>
      </c>
      <c r="I1089" t="s">
        <v>15</v>
      </c>
      <c r="J1089">
        <v>18</v>
      </c>
      <c r="K1089">
        <v>43539</v>
      </c>
      <c r="L1089">
        <f>Tabla24[[#This Row],[Precio_Unitario]]*Tabla24[[#This Row],[Unidades_Vendidas]]</f>
        <v>783702</v>
      </c>
      <c r="M1089" t="s">
        <v>36</v>
      </c>
    </row>
    <row r="1090" spans="1:13" x14ac:dyDescent="0.25">
      <c r="A1090" t="s">
        <v>279</v>
      </c>
      <c r="B1090" t="str">
        <f>TEXT(Tabla24[[#This Row],[Fecha]],"dddd")</f>
        <v>miércoles</v>
      </c>
      <c r="C1090" t="str">
        <f>TEXT(Tabla24[[#This Row],[Fecha]],"mmmm")</f>
        <v>marzo</v>
      </c>
      <c r="D1090" t="str">
        <f>TEXT(Tabla24[[#This Row],[Fecha]],"aaaa")</f>
        <v>2024</v>
      </c>
      <c r="E1090" t="s">
        <v>11</v>
      </c>
      <c r="F1090" t="s">
        <v>23</v>
      </c>
      <c r="G1090" t="s">
        <v>44</v>
      </c>
      <c r="H1090" t="s">
        <v>30</v>
      </c>
      <c r="I1090" t="s">
        <v>26</v>
      </c>
      <c r="J1090">
        <v>19</v>
      </c>
      <c r="K1090">
        <v>51789</v>
      </c>
      <c r="L1090">
        <f>Tabla24[[#This Row],[Precio_Unitario]]*Tabla24[[#This Row],[Unidades_Vendidas]]</f>
        <v>983991</v>
      </c>
      <c r="M1090" t="s">
        <v>27</v>
      </c>
    </row>
    <row r="1091" spans="1:13" x14ac:dyDescent="0.25">
      <c r="A1091" t="s">
        <v>355</v>
      </c>
      <c r="B1091" t="str">
        <f>TEXT(Tabla24[[#This Row],[Fecha]],"dddd")</f>
        <v>miércoles</v>
      </c>
      <c r="C1091" t="str">
        <f>TEXT(Tabla24[[#This Row],[Fecha]],"mmmm")</f>
        <v>septiembre</v>
      </c>
      <c r="D1091" t="str">
        <f>TEXT(Tabla24[[#This Row],[Fecha]],"aaaa")</f>
        <v>2024</v>
      </c>
      <c r="E1091" t="s">
        <v>11</v>
      </c>
      <c r="F1091" t="s">
        <v>12</v>
      </c>
      <c r="G1091" t="s">
        <v>44</v>
      </c>
      <c r="H1091" t="s">
        <v>35</v>
      </c>
      <c r="I1091" t="s">
        <v>40</v>
      </c>
      <c r="J1091">
        <v>12</v>
      </c>
      <c r="K1091">
        <v>59406</v>
      </c>
      <c r="L1091">
        <f>Tabla24[[#This Row],[Precio_Unitario]]*Tabla24[[#This Row],[Unidades_Vendidas]]</f>
        <v>712872</v>
      </c>
      <c r="M1091" t="s">
        <v>16</v>
      </c>
    </row>
    <row r="1092" spans="1:13" x14ac:dyDescent="0.25">
      <c r="A1092" t="s">
        <v>66</v>
      </c>
      <c r="B1092" t="str">
        <f>TEXT(Tabla24[[#This Row],[Fecha]],"dddd")</f>
        <v>lunes</v>
      </c>
      <c r="C1092" t="str">
        <f>TEXT(Tabla24[[#This Row],[Fecha]],"mmmm")</f>
        <v>mayo</v>
      </c>
      <c r="D1092" t="str">
        <f>TEXT(Tabla24[[#This Row],[Fecha]],"aaaa")</f>
        <v>2024</v>
      </c>
      <c r="E1092" t="s">
        <v>18</v>
      </c>
      <c r="F1092" t="s">
        <v>12</v>
      </c>
      <c r="G1092" t="s">
        <v>39</v>
      </c>
      <c r="H1092" t="s">
        <v>35</v>
      </c>
      <c r="I1092" t="s">
        <v>40</v>
      </c>
      <c r="J1092">
        <v>4</v>
      </c>
      <c r="K1092">
        <v>53287</v>
      </c>
      <c r="L1092">
        <f>Tabla24[[#This Row],[Precio_Unitario]]*Tabla24[[#This Row],[Unidades_Vendidas]]</f>
        <v>213148</v>
      </c>
      <c r="M1092" t="s">
        <v>36</v>
      </c>
    </row>
    <row r="1093" spans="1:13" x14ac:dyDescent="0.25">
      <c r="A1093" t="s">
        <v>217</v>
      </c>
      <c r="B1093" t="str">
        <f>TEXT(Tabla24[[#This Row],[Fecha]],"dddd")</f>
        <v>sábado</v>
      </c>
      <c r="C1093" t="str">
        <f>TEXT(Tabla24[[#This Row],[Fecha]],"mmmm")</f>
        <v>diciembre</v>
      </c>
      <c r="D1093" t="str">
        <f>TEXT(Tabla24[[#This Row],[Fecha]],"aaaa")</f>
        <v>2024</v>
      </c>
      <c r="E1093" t="s">
        <v>22</v>
      </c>
      <c r="F1093" t="s">
        <v>12</v>
      </c>
      <c r="G1093" t="s">
        <v>24</v>
      </c>
      <c r="H1093" t="s">
        <v>19</v>
      </c>
      <c r="I1093" t="s">
        <v>15</v>
      </c>
      <c r="J1093">
        <v>11</v>
      </c>
      <c r="K1093">
        <v>51794</v>
      </c>
      <c r="L1093">
        <f>Tabla24[[#This Row],[Precio_Unitario]]*Tabla24[[#This Row],[Unidades_Vendidas]]</f>
        <v>569734</v>
      </c>
      <c r="M1093" t="s">
        <v>36</v>
      </c>
    </row>
    <row r="1094" spans="1:13" x14ac:dyDescent="0.25">
      <c r="A1094" t="s">
        <v>288</v>
      </c>
      <c r="B1094" t="str">
        <f>TEXT(Tabla24[[#This Row],[Fecha]],"dddd")</f>
        <v>viernes</v>
      </c>
      <c r="C1094" t="str">
        <f>TEXT(Tabla24[[#This Row],[Fecha]],"mmmm")</f>
        <v>junio</v>
      </c>
      <c r="D1094" t="str">
        <f>TEXT(Tabla24[[#This Row],[Fecha]],"aaaa")</f>
        <v>2024</v>
      </c>
      <c r="E1094" t="s">
        <v>33</v>
      </c>
      <c r="F1094" t="s">
        <v>34</v>
      </c>
      <c r="G1094" t="s">
        <v>39</v>
      </c>
      <c r="H1094" t="s">
        <v>30</v>
      </c>
      <c r="I1094" t="s">
        <v>15</v>
      </c>
      <c r="J1094">
        <v>17</v>
      </c>
      <c r="K1094">
        <v>58927</v>
      </c>
      <c r="L1094">
        <f>Tabla24[[#This Row],[Precio_Unitario]]*Tabla24[[#This Row],[Unidades_Vendidas]]</f>
        <v>1001759</v>
      </c>
      <c r="M1094" t="s">
        <v>20</v>
      </c>
    </row>
    <row r="1095" spans="1:13" x14ac:dyDescent="0.25">
      <c r="A1095" t="s">
        <v>301</v>
      </c>
      <c r="B1095" t="str">
        <f>TEXT(Tabla24[[#This Row],[Fecha]],"dddd")</f>
        <v>lunes</v>
      </c>
      <c r="C1095" t="str">
        <f>TEXT(Tabla24[[#This Row],[Fecha]],"mmmm")</f>
        <v>octubre</v>
      </c>
      <c r="D1095" t="str">
        <f>TEXT(Tabla24[[#This Row],[Fecha]],"aaaa")</f>
        <v>2024</v>
      </c>
      <c r="E1095" t="s">
        <v>33</v>
      </c>
      <c r="F1095" t="s">
        <v>38</v>
      </c>
      <c r="G1095" t="s">
        <v>48</v>
      </c>
      <c r="H1095" t="s">
        <v>30</v>
      </c>
      <c r="I1095" t="s">
        <v>15</v>
      </c>
      <c r="J1095">
        <v>5</v>
      </c>
      <c r="K1095">
        <v>31650</v>
      </c>
      <c r="L1095">
        <f>Tabla24[[#This Row],[Precio_Unitario]]*Tabla24[[#This Row],[Unidades_Vendidas]]</f>
        <v>158250</v>
      </c>
      <c r="M1095" t="s">
        <v>27</v>
      </c>
    </row>
    <row r="1096" spans="1:13" x14ac:dyDescent="0.25">
      <c r="A1096" t="s">
        <v>381</v>
      </c>
      <c r="B1096" t="str">
        <f>TEXT(Tabla24[[#This Row],[Fecha]],"dddd")</f>
        <v>sábado</v>
      </c>
      <c r="C1096" t="str">
        <f>TEXT(Tabla24[[#This Row],[Fecha]],"mmmm")</f>
        <v>septiembre</v>
      </c>
      <c r="D1096" t="str">
        <f>TEXT(Tabla24[[#This Row],[Fecha]],"aaaa")</f>
        <v>2024</v>
      </c>
      <c r="E1096" t="s">
        <v>33</v>
      </c>
      <c r="F1096" t="s">
        <v>34</v>
      </c>
      <c r="G1096" t="s">
        <v>44</v>
      </c>
      <c r="H1096" t="s">
        <v>30</v>
      </c>
      <c r="I1096" t="s">
        <v>15</v>
      </c>
      <c r="J1096">
        <v>15</v>
      </c>
      <c r="K1096">
        <v>21569</v>
      </c>
      <c r="L1096">
        <f>Tabla24[[#This Row],[Precio_Unitario]]*Tabla24[[#This Row],[Unidades_Vendidas]]</f>
        <v>323535</v>
      </c>
      <c r="M1096" t="s">
        <v>27</v>
      </c>
    </row>
    <row r="1097" spans="1:13" x14ac:dyDescent="0.25">
      <c r="A1097" t="s">
        <v>260</v>
      </c>
      <c r="B1097" t="str">
        <f>TEXT(Tabla24[[#This Row],[Fecha]],"dddd")</f>
        <v>viernes</v>
      </c>
      <c r="C1097" t="str">
        <f>TEXT(Tabla24[[#This Row],[Fecha]],"mmmm")</f>
        <v>noviembre</v>
      </c>
      <c r="D1097" t="str">
        <f>TEXT(Tabla24[[#This Row],[Fecha]],"aaaa")</f>
        <v>2024</v>
      </c>
      <c r="E1097" t="s">
        <v>42</v>
      </c>
      <c r="F1097" t="s">
        <v>29</v>
      </c>
      <c r="G1097" t="s">
        <v>39</v>
      </c>
      <c r="H1097" t="s">
        <v>19</v>
      </c>
      <c r="I1097" t="s">
        <v>26</v>
      </c>
      <c r="J1097">
        <v>20</v>
      </c>
      <c r="K1097">
        <v>36409</v>
      </c>
      <c r="L1097">
        <f>Tabla24[[#This Row],[Precio_Unitario]]*Tabla24[[#This Row],[Unidades_Vendidas]]</f>
        <v>728180</v>
      </c>
      <c r="M1097" t="s">
        <v>36</v>
      </c>
    </row>
    <row r="1098" spans="1:13" x14ac:dyDescent="0.25">
      <c r="A1098" t="s">
        <v>382</v>
      </c>
      <c r="B1098" t="str">
        <f>TEXT(Tabla24[[#This Row],[Fecha]],"dddd")</f>
        <v>jueves</v>
      </c>
      <c r="C1098" t="str">
        <f>TEXT(Tabla24[[#This Row],[Fecha]],"mmmm")</f>
        <v>junio</v>
      </c>
      <c r="D1098" t="str">
        <f>TEXT(Tabla24[[#This Row],[Fecha]],"aaaa")</f>
        <v>2024</v>
      </c>
      <c r="E1098" t="s">
        <v>33</v>
      </c>
      <c r="F1098" t="s">
        <v>12</v>
      </c>
      <c r="G1098" t="s">
        <v>44</v>
      </c>
      <c r="H1098" t="s">
        <v>30</v>
      </c>
      <c r="I1098" t="s">
        <v>26</v>
      </c>
      <c r="J1098">
        <v>3</v>
      </c>
      <c r="K1098">
        <v>23272</v>
      </c>
      <c r="L1098">
        <f>Tabla24[[#This Row],[Precio_Unitario]]*Tabla24[[#This Row],[Unidades_Vendidas]]</f>
        <v>69816</v>
      </c>
      <c r="M1098" t="s">
        <v>36</v>
      </c>
    </row>
    <row r="1099" spans="1:13" x14ac:dyDescent="0.25">
      <c r="A1099" t="s">
        <v>383</v>
      </c>
      <c r="B1099" t="str">
        <f>TEXT(Tabla24[[#This Row],[Fecha]],"dddd")</f>
        <v>sábado</v>
      </c>
      <c r="C1099" t="str">
        <f>TEXT(Tabla24[[#This Row],[Fecha]],"mmmm")</f>
        <v>diciembre</v>
      </c>
      <c r="D1099" t="str">
        <f>TEXT(Tabla24[[#This Row],[Fecha]],"aaaa")</f>
        <v>2024</v>
      </c>
      <c r="E1099" t="s">
        <v>22</v>
      </c>
      <c r="F1099" t="s">
        <v>38</v>
      </c>
      <c r="G1099" t="s">
        <v>39</v>
      </c>
      <c r="H1099" t="s">
        <v>19</v>
      </c>
      <c r="I1099" t="s">
        <v>15</v>
      </c>
      <c r="J1099">
        <v>15</v>
      </c>
      <c r="K1099">
        <v>50437</v>
      </c>
      <c r="L1099">
        <f>Tabla24[[#This Row],[Precio_Unitario]]*Tabla24[[#This Row],[Unidades_Vendidas]]</f>
        <v>756555</v>
      </c>
      <c r="M1099" t="s">
        <v>36</v>
      </c>
    </row>
    <row r="1100" spans="1:13" x14ac:dyDescent="0.25">
      <c r="A1100" t="s">
        <v>52</v>
      </c>
      <c r="B1100" t="str">
        <f>TEXT(Tabla24[[#This Row],[Fecha]],"dddd")</f>
        <v>jueves</v>
      </c>
      <c r="C1100" t="str">
        <f>TEXT(Tabla24[[#This Row],[Fecha]],"mmmm")</f>
        <v>diciembre</v>
      </c>
      <c r="D1100" t="str">
        <f>TEXT(Tabla24[[#This Row],[Fecha]],"aaaa")</f>
        <v>2024</v>
      </c>
      <c r="E1100" t="s">
        <v>42</v>
      </c>
      <c r="F1100" t="s">
        <v>23</v>
      </c>
      <c r="G1100" t="s">
        <v>48</v>
      </c>
      <c r="H1100" t="s">
        <v>35</v>
      </c>
      <c r="I1100" t="s">
        <v>15</v>
      </c>
      <c r="J1100">
        <v>12</v>
      </c>
      <c r="K1100">
        <v>25521</v>
      </c>
      <c r="L1100">
        <f>Tabla24[[#This Row],[Precio_Unitario]]*Tabla24[[#This Row],[Unidades_Vendidas]]</f>
        <v>306252</v>
      </c>
      <c r="M1100" t="s">
        <v>20</v>
      </c>
    </row>
    <row r="1101" spans="1:13" x14ac:dyDescent="0.25">
      <c r="A1101" t="s">
        <v>384</v>
      </c>
      <c r="B1101" t="str">
        <f>TEXT(Tabla24[[#This Row],[Fecha]],"dddd")</f>
        <v>sábado</v>
      </c>
      <c r="C1101" t="str">
        <f>TEXT(Tabla24[[#This Row],[Fecha]],"mmmm")</f>
        <v>agosto</v>
      </c>
      <c r="D1101" t="str">
        <f>TEXT(Tabla24[[#This Row],[Fecha]],"aaaa")</f>
        <v>2024</v>
      </c>
      <c r="E1101" t="s">
        <v>42</v>
      </c>
      <c r="F1101" t="s">
        <v>34</v>
      </c>
      <c r="G1101" t="s">
        <v>39</v>
      </c>
      <c r="H1101" t="s">
        <v>25</v>
      </c>
      <c r="I1101" t="s">
        <v>40</v>
      </c>
      <c r="J1101">
        <v>9</v>
      </c>
      <c r="K1101">
        <v>19849</v>
      </c>
      <c r="L1101">
        <f>Tabla24[[#This Row],[Precio_Unitario]]*Tabla24[[#This Row],[Unidades_Vendidas]]</f>
        <v>178641</v>
      </c>
      <c r="M1101" t="s">
        <v>36</v>
      </c>
    </row>
    <row r="1102" spans="1:13" x14ac:dyDescent="0.25">
      <c r="A1102" t="s">
        <v>238</v>
      </c>
      <c r="B1102" t="str">
        <f>TEXT(Tabla24[[#This Row],[Fecha]],"dddd")</f>
        <v>miércoles</v>
      </c>
      <c r="C1102" t="str">
        <f>TEXT(Tabla24[[#This Row],[Fecha]],"mmmm")</f>
        <v>noviembre</v>
      </c>
      <c r="D1102" t="str">
        <f>TEXT(Tabla24[[#This Row],[Fecha]],"aaaa")</f>
        <v>2024</v>
      </c>
      <c r="E1102" t="s">
        <v>18</v>
      </c>
      <c r="F1102" t="s">
        <v>38</v>
      </c>
      <c r="G1102" t="s">
        <v>13</v>
      </c>
      <c r="H1102" t="s">
        <v>19</v>
      </c>
      <c r="I1102" t="s">
        <v>26</v>
      </c>
      <c r="J1102">
        <v>18</v>
      </c>
      <c r="K1102">
        <v>28317</v>
      </c>
      <c r="L1102">
        <f>Tabla24[[#This Row],[Precio_Unitario]]*Tabla24[[#This Row],[Unidades_Vendidas]]</f>
        <v>509706</v>
      </c>
      <c r="M1102" t="s">
        <v>20</v>
      </c>
    </row>
    <row r="1103" spans="1:13" x14ac:dyDescent="0.25">
      <c r="A1103" t="s">
        <v>209</v>
      </c>
      <c r="B1103" t="str">
        <f>TEXT(Tabla24[[#This Row],[Fecha]],"dddd")</f>
        <v>martes</v>
      </c>
      <c r="C1103" t="str">
        <f>TEXT(Tabla24[[#This Row],[Fecha]],"mmmm")</f>
        <v>septiembre</v>
      </c>
      <c r="D1103" t="str">
        <f>TEXT(Tabla24[[#This Row],[Fecha]],"aaaa")</f>
        <v>2024</v>
      </c>
      <c r="E1103" t="s">
        <v>33</v>
      </c>
      <c r="F1103" t="s">
        <v>12</v>
      </c>
      <c r="G1103" t="s">
        <v>39</v>
      </c>
      <c r="H1103" t="s">
        <v>35</v>
      </c>
      <c r="I1103" t="s">
        <v>15</v>
      </c>
      <c r="J1103">
        <v>3</v>
      </c>
      <c r="K1103">
        <v>41749</v>
      </c>
      <c r="L1103">
        <f>Tabla24[[#This Row],[Precio_Unitario]]*Tabla24[[#This Row],[Unidades_Vendidas]]</f>
        <v>125247</v>
      </c>
      <c r="M1103" t="s">
        <v>20</v>
      </c>
    </row>
    <row r="1104" spans="1:13" x14ac:dyDescent="0.25">
      <c r="A1104" t="s">
        <v>217</v>
      </c>
      <c r="B1104" t="str">
        <f>TEXT(Tabla24[[#This Row],[Fecha]],"dddd")</f>
        <v>sábado</v>
      </c>
      <c r="C1104" t="str">
        <f>TEXT(Tabla24[[#This Row],[Fecha]],"mmmm")</f>
        <v>diciembre</v>
      </c>
      <c r="D1104" t="str">
        <f>TEXT(Tabla24[[#This Row],[Fecha]],"aaaa")</f>
        <v>2024</v>
      </c>
      <c r="E1104" t="s">
        <v>18</v>
      </c>
      <c r="F1104" t="s">
        <v>23</v>
      </c>
      <c r="G1104" t="s">
        <v>48</v>
      </c>
      <c r="H1104" t="s">
        <v>30</v>
      </c>
      <c r="I1104" t="s">
        <v>15</v>
      </c>
      <c r="J1104">
        <v>10</v>
      </c>
      <c r="K1104">
        <v>51240</v>
      </c>
      <c r="L1104">
        <f>Tabla24[[#This Row],[Precio_Unitario]]*Tabla24[[#This Row],[Unidades_Vendidas]]</f>
        <v>512400</v>
      </c>
      <c r="M1104" t="s">
        <v>36</v>
      </c>
    </row>
    <row r="1105" spans="1:13" x14ac:dyDescent="0.25">
      <c r="A1105" t="s">
        <v>189</v>
      </c>
      <c r="B1105" t="str">
        <f>TEXT(Tabla24[[#This Row],[Fecha]],"dddd")</f>
        <v>sábado</v>
      </c>
      <c r="C1105" t="str">
        <f>TEXT(Tabla24[[#This Row],[Fecha]],"mmmm")</f>
        <v>abril</v>
      </c>
      <c r="D1105" t="str">
        <f>TEXT(Tabla24[[#This Row],[Fecha]],"aaaa")</f>
        <v>2024</v>
      </c>
      <c r="E1105" t="s">
        <v>18</v>
      </c>
      <c r="F1105" t="s">
        <v>12</v>
      </c>
      <c r="G1105" t="s">
        <v>44</v>
      </c>
      <c r="H1105" t="s">
        <v>25</v>
      </c>
      <c r="I1105" t="s">
        <v>26</v>
      </c>
      <c r="J1105">
        <v>5</v>
      </c>
      <c r="K1105">
        <v>23522</v>
      </c>
      <c r="L1105">
        <f>Tabla24[[#This Row],[Precio_Unitario]]*Tabla24[[#This Row],[Unidades_Vendidas]]</f>
        <v>117610</v>
      </c>
      <c r="M1105" t="s">
        <v>16</v>
      </c>
    </row>
    <row r="1106" spans="1:13" x14ac:dyDescent="0.25">
      <c r="A1106" t="s">
        <v>79</v>
      </c>
      <c r="B1106" t="str">
        <f>TEXT(Tabla24[[#This Row],[Fecha]],"dddd")</f>
        <v>lunes</v>
      </c>
      <c r="C1106" t="str">
        <f>TEXT(Tabla24[[#This Row],[Fecha]],"mmmm")</f>
        <v>diciembre</v>
      </c>
      <c r="D1106" t="str">
        <f>TEXT(Tabla24[[#This Row],[Fecha]],"aaaa")</f>
        <v>2024</v>
      </c>
      <c r="E1106" t="s">
        <v>22</v>
      </c>
      <c r="F1106" t="s">
        <v>29</v>
      </c>
      <c r="G1106" t="s">
        <v>44</v>
      </c>
      <c r="H1106" t="s">
        <v>35</v>
      </c>
      <c r="I1106" t="s">
        <v>15</v>
      </c>
      <c r="J1106">
        <v>16</v>
      </c>
      <c r="K1106">
        <v>16451</v>
      </c>
      <c r="L1106">
        <f>Tabla24[[#This Row],[Precio_Unitario]]*Tabla24[[#This Row],[Unidades_Vendidas]]</f>
        <v>263216</v>
      </c>
      <c r="M1106" t="s">
        <v>16</v>
      </c>
    </row>
    <row r="1107" spans="1:13" x14ac:dyDescent="0.25">
      <c r="A1107" t="s">
        <v>289</v>
      </c>
      <c r="B1107" t="str">
        <f>TEXT(Tabla24[[#This Row],[Fecha]],"dddd")</f>
        <v>miércoles</v>
      </c>
      <c r="C1107" t="str">
        <f>TEXT(Tabla24[[#This Row],[Fecha]],"mmmm")</f>
        <v>diciembre</v>
      </c>
      <c r="D1107" t="str">
        <f>TEXT(Tabla24[[#This Row],[Fecha]],"aaaa")</f>
        <v>2024</v>
      </c>
      <c r="E1107" t="s">
        <v>33</v>
      </c>
      <c r="F1107" t="s">
        <v>23</v>
      </c>
      <c r="G1107" t="s">
        <v>44</v>
      </c>
      <c r="H1107" t="s">
        <v>30</v>
      </c>
      <c r="I1107" t="s">
        <v>26</v>
      </c>
      <c r="J1107">
        <v>16</v>
      </c>
      <c r="K1107">
        <v>18840</v>
      </c>
      <c r="L1107">
        <f>Tabla24[[#This Row],[Precio_Unitario]]*Tabla24[[#This Row],[Unidades_Vendidas]]</f>
        <v>301440</v>
      </c>
      <c r="M1107" t="s">
        <v>36</v>
      </c>
    </row>
    <row r="1108" spans="1:13" x14ac:dyDescent="0.25">
      <c r="A1108" t="s">
        <v>282</v>
      </c>
      <c r="B1108" t="str">
        <f>TEXT(Tabla24[[#This Row],[Fecha]],"dddd")</f>
        <v>domingo</v>
      </c>
      <c r="C1108" t="str">
        <f>TEXT(Tabla24[[#This Row],[Fecha]],"mmmm")</f>
        <v>junio</v>
      </c>
      <c r="D1108" t="str">
        <f>TEXT(Tabla24[[#This Row],[Fecha]],"aaaa")</f>
        <v>2024</v>
      </c>
      <c r="E1108" t="s">
        <v>11</v>
      </c>
      <c r="F1108" t="s">
        <v>12</v>
      </c>
      <c r="G1108" t="s">
        <v>39</v>
      </c>
      <c r="H1108" t="s">
        <v>25</v>
      </c>
      <c r="I1108" t="s">
        <v>15</v>
      </c>
      <c r="J1108">
        <v>8</v>
      </c>
      <c r="K1108">
        <v>32722</v>
      </c>
      <c r="L1108">
        <f>Tabla24[[#This Row],[Precio_Unitario]]*Tabla24[[#This Row],[Unidades_Vendidas]]</f>
        <v>261776</v>
      </c>
      <c r="M1108" t="s">
        <v>36</v>
      </c>
    </row>
    <row r="1109" spans="1:13" x14ac:dyDescent="0.25">
      <c r="A1109" t="s">
        <v>270</v>
      </c>
      <c r="B1109" t="str">
        <f>TEXT(Tabla24[[#This Row],[Fecha]],"dddd")</f>
        <v>viernes</v>
      </c>
      <c r="C1109" t="str">
        <f>TEXT(Tabla24[[#This Row],[Fecha]],"mmmm")</f>
        <v>octubre</v>
      </c>
      <c r="D1109" t="str">
        <f>TEXT(Tabla24[[#This Row],[Fecha]],"aaaa")</f>
        <v>2024</v>
      </c>
      <c r="E1109" t="s">
        <v>18</v>
      </c>
      <c r="F1109" t="s">
        <v>23</v>
      </c>
      <c r="G1109" t="s">
        <v>44</v>
      </c>
      <c r="H1109" t="s">
        <v>25</v>
      </c>
      <c r="I1109" t="s">
        <v>15</v>
      </c>
      <c r="J1109">
        <v>13</v>
      </c>
      <c r="K1109">
        <v>55343</v>
      </c>
      <c r="L1109">
        <f>Tabla24[[#This Row],[Precio_Unitario]]*Tabla24[[#This Row],[Unidades_Vendidas]]</f>
        <v>719459</v>
      </c>
      <c r="M1109" t="s">
        <v>27</v>
      </c>
    </row>
    <row r="1110" spans="1:13" x14ac:dyDescent="0.25">
      <c r="A1110" t="s">
        <v>82</v>
      </c>
      <c r="B1110" t="str">
        <f>TEXT(Tabla24[[#This Row],[Fecha]],"dddd")</f>
        <v>viernes</v>
      </c>
      <c r="C1110" t="str">
        <f>TEXT(Tabla24[[#This Row],[Fecha]],"mmmm")</f>
        <v>junio</v>
      </c>
      <c r="D1110" t="str">
        <f>TEXT(Tabla24[[#This Row],[Fecha]],"aaaa")</f>
        <v>2024</v>
      </c>
      <c r="E1110" t="s">
        <v>42</v>
      </c>
      <c r="F1110" t="s">
        <v>34</v>
      </c>
      <c r="G1110" t="s">
        <v>39</v>
      </c>
      <c r="H1110" t="s">
        <v>30</v>
      </c>
      <c r="I1110" t="s">
        <v>15</v>
      </c>
      <c r="J1110">
        <v>12</v>
      </c>
      <c r="K1110">
        <v>47969</v>
      </c>
      <c r="L1110">
        <f>Tabla24[[#This Row],[Precio_Unitario]]*Tabla24[[#This Row],[Unidades_Vendidas]]</f>
        <v>575628</v>
      </c>
      <c r="M1110" t="s">
        <v>16</v>
      </c>
    </row>
    <row r="1111" spans="1:13" x14ac:dyDescent="0.25">
      <c r="A1111" t="s">
        <v>68</v>
      </c>
      <c r="B1111" t="str">
        <f>TEXT(Tabla24[[#This Row],[Fecha]],"dddd")</f>
        <v>viernes</v>
      </c>
      <c r="C1111" t="str">
        <f>TEXT(Tabla24[[#This Row],[Fecha]],"mmmm")</f>
        <v>diciembre</v>
      </c>
      <c r="D1111" t="str">
        <f>TEXT(Tabla24[[#This Row],[Fecha]],"aaaa")</f>
        <v>2024</v>
      </c>
      <c r="E1111" t="s">
        <v>33</v>
      </c>
      <c r="F1111" t="s">
        <v>29</v>
      </c>
      <c r="G1111" t="s">
        <v>13</v>
      </c>
      <c r="H1111" t="s">
        <v>30</v>
      </c>
      <c r="I1111" t="s">
        <v>15</v>
      </c>
      <c r="J1111">
        <v>3</v>
      </c>
      <c r="K1111">
        <v>45171</v>
      </c>
      <c r="L1111">
        <f>Tabla24[[#This Row],[Precio_Unitario]]*Tabla24[[#This Row],[Unidades_Vendidas]]</f>
        <v>135513</v>
      </c>
      <c r="M1111" t="s">
        <v>16</v>
      </c>
    </row>
    <row r="1112" spans="1:13" x14ac:dyDescent="0.25">
      <c r="A1112" t="s">
        <v>126</v>
      </c>
      <c r="B1112" t="str">
        <f>TEXT(Tabla24[[#This Row],[Fecha]],"dddd")</f>
        <v>lunes</v>
      </c>
      <c r="C1112" t="str">
        <f>TEXT(Tabla24[[#This Row],[Fecha]],"mmmm")</f>
        <v>noviembre</v>
      </c>
      <c r="D1112" t="str">
        <f>TEXT(Tabla24[[#This Row],[Fecha]],"aaaa")</f>
        <v>2024</v>
      </c>
      <c r="E1112" t="s">
        <v>22</v>
      </c>
      <c r="F1112" t="s">
        <v>12</v>
      </c>
      <c r="G1112" t="s">
        <v>48</v>
      </c>
      <c r="H1112" t="s">
        <v>19</v>
      </c>
      <c r="I1112" t="s">
        <v>26</v>
      </c>
      <c r="J1112">
        <v>11</v>
      </c>
      <c r="K1112">
        <v>45803</v>
      </c>
      <c r="L1112">
        <f>Tabla24[[#This Row],[Precio_Unitario]]*Tabla24[[#This Row],[Unidades_Vendidas]]</f>
        <v>503833</v>
      </c>
      <c r="M1112" t="s">
        <v>27</v>
      </c>
    </row>
    <row r="1113" spans="1:13" x14ac:dyDescent="0.25">
      <c r="A1113" t="s">
        <v>380</v>
      </c>
      <c r="B1113" t="str">
        <f>TEXT(Tabla24[[#This Row],[Fecha]],"dddd")</f>
        <v>jueves</v>
      </c>
      <c r="C1113" t="str">
        <f>TEXT(Tabla24[[#This Row],[Fecha]],"mmmm")</f>
        <v>octubre</v>
      </c>
      <c r="D1113" t="str">
        <f>TEXT(Tabla24[[#This Row],[Fecha]],"aaaa")</f>
        <v>2024</v>
      </c>
      <c r="E1113" t="s">
        <v>42</v>
      </c>
      <c r="F1113" t="s">
        <v>29</v>
      </c>
      <c r="G1113" t="s">
        <v>39</v>
      </c>
      <c r="H1113" t="s">
        <v>19</v>
      </c>
      <c r="I1113" t="s">
        <v>26</v>
      </c>
      <c r="J1113">
        <v>19</v>
      </c>
      <c r="K1113">
        <v>26852</v>
      </c>
      <c r="L1113">
        <f>Tabla24[[#This Row],[Precio_Unitario]]*Tabla24[[#This Row],[Unidades_Vendidas]]</f>
        <v>510188</v>
      </c>
      <c r="M1113" t="s">
        <v>27</v>
      </c>
    </row>
    <row r="1114" spans="1:13" x14ac:dyDescent="0.25">
      <c r="A1114" t="s">
        <v>346</v>
      </c>
      <c r="B1114" t="str">
        <f>TEXT(Tabla24[[#This Row],[Fecha]],"dddd")</f>
        <v>domingo</v>
      </c>
      <c r="C1114" t="str">
        <f>TEXT(Tabla24[[#This Row],[Fecha]],"mmmm")</f>
        <v>septiembre</v>
      </c>
      <c r="D1114" t="str">
        <f>TEXT(Tabla24[[#This Row],[Fecha]],"aaaa")</f>
        <v>2024</v>
      </c>
      <c r="E1114" t="s">
        <v>22</v>
      </c>
      <c r="F1114" t="s">
        <v>34</v>
      </c>
      <c r="G1114" t="s">
        <v>13</v>
      </c>
      <c r="H1114" t="s">
        <v>35</v>
      </c>
      <c r="I1114" t="s">
        <v>26</v>
      </c>
      <c r="J1114">
        <v>16</v>
      </c>
      <c r="K1114">
        <v>56434</v>
      </c>
      <c r="L1114">
        <f>Tabla24[[#This Row],[Precio_Unitario]]*Tabla24[[#This Row],[Unidades_Vendidas]]</f>
        <v>902944</v>
      </c>
      <c r="M1114" t="s">
        <v>27</v>
      </c>
    </row>
    <row r="1115" spans="1:13" x14ac:dyDescent="0.25">
      <c r="A1115" t="s">
        <v>72</v>
      </c>
      <c r="B1115" t="str">
        <f>TEXT(Tabla24[[#This Row],[Fecha]],"dddd")</f>
        <v>sábado</v>
      </c>
      <c r="C1115" t="str">
        <f>TEXT(Tabla24[[#This Row],[Fecha]],"mmmm")</f>
        <v>septiembre</v>
      </c>
      <c r="D1115" t="str">
        <f>TEXT(Tabla24[[#This Row],[Fecha]],"aaaa")</f>
        <v>2024</v>
      </c>
      <c r="E1115" t="s">
        <v>18</v>
      </c>
      <c r="F1115" t="s">
        <v>29</v>
      </c>
      <c r="G1115" t="s">
        <v>13</v>
      </c>
      <c r="H1115" t="s">
        <v>25</v>
      </c>
      <c r="I1115" t="s">
        <v>26</v>
      </c>
      <c r="J1115">
        <v>10</v>
      </c>
      <c r="K1115">
        <v>59089</v>
      </c>
      <c r="L1115">
        <f>Tabla24[[#This Row],[Precio_Unitario]]*Tabla24[[#This Row],[Unidades_Vendidas]]</f>
        <v>590890</v>
      </c>
      <c r="M1115" t="s">
        <v>16</v>
      </c>
    </row>
    <row r="1116" spans="1:13" x14ac:dyDescent="0.25">
      <c r="A1116" t="s">
        <v>31</v>
      </c>
      <c r="B1116" t="str">
        <f>TEXT(Tabla24[[#This Row],[Fecha]],"dddd")</f>
        <v>miércoles</v>
      </c>
      <c r="C1116" t="str">
        <f>TEXT(Tabla24[[#This Row],[Fecha]],"mmmm")</f>
        <v>abril</v>
      </c>
      <c r="D1116" t="str">
        <f>TEXT(Tabla24[[#This Row],[Fecha]],"aaaa")</f>
        <v>2024</v>
      </c>
      <c r="E1116" t="s">
        <v>33</v>
      </c>
      <c r="F1116" t="s">
        <v>29</v>
      </c>
      <c r="G1116" t="s">
        <v>13</v>
      </c>
      <c r="H1116" t="s">
        <v>30</v>
      </c>
      <c r="I1116" t="s">
        <v>26</v>
      </c>
      <c r="J1116">
        <v>20</v>
      </c>
      <c r="K1116">
        <v>29790</v>
      </c>
      <c r="L1116">
        <f>Tabla24[[#This Row],[Precio_Unitario]]*Tabla24[[#This Row],[Unidades_Vendidas]]</f>
        <v>595800</v>
      </c>
      <c r="M1116" t="s">
        <v>20</v>
      </c>
    </row>
    <row r="1117" spans="1:13" x14ac:dyDescent="0.25">
      <c r="A1117" t="s">
        <v>382</v>
      </c>
      <c r="B1117" t="str">
        <f>TEXT(Tabla24[[#This Row],[Fecha]],"dddd")</f>
        <v>jueves</v>
      </c>
      <c r="C1117" t="str">
        <f>TEXT(Tabla24[[#This Row],[Fecha]],"mmmm")</f>
        <v>junio</v>
      </c>
      <c r="D1117" t="str">
        <f>TEXT(Tabla24[[#This Row],[Fecha]],"aaaa")</f>
        <v>2024</v>
      </c>
      <c r="E1117" t="s">
        <v>33</v>
      </c>
      <c r="F1117" t="s">
        <v>34</v>
      </c>
      <c r="G1117" t="s">
        <v>39</v>
      </c>
      <c r="H1117" t="s">
        <v>14</v>
      </c>
      <c r="I1117" t="s">
        <v>26</v>
      </c>
      <c r="J1117">
        <v>5</v>
      </c>
      <c r="K1117">
        <v>19751</v>
      </c>
      <c r="L1117">
        <f>Tabla24[[#This Row],[Precio_Unitario]]*Tabla24[[#This Row],[Unidades_Vendidas]]</f>
        <v>98755</v>
      </c>
      <c r="M1117" t="s">
        <v>27</v>
      </c>
    </row>
    <row r="1118" spans="1:13" x14ac:dyDescent="0.25">
      <c r="A1118" t="s">
        <v>17</v>
      </c>
      <c r="B1118" t="str">
        <f>TEXT(Tabla24[[#This Row],[Fecha]],"dddd")</f>
        <v>lunes</v>
      </c>
      <c r="C1118" t="str">
        <f>TEXT(Tabla24[[#This Row],[Fecha]],"mmmm")</f>
        <v>septiembre</v>
      </c>
      <c r="D1118" t="str">
        <f>TEXT(Tabla24[[#This Row],[Fecha]],"aaaa")</f>
        <v>2024</v>
      </c>
      <c r="E1118" t="s">
        <v>22</v>
      </c>
      <c r="F1118" t="s">
        <v>29</v>
      </c>
      <c r="G1118" t="s">
        <v>39</v>
      </c>
      <c r="H1118" t="s">
        <v>30</v>
      </c>
      <c r="I1118" t="s">
        <v>40</v>
      </c>
      <c r="J1118">
        <v>19</v>
      </c>
      <c r="K1118">
        <v>27035</v>
      </c>
      <c r="L1118">
        <f>Tabla24[[#This Row],[Precio_Unitario]]*Tabla24[[#This Row],[Unidades_Vendidas]]</f>
        <v>513665</v>
      </c>
      <c r="M1118" t="s">
        <v>36</v>
      </c>
    </row>
    <row r="1119" spans="1:13" x14ac:dyDescent="0.25">
      <c r="A1119" t="s">
        <v>81</v>
      </c>
      <c r="B1119" t="str">
        <f>TEXT(Tabla24[[#This Row],[Fecha]],"dddd")</f>
        <v>sábado</v>
      </c>
      <c r="C1119" t="str">
        <f>TEXT(Tabla24[[#This Row],[Fecha]],"mmmm")</f>
        <v>diciembre</v>
      </c>
      <c r="D1119" t="str">
        <f>TEXT(Tabla24[[#This Row],[Fecha]],"aaaa")</f>
        <v>2024</v>
      </c>
      <c r="E1119" t="s">
        <v>18</v>
      </c>
      <c r="F1119" t="s">
        <v>38</v>
      </c>
      <c r="G1119" t="s">
        <v>24</v>
      </c>
      <c r="H1119" t="s">
        <v>30</v>
      </c>
      <c r="I1119" t="s">
        <v>40</v>
      </c>
      <c r="J1119">
        <v>7</v>
      </c>
      <c r="K1119">
        <v>33886</v>
      </c>
      <c r="L1119">
        <f>Tabla24[[#This Row],[Precio_Unitario]]*Tabla24[[#This Row],[Unidades_Vendidas]]</f>
        <v>237202</v>
      </c>
      <c r="M1119" t="s">
        <v>20</v>
      </c>
    </row>
    <row r="1120" spans="1:13" x14ac:dyDescent="0.25">
      <c r="A1120" t="s">
        <v>318</v>
      </c>
      <c r="B1120" t="str">
        <f>TEXT(Tabla24[[#This Row],[Fecha]],"dddd")</f>
        <v>viernes</v>
      </c>
      <c r="C1120" t="str">
        <f>TEXT(Tabla24[[#This Row],[Fecha]],"mmmm")</f>
        <v>noviembre</v>
      </c>
      <c r="D1120" t="str">
        <f>TEXT(Tabla24[[#This Row],[Fecha]],"aaaa")</f>
        <v>2024</v>
      </c>
      <c r="E1120" t="s">
        <v>22</v>
      </c>
      <c r="F1120" t="s">
        <v>23</v>
      </c>
      <c r="G1120" t="s">
        <v>24</v>
      </c>
      <c r="H1120" t="s">
        <v>14</v>
      </c>
      <c r="I1120" t="s">
        <v>40</v>
      </c>
      <c r="J1120">
        <v>14</v>
      </c>
      <c r="K1120">
        <v>39942</v>
      </c>
      <c r="L1120">
        <f>Tabla24[[#This Row],[Precio_Unitario]]*Tabla24[[#This Row],[Unidades_Vendidas]]</f>
        <v>559188</v>
      </c>
      <c r="M1120" t="s">
        <v>16</v>
      </c>
    </row>
    <row r="1121" spans="1:13" x14ac:dyDescent="0.25">
      <c r="A1121" t="s">
        <v>281</v>
      </c>
      <c r="B1121" t="str">
        <f>TEXT(Tabla24[[#This Row],[Fecha]],"dddd")</f>
        <v>sábado</v>
      </c>
      <c r="C1121" t="str">
        <f>TEXT(Tabla24[[#This Row],[Fecha]],"mmmm")</f>
        <v>enero</v>
      </c>
      <c r="D1121" t="str">
        <f>TEXT(Tabla24[[#This Row],[Fecha]],"aaaa")</f>
        <v>2024</v>
      </c>
      <c r="E1121" t="s">
        <v>22</v>
      </c>
      <c r="F1121" t="s">
        <v>29</v>
      </c>
      <c r="G1121" t="s">
        <v>39</v>
      </c>
      <c r="H1121" t="s">
        <v>14</v>
      </c>
      <c r="I1121" t="s">
        <v>40</v>
      </c>
      <c r="J1121">
        <v>16</v>
      </c>
      <c r="K1121">
        <v>16034</v>
      </c>
      <c r="L1121">
        <f>Tabla24[[#This Row],[Precio_Unitario]]*Tabla24[[#This Row],[Unidades_Vendidas]]</f>
        <v>256544</v>
      </c>
      <c r="M1121" t="s">
        <v>36</v>
      </c>
    </row>
    <row r="1122" spans="1:13" x14ac:dyDescent="0.25">
      <c r="A1122" t="s">
        <v>378</v>
      </c>
      <c r="B1122" t="str">
        <f>TEXT(Tabla24[[#This Row],[Fecha]],"dddd")</f>
        <v>domingo</v>
      </c>
      <c r="C1122" t="str">
        <f>TEXT(Tabla24[[#This Row],[Fecha]],"mmmm")</f>
        <v>agosto</v>
      </c>
      <c r="D1122" t="str">
        <f>TEXT(Tabla24[[#This Row],[Fecha]],"aaaa")</f>
        <v>2024</v>
      </c>
      <c r="E1122" t="s">
        <v>22</v>
      </c>
      <c r="F1122" t="s">
        <v>12</v>
      </c>
      <c r="G1122" t="s">
        <v>13</v>
      </c>
      <c r="H1122" t="s">
        <v>25</v>
      </c>
      <c r="I1122" t="s">
        <v>15</v>
      </c>
      <c r="J1122">
        <v>17</v>
      </c>
      <c r="K1122">
        <v>42131</v>
      </c>
      <c r="L1122">
        <f>Tabla24[[#This Row],[Precio_Unitario]]*Tabla24[[#This Row],[Unidades_Vendidas]]</f>
        <v>716227</v>
      </c>
      <c r="M1122" t="s">
        <v>20</v>
      </c>
    </row>
    <row r="1123" spans="1:13" x14ac:dyDescent="0.25">
      <c r="A1123" t="s">
        <v>236</v>
      </c>
      <c r="B1123" t="str">
        <f>TEXT(Tabla24[[#This Row],[Fecha]],"dddd")</f>
        <v>jueves</v>
      </c>
      <c r="C1123" t="str">
        <f>TEXT(Tabla24[[#This Row],[Fecha]],"mmmm")</f>
        <v>marzo</v>
      </c>
      <c r="D1123" t="str">
        <f>TEXT(Tabla24[[#This Row],[Fecha]],"aaaa")</f>
        <v>2024</v>
      </c>
      <c r="E1123" t="s">
        <v>22</v>
      </c>
      <c r="F1123" t="s">
        <v>29</v>
      </c>
      <c r="G1123" t="s">
        <v>44</v>
      </c>
      <c r="H1123" t="s">
        <v>35</v>
      </c>
      <c r="I1123" t="s">
        <v>40</v>
      </c>
      <c r="J1123">
        <v>19</v>
      </c>
      <c r="K1123">
        <v>51588</v>
      </c>
      <c r="L1123">
        <f>Tabla24[[#This Row],[Precio_Unitario]]*Tabla24[[#This Row],[Unidades_Vendidas]]</f>
        <v>980172</v>
      </c>
      <c r="M1123" t="s">
        <v>20</v>
      </c>
    </row>
    <row r="1124" spans="1:13" x14ac:dyDescent="0.25">
      <c r="A1124" t="s">
        <v>122</v>
      </c>
      <c r="B1124" t="str">
        <f>TEXT(Tabla24[[#This Row],[Fecha]],"dddd")</f>
        <v>viernes</v>
      </c>
      <c r="C1124" t="str">
        <f>TEXT(Tabla24[[#This Row],[Fecha]],"mmmm")</f>
        <v>enero</v>
      </c>
      <c r="D1124" t="str">
        <f>TEXT(Tabla24[[#This Row],[Fecha]],"aaaa")</f>
        <v>2024</v>
      </c>
      <c r="E1124" t="s">
        <v>11</v>
      </c>
      <c r="F1124" t="s">
        <v>29</v>
      </c>
      <c r="G1124" t="s">
        <v>13</v>
      </c>
      <c r="H1124" t="s">
        <v>35</v>
      </c>
      <c r="I1124" t="s">
        <v>26</v>
      </c>
      <c r="J1124">
        <v>5</v>
      </c>
      <c r="K1124">
        <v>50487</v>
      </c>
      <c r="L1124">
        <f>Tabla24[[#This Row],[Precio_Unitario]]*Tabla24[[#This Row],[Unidades_Vendidas]]</f>
        <v>252435</v>
      </c>
      <c r="M1124" t="s">
        <v>27</v>
      </c>
    </row>
    <row r="1125" spans="1:13" x14ac:dyDescent="0.25">
      <c r="A1125" t="s">
        <v>273</v>
      </c>
      <c r="B1125" t="str">
        <f>TEXT(Tabla24[[#This Row],[Fecha]],"dddd")</f>
        <v>lunes</v>
      </c>
      <c r="C1125" t="str">
        <f>TEXT(Tabla24[[#This Row],[Fecha]],"mmmm")</f>
        <v>julio</v>
      </c>
      <c r="D1125" t="str">
        <f>TEXT(Tabla24[[#This Row],[Fecha]],"aaaa")</f>
        <v>2024</v>
      </c>
      <c r="E1125" t="s">
        <v>18</v>
      </c>
      <c r="F1125" t="s">
        <v>38</v>
      </c>
      <c r="G1125" t="s">
        <v>44</v>
      </c>
      <c r="H1125" t="s">
        <v>30</v>
      </c>
      <c r="I1125" t="s">
        <v>15</v>
      </c>
      <c r="J1125">
        <v>10</v>
      </c>
      <c r="K1125">
        <v>54983</v>
      </c>
      <c r="L1125">
        <f>Tabla24[[#This Row],[Precio_Unitario]]*Tabla24[[#This Row],[Unidades_Vendidas]]</f>
        <v>549830</v>
      </c>
      <c r="M1125" t="s">
        <v>27</v>
      </c>
    </row>
    <row r="1126" spans="1:13" x14ac:dyDescent="0.25">
      <c r="A1126" t="s">
        <v>154</v>
      </c>
      <c r="B1126" t="str">
        <f>TEXT(Tabla24[[#This Row],[Fecha]],"dddd")</f>
        <v>sábado</v>
      </c>
      <c r="C1126" t="str">
        <f>TEXT(Tabla24[[#This Row],[Fecha]],"mmmm")</f>
        <v>noviembre</v>
      </c>
      <c r="D1126" t="str">
        <f>TEXT(Tabla24[[#This Row],[Fecha]],"aaaa")</f>
        <v>2024</v>
      </c>
      <c r="E1126" t="s">
        <v>18</v>
      </c>
      <c r="F1126" t="s">
        <v>38</v>
      </c>
      <c r="G1126" t="s">
        <v>13</v>
      </c>
      <c r="H1126" t="s">
        <v>25</v>
      </c>
      <c r="I1126" t="s">
        <v>40</v>
      </c>
      <c r="J1126">
        <v>8</v>
      </c>
      <c r="K1126">
        <v>43106</v>
      </c>
      <c r="L1126">
        <f>Tabla24[[#This Row],[Precio_Unitario]]*Tabla24[[#This Row],[Unidades_Vendidas]]</f>
        <v>344848</v>
      </c>
      <c r="M1126" t="s">
        <v>36</v>
      </c>
    </row>
    <row r="1127" spans="1:13" x14ac:dyDescent="0.25">
      <c r="A1127" t="s">
        <v>85</v>
      </c>
      <c r="B1127" t="str">
        <f>TEXT(Tabla24[[#This Row],[Fecha]],"dddd")</f>
        <v>sábado</v>
      </c>
      <c r="C1127" t="str">
        <f>TEXT(Tabla24[[#This Row],[Fecha]],"mmmm")</f>
        <v>julio</v>
      </c>
      <c r="D1127" t="str">
        <f>TEXT(Tabla24[[#This Row],[Fecha]],"aaaa")</f>
        <v>2024</v>
      </c>
      <c r="E1127" t="s">
        <v>18</v>
      </c>
      <c r="F1127" t="s">
        <v>12</v>
      </c>
      <c r="G1127" t="s">
        <v>39</v>
      </c>
      <c r="H1127" t="s">
        <v>25</v>
      </c>
      <c r="I1127" t="s">
        <v>40</v>
      </c>
      <c r="J1127">
        <v>9</v>
      </c>
      <c r="K1127">
        <v>53855</v>
      </c>
      <c r="L1127">
        <f>Tabla24[[#This Row],[Precio_Unitario]]*Tabla24[[#This Row],[Unidades_Vendidas]]</f>
        <v>484695</v>
      </c>
      <c r="M1127" t="s">
        <v>27</v>
      </c>
    </row>
    <row r="1128" spans="1:13" x14ac:dyDescent="0.25">
      <c r="A1128" t="s">
        <v>296</v>
      </c>
      <c r="B1128" t="str">
        <f>TEXT(Tabla24[[#This Row],[Fecha]],"dddd")</f>
        <v>miércoles</v>
      </c>
      <c r="C1128" t="str">
        <f>TEXT(Tabla24[[#This Row],[Fecha]],"mmmm")</f>
        <v>abril</v>
      </c>
      <c r="D1128" t="str">
        <f>TEXT(Tabla24[[#This Row],[Fecha]],"aaaa")</f>
        <v>2024</v>
      </c>
      <c r="E1128" t="s">
        <v>33</v>
      </c>
      <c r="F1128" t="s">
        <v>38</v>
      </c>
      <c r="G1128" t="s">
        <v>39</v>
      </c>
      <c r="H1128" t="s">
        <v>30</v>
      </c>
      <c r="I1128" t="s">
        <v>15</v>
      </c>
      <c r="J1128">
        <v>6</v>
      </c>
      <c r="K1128">
        <v>18806</v>
      </c>
      <c r="L1128">
        <f>Tabla24[[#This Row],[Precio_Unitario]]*Tabla24[[#This Row],[Unidades_Vendidas]]</f>
        <v>112836</v>
      </c>
      <c r="M1128" t="s">
        <v>16</v>
      </c>
    </row>
    <row r="1129" spans="1:13" x14ac:dyDescent="0.25">
      <c r="A1129" t="s">
        <v>178</v>
      </c>
      <c r="B1129" t="str">
        <f>TEXT(Tabla24[[#This Row],[Fecha]],"dddd")</f>
        <v>jueves</v>
      </c>
      <c r="C1129" t="str">
        <f>TEXT(Tabla24[[#This Row],[Fecha]],"mmmm")</f>
        <v>julio</v>
      </c>
      <c r="D1129" t="str">
        <f>TEXT(Tabla24[[#This Row],[Fecha]],"aaaa")</f>
        <v>2024</v>
      </c>
      <c r="E1129" t="s">
        <v>42</v>
      </c>
      <c r="F1129" t="s">
        <v>12</v>
      </c>
      <c r="G1129" t="s">
        <v>48</v>
      </c>
      <c r="H1129" t="s">
        <v>35</v>
      </c>
      <c r="I1129" t="s">
        <v>15</v>
      </c>
      <c r="J1129">
        <v>9</v>
      </c>
      <c r="K1129">
        <v>16064</v>
      </c>
      <c r="L1129">
        <f>Tabla24[[#This Row],[Precio_Unitario]]*Tabla24[[#This Row],[Unidades_Vendidas]]</f>
        <v>144576</v>
      </c>
      <c r="M1129" t="s">
        <v>36</v>
      </c>
    </row>
    <row r="1130" spans="1:13" x14ac:dyDescent="0.25">
      <c r="A1130" t="s">
        <v>173</v>
      </c>
      <c r="B1130" t="str">
        <f>TEXT(Tabla24[[#This Row],[Fecha]],"dddd")</f>
        <v>miércoles</v>
      </c>
      <c r="C1130" t="str">
        <f>TEXT(Tabla24[[#This Row],[Fecha]],"mmmm")</f>
        <v>abril</v>
      </c>
      <c r="D1130" t="str">
        <f>TEXT(Tabla24[[#This Row],[Fecha]],"aaaa")</f>
        <v>2024</v>
      </c>
      <c r="E1130" t="s">
        <v>11</v>
      </c>
      <c r="F1130" t="s">
        <v>34</v>
      </c>
      <c r="G1130" t="s">
        <v>24</v>
      </c>
      <c r="H1130" t="s">
        <v>30</v>
      </c>
      <c r="I1130" t="s">
        <v>15</v>
      </c>
      <c r="J1130">
        <v>11</v>
      </c>
      <c r="K1130">
        <v>35303</v>
      </c>
      <c r="L1130">
        <f>Tabla24[[#This Row],[Precio_Unitario]]*Tabla24[[#This Row],[Unidades_Vendidas]]</f>
        <v>388333</v>
      </c>
      <c r="M1130" t="s">
        <v>27</v>
      </c>
    </row>
    <row r="1131" spans="1:13" x14ac:dyDescent="0.25">
      <c r="A1131" t="s">
        <v>242</v>
      </c>
      <c r="B1131" t="str">
        <f>TEXT(Tabla24[[#This Row],[Fecha]],"dddd")</f>
        <v>sábado</v>
      </c>
      <c r="C1131" t="str">
        <f>TEXT(Tabla24[[#This Row],[Fecha]],"mmmm")</f>
        <v>julio</v>
      </c>
      <c r="D1131" t="str">
        <f>TEXT(Tabla24[[#This Row],[Fecha]],"aaaa")</f>
        <v>2024</v>
      </c>
      <c r="E1131" t="s">
        <v>11</v>
      </c>
      <c r="F1131" t="s">
        <v>12</v>
      </c>
      <c r="G1131" t="s">
        <v>24</v>
      </c>
      <c r="H1131" t="s">
        <v>25</v>
      </c>
      <c r="I1131" t="s">
        <v>40</v>
      </c>
      <c r="J1131">
        <v>17</v>
      </c>
      <c r="K1131">
        <v>53031</v>
      </c>
      <c r="L1131">
        <f>Tabla24[[#This Row],[Precio_Unitario]]*Tabla24[[#This Row],[Unidades_Vendidas]]</f>
        <v>901527</v>
      </c>
      <c r="M1131" t="s">
        <v>36</v>
      </c>
    </row>
    <row r="1132" spans="1:13" x14ac:dyDescent="0.25">
      <c r="A1132" t="s">
        <v>144</v>
      </c>
      <c r="B1132" t="str">
        <f>TEXT(Tabla24[[#This Row],[Fecha]],"dddd")</f>
        <v>sábado</v>
      </c>
      <c r="C1132" t="str">
        <f>TEXT(Tabla24[[#This Row],[Fecha]],"mmmm")</f>
        <v>abril</v>
      </c>
      <c r="D1132" t="str">
        <f>TEXT(Tabla24[[#This Row],[Fecha]],"aaaa")</f>
        <v>2024</v>
      </c>
      <c r="E1132" t="s">
        <v>42</v>
      </c>
      <c r="F1132" t="s">
        <v>12</v>
      </c>
      <c r="G1132" t="s">
        <v>48</v>
      </c>
      <c r="H1132" t="s">
        <v>19</v>
      </c>
      <c r="I1132" t="s">
        <v>40</v>
      </c>
      <c r="J1132">
        <v>3</v>
      </c>
      <c r="K1132">
        <v>38138</v>
      </c>
      <c r="L1132">
        <f>Tabla24[[#This Row],[Precio_Unitario]]*Tabla24[[#This Row],[Unidades_Vendidas]]</f>
        <v>114414</v>
      </c>
      <c r="M1132" t="s">
        <v>20</v>
      </c>
    </row>
    <row r="1133" spans="1:13" x14ac:dyDescent="0.25">
      <c r="A1133" t="s">
        <v>28</v>
      </c>
      <c r="B1133" t="str">
        <f>TEXT(Tabla24[[#This Row],[Fecha]],"dddd")</f>
        <v>jueves</v>
      </c>
      <c r="C1133" t="str">
        <f>TEXT(Tabla24[[#This Row],[Fecha]],"mmmm")</f>
        <v>agosto</v>
      </c>
      <c r="D1133" t="str">
        <f>TEXT(Tabla24[[#This Row],[Fecha]],"aaaa")</f>
        <v>2024</v>
      </c>
      <c r="E1133" t="s">
        <v>18</v>
      </c>
      <c r="F1133" t="s">
        <v>12</v>
      </c>
      <c r="G1133" t="s">
        <v>39</v>
      </c>
      <c r="H1133" t="s">
        <v>35</v>
      </c>
      <c r="I1133" t="s">
        <v>40</v>
      </c>
      <c r="J1133">
        <v>4</v>
      </c>
      <c r="K1133">
        <v>19233</v>
      </c>
      <c r="L1133">
        <f>Tabla24[[#This Row],[Precio_Unitario]]*Tabla24[[#This Row],[Unidades_Vendidas]]</f>
        <v>76932</v>
      </c>
      <c r="M1133" t="s">
        <v>27</v>
      </c>
    </row>
    <row r="1134" spans="1:13" x14ac:dyDescent="0.25">
      <c r="A1134" t="s">
        <v>55</v>
      </c>
      <c r="B1134" t="str">
        <f>TEXT(Tabla24[[#This Row],[Fecha]],"dddd")</f>
        <v>domingo</v>
      </c>
      <c r="C1134" t="str">
        <f>TEXT(Tabla24[[#This Row],[Fecha]],"mmmm")</f>
        <v>diciembre</v>
      </c>
      <c r="D1134" t="str">
        <f>TEXT(Tabla24[[#This Row],[Fecha]],"aaaa")</f>
        <v>2024</v>
      </c>
      <c r="E1134" t="s">
        <v>22</v>
      </c>
      <c r="F1134" t="s">
        <v>12</v>
      </c>
      <c r="G1134" t="s">
        <v>44</v>
      </c>
      <c r="H1134" t="s">
        <v>35</v>
      </c>
      <c r="I1134" t="s">
        <v>15</v>
      </c>
      <c r="J1134">
        <v>4</v>
      </c>
      <c r="K1134">
        <v>38806</v>
      </c>
      <c r="L1134">
        <f>Tabla24[[#This Row],[Precio_Unitario]]*Tabla24[[#This Row],[Unidades_Vendidas]]</f>
        <v>155224</v>
      </c>
      <c r="M1134" t="s">
        <v>20</v>
      </c>
    </row>
    <row r="1135" spans="1:13" x14ac:dyDescent="0.25">
      <c r="A1135" t="s">
        <v>196</v>
      </c>
      <c r="B1135" t="str">
        <f>TEXT(Tabla24[[#This Row],[Fecha]],"dddd")</f>
        <v>lunes</v>
      </c>
      <c r="C1135" t="str">
        <f>TEXT(Tabla24[[#This Row],[Fecha]],"mmmm")</f>
        <v>junio</v>
      </c>
      <c r="D1135" t="str">
        <f>TEXT(Tabla24[[#This Row],[Fecha]],"aaaa")</f>
        <v>2024</v>
      </c>
      <c r="E1135" t="s">
        <v>18</v>
      </c>
      <c r="F1135" t="s">
        <v>38</v>
      </c>
      <c r="G1135" t="s">
        <v>24</v>
      </c>
      <c r="H1135" t="s">
        <v>30</v>
      </c>
      <c r="I1135" t="s">
        <v>26</v>
      </c>
      <c r="J1135">
        <v>20</v>
      </c>
      <c r="K1135">
        <v>59936</v>
      </c>
      <c r="L1135">
        <f>Tabla24[[#This Row],[Precio_Unitario]]*Tabla24[[#This Row],[Unidades_Vendidas]]</f>
        <v>1198720</v>
      </c>
      <c r="M1135" t="s">
        <v>27</v>
      </c>
    </row>
    <row r="1136" spans="1:13" x14ac:dyDescent="0.25">
      <c r="A1136" t="s">
        <v>338</v>
      </c>
      <c r="B1136" t="str">
        <f>TEXT(Tabla24[[#This Row],[Fecha]],"dddd")</f>
        <v>domingo</v>
      </c>
      <c r="C1136" t="str">
        <f>TEXT(Tabla24[[#This Row],[Fecha]],"mmmm")</f>
        <v>septiembre</v>
      </c>
      <c r="D1136" t="str">
        <f>TEXT(Tabla24[[#This Row],[Fecha]],"aaaa")</f>
        <v>2024</v>
      </c>
      <c r="E1136" t="s">
        <v>11</v>
      </c>
      <c r="F1136" t="s">
        <v>38</v>
      </c>
      <c r="G1136" t="s">
        <v>13</v>
      </c>
      <c r="H1136" t="s">
        <v>14</v>
      </c>
      <c r="I1136" t="s">
        <v>40</v>
      </c>
      <c r="J1136">
        <v>17</v>
      </c>
      <c r="K1136">
        <v>45372</v>
      </c>
      <c r="L1136">
        <f>Tabla24[[#This Row],[Precio_Unitario]]*Tabla24[[#This Row],[Unidades_Vendidas]]</f>
        <v>771324</v>
      </c>
      <c r="M1136" t="s">
        <v>27</v>
      </c>
    </row>
    <row r="1137" spans="1:13" x14ac:dyDescent="0.25">
      <c r="A1137" t="s">
        <v>382</v>
      </c>
      <c r="B1137" t="str">
        <f>TEXT(Tabla24[[#This Row],[Fecha]],"dddd")</f>
        <v>jueves</v>
      </c>
      <c r="C1137" t="str">
        <f>TEXT(Tabla24[[#This Row],[Fecha]],"mmmm")</f>
        <v>junio</v>
      </c>
      <c r="D1137" t="str">
        <f>TEXT(Tabla24[[#This Row],[Fecha]],"aaaa")</f>
        <v>2024</v>
      </c>
      <c r="E1137" t="s">
        <v>18</v>
      </c>
      <c r="F1137" t="s">
        <v>29</v>
      </c>
      <c r="G1137" t="s">
        <v>39</v>
      </c>
      <c r="H1137" t="s">
        <v>30</v>
      </c>
      <c r="I1137" t="s">
        <v>40</v>
      </c>
      <c r="J1137">
        <v>17</v>
      </c>
      <c r="K1137">
        <v>53302</v>
      </c>
      <c r="L1137">
        <f>Tabla24[[#This Row],[Precio_Unitario]]*Tabla24[[#This Row],[Unidades_Vendidas]]</f>
        <v>906134</v>
      </c>
      <c r="M1137" t="s">
        <v>20</v>
      </c>
    </row>
    <row r="1138" spans="1:13" x14ac:dyDescent="0.25">
      <c r="A1138" t="s">
        <v>268</v>
      </c>
      <c r="B1138" t="str">
        <f>TEXT(Tabla24[[#This Row],[Fecha]],"dddd")</f>
        <v>viernes</v>
      </c>
      <c r="C1138" t="str">
        <f>TEXT(Tabla24[[#This Row],[Fecha]],"mmmm")</f>
        <v>octubre</v>
      </c>
      <c r="D1138" t="str">
        <f>TEXT(Tabla24[[#This Row],[Fecha]],"aaaa")</f>
        <v>2024</v>
      </c>
      <c r="E1138" t="s">
        <v>11</v>
      </c>
      <c r="F1138" t="s">
        <v>38</v>
      </c>
      <c r="G1138" t="s">
        <v>48</v>
      </c>
      <c r="H1138" t="s">
        <v>14</v>
      </c>
      <c r="I1138" t="s">
        <v>15</v>
      </c>
      <c r="J1138">
        <v>10</v>
      </c>
      <c r="K1138">
        <v>40251</v>
      </c>
      <c r="L1138">
        <f>Tabla24[[#This Row],[Precio_Unitario]]*Tabla24[[#This Row],[Unidades_Vendidas]]</f>
        <v>402510</v>
      </c>
      <c r="M1138" t="s">
        <v>27</v>
      </c>
    </row>
    <row r="1139" spans="1:13" x14ac:dyDescent="0.25">
      <c r="A1139" t="s">
        <v>377</v>
      </c>
      <c r="B1139" t="str">
        <f>TEXT(Tabla24[[#This Row],[Fecha]],"dddd")</f>
        <v>domingo</v>
      </c>
      <c r="C1139" t="str">
        <f>TEXT(Tabla24[[#This Row],[Fecha]],"mmmm")</f>
        <v>octubre</v>
      </c>
      <c r="D1139" t="str">
        <f>TEXT(Tabla24[[#This Row],[Fecha]],"aaaa")</f>
        <v>2024</v>
      </c>
      <c r="E1139" t="s">
        <v>18</v>
      </c>
      <c r="F1139" t="s">
        <v>29</v>
      </c>
      <c r="G1139" t="s">
        <v>13</v>
      </c>
      <c r="H1139" t="s">
        <v>30</v>
      </c>
      <c r="I1139" t="s">
        <v>15</v>
      </c>
      <c r="J1139">
        <v>4</v>
      </c>
      <c r="K1139">
        <v>54792</v>
      </c>
      <c r="L1139">
        <f>Tabla24[[#This Row],[Precio_Unitario]]*Tabla24[[#This Row],[Unidades_Vendidas]]</f>
        <v>219168</v>
      </c>
      <c r="M1139" t="s">
        <v>20</v>
      </c>
    </row>
    <row r="1140" spans="1:13" x14ac:dyDescent="0.25">
      <c r="A1140" t="s">
        <v>88</v>
      </c>
      <c r="B1140" t="str">
        <f>TEXT(Tabla24[[#This Row],[Fecha]],"dddd")</f>
        <v>miércoles</v>
      </c>
      <c r="C1140" t="str">
        <f>TEXT(Tabla24[[#This Row],[Fecha]],"mmmm")</f>
        <v>enero</v>
      </c>
      <c r="D1140" t="str">
        <f>TEXT(Tabla24[[#This Row],[Fecha]],"aaaa")</f>
        <v>2024</v>
      </c>
      <c r="E1140" t="s">
        <v>22</v>
      </c>
      <c r="F1140" t="s">
        <v>34</v>
      </c>
      <c r="G1140" t="s">
        <v>39</v>
      </c>
      <c r="H1140" t="s">
        <v>19</v>
      </c>
      <c r="I1140" t="s">
        <v>40</v>
      </c>
      <c r="J1140">
        <v>5</v>
      </c>
      <c r="K1140">
        <v>49488</v>
      </c>
      <c r="L1140">
        <f>Tabla24[[#This Row],[Precio_Unitario]]*Tabla24[[#This Row],[Unidades_Vendidas]]</f>
        <v>247440</v>
      </c>
      <c r="M1140" t="s">
        <v>20</v>
      </c>
    </row>
    <row r="1141" spans="1:13" x14ac:dyDescent="0.25">
      <c r="A1141" t="s">
        <v>281</v>
      </c>
      <c r="B1141" t="str">
        <f>TEXT(Tabla24[[#This Row],[Fecha]],"dddd")</f>
        <v>sábado</v>
      </c>
      <c r="C1141" t="str">
        <f>TEXT(Tabla24[[#This Row],[Fecha]],"mmmm")</f>
        <v>enero</v>
      </c>
      <c r="D1141" t="str">
        <f>TEXT(Tabla24[[#This Row],[Fecha]],"aaaa")</f>
        <v>2024</v>
      </c>
      <c r="E1141" t="s">
        <v>42</v>
      </c>
      <c r="F1141" t="s">
        <v>34</v>
      </c>
      <c r="G1141" t="s">
        <v>48</v>
      </c>
      <c r="H1141" t="s">
        <v>14</v>
      </c>
      <c r="I1141" t="s">
        <v>26</v>
      </c>
      <c r="J1141">
        <v>19</v>
      </c>
      <c r="K1141">
        <v>21669</v>
      </c>
      <c r="L1141">
        <f>Tabla24[[#This Row],[Precio_Unitario]]*Tabla24[[#This Row],[Unidades_Vendidas]]</f>
        <v>411711</v>
      </c>
      <c r="M1141" t="s">
        <v>16</v>
      </c>
    </row>
    <row r="1142" spans="1:13" x14ac:dyDescent="0.25">
      <c r="A1142" t="s">
        <v>80</v>
      </c>
      <c r="B1142" t="str">
        <f>TEXT(Tabla24[[#This Row],[Fecha]],"dddd")</f>
        <v>miércoles</v>
      </c>
      <c r="C1142" t="str">
        <f>TEXT(Tabla24[[#This Row],[Fecha]],"mmmm")</f>
        <v>mayo</v>
      </c>
      <c r="D1142" t="str">
        <f>TEXT(Tabla24[[#This Row],[Fecha]],"aaaa")</f>
        <v>2024</v>
      </c>
      <c r="E1142" t="s">
        <v>11</v>
      </c>
      <c r="F1142" t="s">
        <v>29</v>
      </c>
      <c r="G1142" t="s">
        <v>44</v>
      </c>
      <c r="H1142" t="s">
        <v>30</v>
      </c>
      <c r="I1142" t="s">
        <v>40</v>
      </c>
      <c r="J1142">
        <v>11</v>
      </c>
      <c r="K1142">
        <v>51994</v>
      </c>
      <c r="L1142">
        <f>Tabla24[[#This Row],[Precio_Unitario]]*Tabla24[[#This Row],[Unidades_Vendidas]]</f>
        <v>571934</v>
      </c>
      <c r="M1142" t="s">
        <v>36</v>
      </c>
    </row>
    <row r="1143" spans="1:13" x14ac:dyDescent="0.25">
      <c r="A1143" t="s">
        <v>65</v>
      </c>
      <c r="B1143" t="str">
        <f>TEXT(Tabla24[[#This Row],[Fecha]],"dddd")</f>
        <v>viernes</v>
      </c>
      <c r="C1143" t="str">
        <f>TEXT(Tabla24[[#This Row],[Fecha]],"mmmm")</f>
        <v>abril</v>
      </c>
      <c r="D1143" t="str">
        <f>TEXT(Tabla24[[#This Row],[Fecha]],"aaaa")</f>
        <v>2024</v>
      </c>
      <c r="E1143" t="s">
        <v>33</v>
      </c>
      <c r="F1143" t="s">
        <v>23</v>
      </c>
      <c r="G1143" t="s">
        <v>13</v>
      </c>
      <c r="H1143" t="s">
        <v>14</v>
      </c>
      <c r="I1143" t="s">
        <v>26</v>
      </c>
      <c r="J1143">
        <v>4</v>
      </c>
      <c r="K1143">
        <v>48753</v>
      </c>
      <c r="L1143">
        <f>Tabla24[[#This Row],[Precio_Unitario]]*Tabla24[[#This Row],[Unidades_Vendidas]]</f>
        <v>195012</v>
      </c>
      <c r="M1143" t="s">
        <v>20</v>
      </c>
    </row>
    <row r="1144" spans="1:13" x14ac:dyDescent="0.25">
      <c r="A1144" t="s">
        <v>385</v>
      </c>
      <c r="B1144" t="str">
        <f>TEXT(Tabla24[[#This Row],[Fecha]],"dddd")</f>
        <v>jueves</v>
      </c>
      <c r="C1144" t="str">
        <f>TEXT(Tabla24[[#This Row],[Fecha]],"mmmm")</f>
        <v>octubre</v>
      </c>
      <c r="D1144" t="str">
        <f>TEXT(Tabla24[[#This Row],[Fecha]],"aaaa")</f>
        <v>2024</v>
      </c>
      <c r="E1144" t="s">
        <v>33</v>
      </c>
      <c r="F1144" t="s">
        <v>38</v>
      </c>
      <c r="G1144" t="s">
        <v>44</v>
      </c>
      <c r="H1144" t="s">
        <v>30</v>
      </c>
      <c r="I1144" t="s">
        <v>26</v>
      </c>
      <c r="J1144">
        <v>11</v>
      </c>
      <c r="K1144">
        <v>26261</v>
      </c>
      <c r="L1144">
        <f>Tabla24[[#This Row],[Precio_Unitario]]*Tabla24[[#This Row],[Unidades_Vendidas]]</f>
        <v>288871</v>
      </c>
      <c r="M1144" t="s">
        <v>16</v>
      </c>
    </row>
    <row r="1145" spans="1:13" x14ac:dyDescent="0.25">
      <c r="A1145" t="s">
        <v>70</v>
      </c>
      <c r="B1145" t="str">
        <f>TEXT(Tabla24[[#This Row],[Fecha]],"dddd")</f>
        <v>martes</v>
      </c>
      <c r="C1145" t="str">
        <f>TEXT(Tabla24[[#This Row],[Fecha]],"mmmm")</f>
        <v>julio</v>
      </c>
      <c r="D1145" t="str">
        <f>TEXT(Tabla24[[#This Row],[Fecha]],"aaaa")</f>
        <v>2024</v>
      </c>
      <c r="E1145" t="s">
        <v>11</v>
      </c>
      <c r="F1145" t="s">
        <v>23</v>
      </c>
      <c r="G1145" t="s">
        <v>44</v>
      </c>
      <c r="H1145" t="s">
        <v>35</v>
      </c>
      <c r="I1145" t="s">
        <v>40</v>
      </c>
      <c r="J1145">
        <v>8</v>
      </c>
      <c r="K1145">
        <v>31753</v>
      </c>
      <c r="L1145">
        <f>Tabla24[[#This Row],[Precio_Unitario]]*Tabla24[[#This Row],[Unidades_Vendidas]]</f>
        <v>254024</v>
      </c>
      <c r="M1145" t="s">
        <v>16</v>
      </c>
    </row>
    <row r="1146" spans="1:13" x14ac:dyDescent="0.25">
      <c r="A1146" t="s">
        <v>151</v>
      </c>
      <c r="B1146" t="str">
        <f>TEXT(Tabla24[[#This Row],[Fecha]],"dddd")</f>
        <v>domingo</v>
      </c>
      <c r="C1146" t="str">
        <f>TEXT(Tabla24[[#This Row],[Fecha]],"mmmm")</f>
        <v>mayo</v>
      </c>
      <c r="D1146" t="str">
        <f>TEXT(Tabla24[[#This Row],[Fecha]],"aaaa")</f>
        <v>2024</v>
      </c>
      <c r="E1146" t="s">
        <v>18</v>
      </c>
      <c r="F1146" t="s">
        <v>34</v>
      </c>
      <c r="G1146" t="s">
        <v>44</v>
      </c>
      <c r="H1146" t="s">
        <v>14</v>
      </c>
      <c r="I1146" t="s">
        <v>40</v>
      </c>
      <c r="J1146">
        <v>14</v>
      </c>
      <c r="K1146">
        <v>37705</v>
      </c>
      <c r="L1146">
        <f>Tabla24[[#This Row],[Precio_Unitario]]*Tabla24[[#This Row],[Unidades_Vendidas]]</f>
        <v>527870</v>
      </c>
      <c r="M1146" t="s">
        <v>36</v>
      </c>
    </row>
    <row r="1147" spans="1:13" x14ac:dyDescent="0.25">
      <c r="A1147" t="s">
        <v>218</v>
      </c>
      <c r="B1147" t="str">
        <f>TEXT(Tabla24[[#This Row],[Fecha]],"dddd")</f>
        <v>lunes</v>
      </c>
      <c r="C1147" t="str">
        <f>TEXT(Tabla24[[#This Row],[Fecha]],"mmmm")</f>
        <v>marzo</v>
      </c>
      <c r="D1147" t="str">
        <f>TEXT(Tabla24[[#This Row],[Fecha]],"aaaa")</f>
        <v>2024</v>
      </c>
      <c r="E1147" t="s">
        <v>42</v>
      </c>
      <c r="F1147" t="s">
        <v>34</v>
      </c>
      <c r="G1147" t="s">
        <v>24</v>
      </c>
      <c r="H1147" t="s">
        <v>14</v>
      </c>
      <c r="I1147" t="s">
        <v>26</v>
      </c>
      <c r="J1147">
        <v>11</v>
      </c>
      <c r="K1147">
        <v>17126</v>
      </c>
      <c r="L1147">
        <f>Tabla24[[#This Row],[Precio_Unitario]]*Tabla24[[#This Row],[Unidades_Vendidas]]</f>
        <v>188386</v>
      </c>
      <c r="M1147" t="s">
        <v>36</v>
      </c>
    </row>
    <row r="1148" spans="1:13" x14ac:dyDescent="0.25">
      <c r="A1148" t="s">
        <v>204</v>
      </c>
      <c r="B1148" t="str">
        <f>TEXT(Tabla24[[#This Row],[Fecha]],"dddd")</f>
        <v>lunes</v>
      </c>
      <c r="C1148" t="str">
        <f>TEXT(Tabla24[[#This Row],[Fecha]],"mmmm")</f>
        <v>enero</v>
      </c>
      <c r="D1148" t="str">
        <f>TEXT(Tabla24[[#This Row],[Fecha]],"aaaa")</f>
        <v>2024</v>
      </c>
      <c r="E1148" t="s">
        <v>11</v>
      </c>
      <c r="F1148" t="s">
        <v>12</v>
      </c>
      <c r="G1148" t="s">
        <v>13</v>
      </c>
      <c r="H1148" t="s">
        <v>19</v>
      </c>
      <c r="I1148" t="s">
        <v>15</v>
      </c>
      <c r="J1148">
        <v>9</v>
      </c>
      <c r="K1148">
        <v>16638</v>
      </c>
      <c r="L1148">
        <f>Tabla24[[#This Row],[Precio_Unitario]]*Tabla24[[#This Row],[Unidades_Vendidas]]</f>
        <v>149742</v>
      </c>
      <c r="M1148" t="s">
        <v>27</v>
      </c>
    </row>
    <row r="1149" spans="1:13" x14ac:dyDescent="0.25">
      <c r="A1149" t="s">
        <v>141</v>
      </c>
      <c r="B1149" t="str">
        <f>TEXT(Tabla24[[#This Row],[Fecha]],"dddd")</f>
        <v>lunes</v>
      </c>
      <c r="C1149" t="str">
        <f>TEXT(Tabla24[[#This Row],[Fecha]],"mmmm")</f>
        <v>septiembre</v>
      </c>
      <c r="D1149" t="str">
        <f>TEXT(Tabla24[[#This Row],[Fecha]],"aaaa")</f>
        <v>2024</v>
      </c>
      <c r="E1149" t="s">
        <v>11</v>
      </c>
      <c r="F1149" t="s">
        <v>29</v>
      </c>
      <c r="G1149" t="s">
        <v>13</v>
      </c>
      <c r="H1149" t="s">
        <v>30</v>
      </c>
      <c r="I1149" t="s">
        <v>40</v>
      </c>
      <c r="J1149">
        <v>2</v>
      </c>
      <c r="K1149">
        <v>34955</v>
      </c>
      <c r="L1149">
        <f>Tabla24[[#This Row],[Precio_Unitario]]*Tabla24[[#This Row],[Unidades_Vendidas]]</f>
        <v>69910</v>
      </c>
      <c r="M1149" t="s">
        <v>16</v>
      </c>
    </row>
    <row r="1150" spans="1:13" x14ac:dyDescent="0.25">
      <c r="A1150" t="s">
        <v>159</v>
      </c>
      <c r="B1150" t="str">
        <f>TEXT(Tabla24[[#This Row],[Fecha]],"dddd")</f>
        <v>jueves</v>
      </c>
      <c r="C1150" t="str">
        <f>TEXT(Tabla24[[#This Row],[Fecha]],"mmmm")</f>
        <v>febrero</v>
      </c>
      <c r="D1150" t="str">
        <f>TEXT(Tabla24[[#This Row],[Fecha]],"aaaa")</f>
        <v>2024</v>
      </c>
      <c r="E1150" t="s">
        <v>18</v>
      </c>
      <c r="F1150" t="s">
        <v>12</v>
      </c>
      <c r="G1150" t="s">
        <v>13</v>
      </c>
      <c r="H1150" t="s">
        <v>35</v>
      </c>
      <c r="I1150" t="s">
        <v>26</v>
      </c>
      <c r="J1150">
        <v>10</v>
      </c>
      <c r="K1150">
        <v>37021</v>
      </c>
      <c r="L1150">
        <f>Tabla24[[#This Row],[Precio_Unitario]]*Tabla24[[#This Row],[Unidades_Vendidas]]</f>
        <v>370210</v>
      </c>
      <c r="M1150" t="s">
        <v>20</v>
      </c>
    </row>
    <row r="1151" spans="1:13" x14ac:dyDescent="0.25">
      <c r="A1151" t="s">
        <v>53</v>
      </c>
      <c r="B1151" t="str">
        <f>TEXT(Tabla24[[#This Row],[Fecha]],"dddd")</f>
        <v>jueves</v>
      </c>
      <c r="C1151" t="str">
        <f>TEXT(Tabla24[[#This Row],[Fecha]],"mmmm")</f>
        <v>mayo</v>
      </c>
      <c r="D1151" t="str">
        <f>TEXT(Tabla24[[#This Row],[Fecha]],"aaaa")</f>
        <v>2024</v>
      </c>
      <c r="E1151" t="s">
        <v>18</v>
      </c>
      <c r="F1151" t="s">
        <v>29</v>
      </c>
      <c r="G1151" t="s">
        <v>39</v>
      </c>
      <c r="H1151" t="s">
        <v>25</v>
      </c>
      <c r="I1151" t="s">
        <v>40</v>
      </c>
      <c r="J1151">
        <v>20</v>
      </c>
      <c r="K1151">
        <v>42520</v>
      </c>
      <c r="L1151">
        <f>Tabla24[[#This Row],[Precio_Unitario]]*Tabla24[[#This Row],[Unidades_Vendidas]]</f>
        <v>850400</v>
      </c>
      <c r="M1151" t="s">
        <v>36</v>
      </c>
    </row>
    <row r="1152" spans="1:13" x14ac:dyDescent="0.25">
      <c r="A1152" t="s">
        <v>174</v>
      </c>
      <c r="B1152" t="str">
        <f>TEXT(Tabla24[[#This Row],[Fecha]],"dddd")</f>
        <v>lunes</v>
      </c>
      <c r="C1152" t="str">
        <f>TEXT(Tabla24[[#This Row],[Fecha]],"mmmm")</f>
        <v>febrero</v>
      </c>
      <c r="D1152" t="str">
        <f>TEXT(Tabla24[[#This Row],[Fecha]],"aaaa")</f>
        <v>2024</v>
      </c>
      <c r="E1152" t="s">
        <v>33</v>
      </c>
      <c r="F1152" t="s">
        <v>12</v>
      </c>
      <c r="G1152" t="s">
        <v>39</v>
      </c>
      <c r="H1152" t="s">
        <v>25</v>
      </c>
      <c r="I1152" t="s">
        <v>15</v>
      </c>
      <c r="J1152">
        <v>7</v>
      </c>
      <c r="K1152">
        <v>51169</v>
      </c>
      <c r="L1152">
        <f>Tabla24[[#This Row],[Precio_Unitario]]*Tabla24[[#This Row],[Unidades_Vendidas]]</f>
        <v>358183</v>
      </c>
      <c r="M1152" t="s">
        <v>27</v>
      </c>
    </row>
    <row r="1153" spans="1:13" x14ac:dyDescent="0.25">
      <c r="A1153" t="s">
        <v>239</v>
      </c>
      <c r="B1153" t="str">
        <f>TEXT(Tabla24[[#This Row],[Fecha]],"dddd")</f>
        <v>sábado</v>
      </c>
      <c r="C1153" t="str">
        <f>TEXT(Tabla24[[#This Row],[Fecha]],"mmmm")</f>
        <v>marzo</v>
      </c>
      <c r="D1153" t="str">
        <f>TEXT(Tabla24[[#This Row],[Fecha]],"aaaa")</f>
        <v>2024</v>
      </c>
      <c r="E1153" t="s">
        <v>18</v>
      </c>
      <c r="F1153" t="s">
        <v>23</v>
      </c>
      <c r="G1153" t="s">
        <v>39</v>
      </c>
      <c r="H1153" t="s">
        <v>14</v>
      </c>
      <c r="I1153" t="s">
        <v>40</v>
      </c>
      <c r="J1153">
        <v>9</v>
      </c>
      <c r="K1153">
        <v>17139</v>
      </c>
      <c r="L1153">
        <f>Tabla24[[#This Row],[Precio_Unitario]]*Tabla24[[#This Row],[Unidades_Vendidas]]</f>
        <v>154251</v>
      </c>
      <c r="M1153" t="s">
        <v>36</v>
      </c>
    </row>
    <row r="1154" spans="1:13" x14ac:dyDescent="0.25">
      <c r="A1154" t="s">
        <v>357</v>
      </c>
      <c r="B1154" t="str">
        <f>TEXT(Tabla24[[#This Row],[Fecha]],"dddd")</f>
        <v>jueves</v>
      </c>
      <c r="C1154" t="str">
        <f>TEXT(Tabla24[[#This Row],[Fecha]],"mmmm")</f>
        <v>agosto</v>
      </c>
      <c r="D1154" t="str">
        <f>TEXT(Tabla24[[#This Row],[Fecha]],"aaaa")</f>
        <v>2024</v>
      </c>
      <c r="E1154" t="s">
        <v>22</v>
      </c>
      <c r="F1154" t="s">
        <v>29</v>
      </c>
      <c r="G1154" t="s">
        <v>44</v>
      </c>
      <c r="H1154" t="s">
        <v>35</v>
      </c>
      <c r="I1154" t="s">
        <v>26</v>
      </c>
      <c r="J1154">
        <v>5</v>
      </c>
      <c r="K1154">
        <v>58452</v>
      </c>
      <c r="L1154">
        <f>Tabla24[[#This Row],[Precio_Unitario]]*Tabla24[[#This Row],[Unidades_Vendidas]]</f>
        <v>292260</v>
      </c>
      <c r="M1154" t="s">
        <v>36</v>
      </c>
    </row>
    <row r="1155" spans="1:13" x14ac:dyDescent="0.25">
      <c r="A1155" t="s">
        <v>241</v>
      </c>
      <c r="B1155" t="str">
        <f>TEXT(Tabla24[[#This Row],[Fecha]],"dddd")</f>
        <v>domingo</v>
      </c>
      <c r="C1155" t="str">
        <f>TEXT(Tabla24[[#This Row],[Fecha]],"mmmm")</f>
        <v>febrero</v>
      </c>
      <c r="D1155" t="str">
        <f>TEXT(Tabla24[[#This Row],[Fecha]],"aaaa")</f>
        <v>2024</v>
      </c>
      <c r="E1155" t="s">
        <v>22</v>
      </c>
      <c r="F1155" t="s">
        <v>29</v>
      </c>
      <c r="G1155" t="s">
        <v>48</v>
      </c>
      <c r="H1155" t="s">
        <v>14</v>
      </c>
      <c r="I1155" t="s">
        <v>15</v>
      </c>
      <c r="J1155">
        <v>3</v>
      </c>
      <c r="K1155">
        <v>30476</v>
      </c>
      <c r="L1155">
        <f>Tabla24[[#This Row],[Precio_Unitario]]*Tabla24[[#This Row],[Unidades_Vendidas]]</f>
        <v>91428</v>
      </c>
      <c r="M1155" t="s">
        <v>36</v>
      </c>
    </row>
    <row r="1156" spans="1:13" x14ac:dyDescent="0.25">
      <c r="A1156" t="s">
        <v>236</v>
      </c>
      <c r="B1156" t="str">
        <f>TEXT(Tabla24[[#This Row],[Fecha]],"dddd")</f>
        <v>jueves</v>
      </c>
      <c r="C1156" t="str">
        <f>TEXT(Tabla24[[#This Row],[Fecha]],"mmmm")</f>
        <v>marzo</v>
      </c>
      <c r="D1156" t="str">
        <f>TEXT(Tabla24[[#This Row],[Fecha]],"aaaa")</f>
        <v>2024</v>
      </c>
      <c r="E1156" t="s">
        <v>42</v>
      </c>
      <c r="F1156" t="s">
        <v>12</v>
      </c>
      <c r="G1156" t="s">
        <v>39</v>
      </c>
      <c r="H1156" t="s">
        <v>14</v>
      </c>
      <c r="I1156" t="s">
        <v>26</v>
      </c>
      <c r="J1156">
        <v>11</v>
      </c>
      <c r="K1156">
        <v>47146</v>
      </c>
      <c r="L1156">
        <f>Tabla24[[#This Row],[Precio_Unitario]]*Tabla24[[#This Row],[Unidades_Vendidas]]</f>
        <v>518606</v>
      </c>
      <c r="M1156" t="s">
        <v>27</v>
      </c>
    </row>
    <row r="1157" spans="1:13" x14ac:dyDescent="0.25">
      <c r="A1157" t="s">
        <v>72</v>
      </c>
      <c r="B1157" t="str">
        <f>TEXT(Tabla24[[#This Row],[Fecha]],"dddd")</f>
        <v>sábado</v>
      </c>
      <c r="C1157" t="str">
        <f>TEXT(Tabla24[[#This Row],[Fecha]],"mmmm")</f>
        <v>septiembre</v>
      </c>
      <c r="D1157" t="str">
        <f>TEXT(Tabla24[[#This Row],[Fecha]],"aaaa")</f>
        <v>2024</v>
      </c>
      <c r="E1157" t="s">
        <v>11</v>
      </c>
      <c r="F1157" t="s">
        <v>23</v>
      </c>
      <c r="G1157" t="s">
        <v>44</v>
      </c>
      <c r="H1157" t="s">
        <v>35</v>
      </c>
      <c r="I1157" t="s">
        <v>15</v>
      </c>
      <c r="J1157">
        <v>10</v>
      </c>
      <c r="K1157">
        <v>59041</v>
      </c>
      <c r="L1157">
        <f>Tabla24[[#This Row],[Precio_Unitario]]*Tabla24[[#This Row],[Unidades_Vendidas]]</f>
        <v>590410</v>
      </c>
      <c r="M1157" t="s">
        <v>27</v>
      </c>
    </row>
    <row r="1158" spans="1:13" x14ac:dyDescent="0.25">
      <c r="A1158" t="s">
        <v>150</v>
      </c>
      <c r="B1158" t="str">
        <f>TEXT(Tabla24[[#This Row],[Fecha]],"dddd")</f>
        <v>sábado</v>
      </c>
      <c r="C1158" t="str">
        <f>TEXT(Tabla24[[#This Row],[Fecha]],"mmmm")</f>
        <v>agosto</v>
      </c>
      <c r="D1158" t="str">
        <f>TEXT(Tabla24[[#This Row],[Fecha]],"aaaa")</f>
        <v>2024</v>
      </c>
      <c r="E1158" t="s">
        <v>11</v>
      </c>
      <c r="F1158" t="s">
        <v>38</v>
      </c>
      <c r="G1158" t="s">
        <v>13</v>
      </c>
      <c r="H1158" t="s">
        <v>30</v>
      </c>
      <c r="I1158" t="s">
        <v>40</v>
      </c>
      <c r="J1158">
        <v>9</v>
      </c>
      <c r="K1158">
        <v>38622</v>
      </c>
      <c r="L1158">
        <f>Tabla24[[#This Row],[Precio_Unitario]]*Tabla24[[#This Row],[Unidades_Vendidas]]</f>
        <v>347598</v>
      </c>
      <c r="M1158" t="s">
        <v>36</v>
      </c>
    </row>
    <row r="1159" spans="1:13" x14ac:dyDescent="0.25">
      <c r="A1159" t="s">
        <v>154</v>
      </c>
      <c r="B1159" t="str">
        <f>TEXT(Tabla24[[#This Row],[Fecha]],"dddd")</f>
        <v>sábado</v>
      </c>
      <c r="C1159" t="str">
        <f>TEXT(Tabla24[[#This Row],[Fecha]],"mmmm")</f>
        <v>noviembre</v>
      </c>
      <c r="D1159" t="str">
        <f>TEXT(Tabla24[[#This Row],[Fecha]],"aaaa")</f>
        <v>2024</v>
      </c>
      <c r="E1159" t="s">
        <v>33</v>
      </c>
      <c r="F1159" t="s">
        <v>34</v>
      </c>
      <c r="G1159" t="s">
        <v>24</v>
      </c>
      <c r="H1159" t="s">
        <v>30</v>
      </c>
      <c r="I1159" t="s">
        <v>15</v>
      </c>
      <c r="J1159">
        <v>6</v>
      </c>
      <c r="K1159">
        <v>44797</v>
      </c>
      <c r="L1159">
        <f>Tabla24[[#This Row],[Precio_Unitario]]*Tabla24[[#This Row],[Unidades_Vendidas]]</f>
        <v>268782</v>
      </c>
      <c r="M1159" t="s">
        <v>27</v>
      </c>
    </row>
    <row r="1160" spans="1:13" x14ac:dyDescent="0.25">
      <c r="A1160" t="s">
        <v>294</v>
      </c>
      <c r="B1160" t="str">
        <f>TEXT(Tabla24[[#This Row],[Fecha]],"dddd")</f>
        <v>domingo</v>
      </c>
      <c r="C1160" t="str">
        <f>TEXT(Tabla24[[#This Row],[Fecha]],"mmmm")</f>
        <v>febrero</v>
      </c>
      <c r="D1160" t="str">
        <f>TEXT(Tabla24[[#This Row],[Fecha]],"aaaa")</f>
        <v>2024</v>
      </c>
      <c r="E1160" t="s">
        <v>22</v>
      </c>
      <c r="F1160" t="s">
        <v>29</v>
      </c>
      <c r="G1160" t="s">
        <v>24</v>
      </c>
      <c r="H1160" t="s">
        <v>19</v>
      </c>
      <c r="I1160" t="s">
        <v>15</v>
      </c>
      <c r="J1160">
        <v>13</v>
      </c>
      <c r="K1160">
        <v>22848</v>
      </c>
      <c r="L1160">
        <f>Tabla24[[#This Row],[Precio_Unitario]]*Tabla24[[#This Row],[Unidades_Vendidas]]</f>
        <v>297024</v>
      </c>
      <c r="M1160" t="s">
        <v>16</v>
      </c>
    </row>
    <row r="1161" spans="1:13" x14ac:dyDescent="0.25">
      <c r="A1161" t="s">
        <v>371</v>
      </c>
      <c r="B1161" t="str">
        <f>TEXT(Tabla24[[#This Row],[Fecha]],"dddd")</f>
        <v>jueves</v>
      </c>
      <c r="C1161" t="str">
        <f>TEXT(Tabla24[[#This Row],[Fecha]],"mmmm")</f>
        <v>abril</v>
      </c>
      <c r="D1161" t="str">
        <f>TEXT(Tabla24[[#This Row],[Fecha]],"aaaa")</f>
        <v>2024</v>
      </c>
      <c r="E1161" t="s">
        <v>33</v>
      </c>
      <c r="F1161" t="s">
        <v>12</v>
      </c>
      <c r="G1161" t="s">
        <v>39</v>
      </c>
      <c r="H1161" t="s">
        <v>25</v>
      </c>
      <c r="I1161" t="s">
        <v>15</v>
      </c>
      <c r="J1161">
        <v>13</v>
      </c>
      <c r="K1161">
        <v>57347</v>
      </c>
      <c r="L1161">
        <f>Tabla24[[#This Row],[Precio_Unitario]]*Tabla24[[#This Row],[Unidades_Vendidas]]</f>
        <v>745511</v>
      </c>
      <c r="M1161" t="s">
        <v>20</v>
      </c>
    </row>
    <row r="1162" spans="1:13" x14ac:dyDescent="0.25">
      <c r="A1162" t="s">
        <v>346</v>
      </c>
      <c r="B1162" t="str">
        <f>TEXT(Tabla24[[#This Row],[Fecha]],"dddd")</f>
        <v>domingo</v>
      </c>
      <c r="C1162" t="str">
        <f>TEXT(Tabla24[[#This Row],[Fecha]],"mmmm")</f>
        <v>septiembre</v>
      </c>
      <c r="D1162" t="str">
        <f>TEXT(Tabla24[[#This Row],[Fecha]],"aaaa")</f>
        <v>2024</v>
      </c>
      <c r="E1162" t="s">
        <v>42</v>
      </c>
      <c r="F1162" t="s">
        <v>12</v>
      </c>
      <c r="G1162" t="s">
        <v>24</v>
      </c>
      <c r="H1162" t="s">
        <v>30</v>
      </c>
      <c r="I1162" t="s">
        <v>40</v>
      </c>
      <c r="J1162">
        <v>16</v>
      </c>
      <c r="K1162">
        <v>42069</v>
      </c>
      <c r="L1162">
        <f>Tabla24[[#This Row],[Precio_Unitario]]*Tabla24[[#This Row],[Unidades_Vendidas]]</f>
        <v>673104</v>
      </c>
      <c r="M1162" t="s">
        <v>20</v>
      </c>
    </row>
    <row r="1163" spans="1:13" x14ac:dyDescent="0.25">
      <c r="A1163" t="s">
        <v>343</v>
      </c>
      <c r="B1163" t="str">
        <f>TEXT(Tabla24[[#This Row],[Fecha]],"dddd")</f>
        <v>lunes</v>
      </c>
      <c r="C1163" t="str">
        <f>TEXT(Tabla24[[#This Row],[Fecha]],"mmmm")</f>
        <v>diciembre</v>
      </c>
      <c r="D1163" t="str">
        <f>TEXT(Tabla24[[#This Row],[Fecha]],"aaaa")</f>
        <v>2024</v>
      </c>
      <c r="E1163" t="s">
        <v>18</v>
      </c>
      <c r="F1163" t="s">
        <v>38</v>
      </c>
      <c r="G1163" t="s">
        <v>39</v>
      </c>
      <c r="H1163" t="s">
        <v>25</v>
      </c>
      <c r="I1163" t="s">
        <v>26</v>
      </c>
      <c r="J1163">
        <v>16</v>
      </c>
      <c r="K1163">
        <v>31789</v>
      </c>
      <c r="L1163">
        <f>Tabla24[[#This Row],[Precio_Unitario]]*Tabla24[[#This Row],[Unidades_Vendidas]]</f>
        <v>508624</v>
      </c>
      <c r="M1163" t="s">
        <v>27</v>
      </c>
    </row>
    <row r="1164" spans="1:13" x14ac:dyDescent="0.25">
      <c r="A1164" t="s">
        <v>347</v>
      </c>
      <c r="B1164" t="str">
        <f>TEXT(Tabla24[[#This Row],[Fecha]],"dddd")</f>
        <v>viernes</v>
      </c>
      <c r="C1164" t="str">
        <f>TEXT(Tabla24[[#This Row],[Fecha]],"mmmm")</f>
        <v>julio</v>
      </c>
      <c r="D1164" t="str">
        <f>TEXT(Tabla24[[#This Row],[Fecha]],"aaaa")</f>
        <v>2024</v>
      </c>
      <c r="E1164" t="s">
        <v>33</v>
      </c>
      <c r="F1164" t="s">
        <v>38</v>
      </c>
      <c r="G1164" t="s">
        <v>13</v>
      </c>
      <c r="H1164" t="s">
        <v>19</v>
      </c>
      <c r="I1164" t="s">
        <v>15</v>
      </c>
      <c r="J1164">
        <v>19</v>
      </c>
      <c r="K1164">
        <v>17201</v>
      </c>
      <c r="L1164">
        <f>Tabla24[[#This Row],[Precio_Unitario]]*Tabla24[[#This Row],[Unidades_Vendidas]]</f>
        <v>326819</v>
      </c>
      <c r="M1164" t="s">
        <v>20</v>
      </c>
    </row>
    <row r="1165" spans="1:13" x14ac:dyDescent="0.25">
      <c r="A1165" t="s">
        <v>386</v>
      </c>
      <c r="B1165" t="str">
        <f>TEXT(Tabla24[[#This Row],[Fecha]],"dddd")</f>
        <v>lunes</v>
      </c>
      <c r="C1165" t="str">
        <f>TEXT(Tabla24[[#This Row],[Fecha]],"mmmm")</f>
        <v>mayo</v>
      </c>
      <c r="D1165" t="str">
        <f>TEXT(Tabla24[[#This Row],[Fecha]],"aaaa")</f>
        <v>2024</v>
      </c>
      <c r="E1165" t="s">
        <v>22</v>
      </c>
      <c r="F1165" t="s">
        <v>23</v>
      </c>
      <c r="G1165" t="s">
        <v>44</v>
      </c>
      <c r="H1165" t="s">
        <v>35</v>
      </c>
      <c r="I1165" t="s">
        <v>26</v>
      </c>
      <c r="J1165">
        <v>19</v>
      </c>
      <c r="K1165">
        <v>30156</v>
      </c>
      <c r="L1165">
        <f>Tabla24[[#This Row],[Precio_Unitario]]*Tabla24[[#This Row],[Unidades_Vendidas]]</f>
        <v>572964</v>
      </c>
      <c r="M1165" t="s">
        <v>16</v>
      </c>
    </row>
    <row r="1166" spans="1:13" x14ac:dyDescent="0.25">
      <c r="A1166" t="s">
        <v>199</v>
      </c>
      <c r="B1166" t="str">
        <f>TEXT(Tabla24[[#This Row],[Fecha]],"dddd")</f>
        <v>jueves</v>
      </c>
      <c r="C1166" t="str">
        <f>TEXT(Tabla24[[#This Row],[Fecha]],"mmmm")</f>
        <v>junio</v>
      </c>
      <c r="D1166" t="str">
        <f>TEXT(Tabla24[[#This Row],[Fecha]],"aaaa")</f>
        <v>2024</v>
      </c>
      <c r="E1166" t="s">
        <v>33</v>
      </c>
      <c r="F1166" t="s">
        <v>12</v>
      </c>
      <c r="G1166" t="s">
        <v>13</v>
      </c>
      <c r="H1166" t="s">
        <v>35</v>
      </c>
      <c r="I1166" t="s">
        <v>15</v>
      </c>
      <c r="J1166">
        <v>10</v>
      </c>
      <c r="K1166">
        <v>46039</v>
      </c>
      <c r="L1166">
        <f>Tabla24[[#This Row],[Precio_Unitario]]*Tabla24[[#This Row],[Unidades_Vendidas]]</f>
        <v>460390</v>
      </c>
      <c r="M1166" t="s">
        <v>27</v>
      </c>
    </row>
    <row r="1167" spans="1:13" x14ac:dyDescent="0.25">
      <c r="A1167" t="s">
        <v>75</v>
      </c>
      <c r="B1167" t="str">
        <f>TEXT(Tabla24[[#This Row],[Fecha]],"dddd")</f>
        <v>lunes</v>
      </c>
      <c r="C1167" t="str">
        <f>TEXT(Tabla24[[#This Row],[Fecha]],"mmmm")</f>
        <v>diciembre</v>
      </c>
      <c r="D1167" t="str">
        <f>TEXT(Tabla24[[#This Row],[Fecha]],"aaaa")</f>
        <v>2024</v>
      </c>
      <c r="E1167" t="s">
        <v>18</v>
      </c>
      <c r="F1167" t="s">
        <v>34</v>
      </c>
      <c r="G1167" t="s">
        <v>39</v>
      </c>
      <c r="H1167" t="s">
        <v>25</v>
      </c>
      <c r="I1167" t="s">
        <v>40</v>
      </c>
      <c r="J1167">
        <v>13</v>
      </c>
      <c r="K1167">
        <v>49459</v>
      </c>
      <c r="L1167">
        <f>Tabla24[[#This Row],[Precio_Unitario]]*Tabla24[[#This Row],[Unidades_Vendidas]]</f>
        <v>642967</v>
      </c>
      <c r="M1167" t="s">
        <v>16</v>
      </c>
    </row>
    <row r="1168" spans="1:13" x14ac:dyDescent="0.25">
      <c r="A1168" t="s">
        <v>319</v>
      </c>
      <c r="B1168" t="str">
        <f>TEXT(Tabla24[[#This Row],[Fecha]],"dddd")</f>
        <v>miércoles</v>
      </c>
      <c r="C1168" t="str">
        <f>TEXT(Tabla24[[#This Row],[Fecha]],"mmmm")</f>
        <v>agosto</v>
      </c>
      <c r="D1168" t="str">
        <f>TEXT(Tabla24[[#This Row],[Fecha]],"aaaa")</f>
        <v>2024</v>
      </c>
      <c r="E1168" t="s">
        <v>18</v>
      </c>
      <c r="F1168" t="s">
        <v>29</v>
      </c>
      <c r="G1168" t="s">
        <v>44</v>
      </c>
      <c r="H1168" t="s">
        <v>30</v>
      </c>
      <c r="I1168" t="s">
        <v>26</v>
      </c>
      <c r="J1168">
        <v>13</v>
      </c>
      <c r="K1168">
        <v>26047</v>
      </c>
      <c r="L1168">
        <f>Tabla24[[#This Row],[Precio_Unitario]]*Tabla24[[#This Row],[Unidades_Vendidas]]</f>
        <v>338611</v>
      </c>
      <c r="M1168" t="s">
        <v>20</v>
      </c>
    </row>
    <row r="1169" spans="1:13" x14ac:dyDescent="0.25">
      <c r="A1169" t="s">
        <v>275</v>
      </c>
      <c r="B1169" t="str">
        <f>TEXT(Tabla24[[#This Row],[Fecha]],"dddd")</f>
        <v>miércoles</v>
      </c>
      <c r="C1169" t="str">
        <f>TEXT(Tabla24[[#This Row],[Fecha]],"mmmm")</f>
        <v>julio</v>
      </c>
      <c r="D1169" t="str">
        <f>TEXT(Tabla24[[#This Row],[Fecha]],"aaaa")</f>
        <v>2024</v>
      </c>
      <c r="E1169" t="s">
        <v>22</v>
      </c>
      <c r="F1169" t="s">
        <v>34</v>
      </c>
      <c r="G1169" t="s">
        <v>13</v>
      </c>
      <c r="H1169" t="s">
        <v>35</v>
      </c>
      <c r="I1169" t="s">
        <v>15</v>
      </c>
      <c r="J1169">
        <v>18</v>
      </c>
      <c r="K1169">
        <v>27232</v>
      </c>
      <c r="L1169">
        <f>Tabla24[[#This Row],[Precio_Unitario]]*Tabla24[[#This Row],[Unidades_Vendidas]]</f>
        <v>490176</v>
      </c>
      <c r="M1169" t="s">
        <v>20</v>
      </c>
    </row>
    <row r="1170" spans="1:13" x14ac:dyDescent="0.25">
      <c r="A1170" t="s">
        <v>231</v>
      </c>
      <c r="B1170" t="str">
        <f>TEXT(Tabla24[[#This Row],[Fecha]],"dddd")</f>
        <v>sábado</v>
      </c>
      <c r="C1170" t="str">
        <f>TEXT(Tabla24[[#This Row],[Fecha]],"mmmm")</f>
        <v>mayo</v>
      </c>
      <c r="D1170" t="str">
        <f>TEXT(Tabla24[[#This Row],[Fecha]],"aaaa")</f>
        <v>2024</v>
      </c>
      <c r="E1170" t="s">
        <v>42</v>
      </c>
      <c r="F1170" t="s">
        <v>38</v>
      </c>
      <c r="G1170" t="s">
        <v>13</v>
      </c>
      <c r="H1170" t="s">
        <v>25</v>
      </c>
      <c r="I1170" t="s">
        <v>40</v>
      </c>
      <c r="J1170">
        <v>18</v>
      </c>
      <c r="K1170">
        <v>45864</v>
      </c>
      <c r="L1170">
        <f>Tabla24[[#This Row],[Precio_Unitario]]*Tabla24[[#This Row],[Unidades_Vendidas]]</f>
        <v>825552</v>
      </c>
      <c r="M1170" t="s">
        <v>36</v>
      </c>
    </row>
    <row r="1171" spans="1:13" x14ac:dyDescent="0.25">
      <c r="A1171" t="s">
        <v>101</v>
      </c>
      <c r="B1171" t="str">
        <f>TEXT(Tabla24[[#This Row],[Fecha]],"dddd")</f>
        <v>miércoles</v>
      </c>
      <c r="C1171" t="str">
        <f>TEXT(Tabla24[[#This Row],[Fecha]],"mmmm")</f>
        <v>diciembre</v>
      </c>
      <c r="D1171" t="str">
        <f>TEXT(Tabla24[[#This Row],[Fecha]],"aaaa")</f>
        <v>2024</v>
      </c>
      <c r="E1171" t="s">
        <v>22</v>
      </c>
      <c r="F1171" t="s">
        <v>23</v>
      </c>
      <c r="G1171" t="s">
        <v>24</v>
      </c>
      <c r="H1171" t="s">
        <v>19</v>
      </c>
      <c r="I1171" t="s">
        <v>15</v>
      </c>
      <c r="J1171">
        <v>8</v>
      </c>
      <c r="K1171">
        <v>24027</v>
      </c>
      <c r="L1171">
        <f>Tabla24[[#This Row],[Precio_Unitario]]*Tabla24[[#This Row],[Unidades_Vendidas]]</f>
        <v>192216</v>
      </c>
      <c r="M1171" t="s">
        <v>16</v>
      </c>
    </row>
    <row r="1172" spans="1:13" x14ac:dyDescent="0.25">
      <c r="A1172" t="s">
        <v>72</v>
      </c>
      <c r="B1172" t="str">
        <f>TEXT(Tabla24[[#This Row],[Fecha]],"dddd")</f>
        <v>sábado</v>
      </c>
      <c r="C1172" t="str">
        <f>TEXT(Tabla24[[#This Row],[Fecha]],"mmmm")</f>
        <v>septiembre</v>
      </c>
      <c r="D1172" t="str">
        <f>TEXT(Tabla24[[#This Row],[Fecha]],"aaaa")</f>
        <v>2024</v>
      </c>
      <c r="E1172" t="s">
        <v>22</v>
      </c>
      <c r="F1172" t="s">
        <v>29</v>
      </c>
      <c r="G1172" t="s">
        <v>44</v>
      </c>
      <c r="H1172" t="s">
        <v>35</v>
      </c>
      <c r="I1172" t="s">
        <v>40</v>
      </c>
      <c r="J1172">
        <v>12</v>
      </c>
      <c r="K1172">
        <v>31619</v>
      </c>
      <c r="L1172">
        <f>Tabla24[[#This Row],[Precio_Unitario]]*Tabla24[[#This Row],[Unidades_Vendidas]]</f>
        <v>379428</v>
      </c>
      <c r="M1172" t="s">
        <v>36</v>
      </c>
    </row>
    <row r="1173" spans="1:13" x14ac:dyDescent="0.25">
      <c r="A1173" t="s">
        <v>387</v>
      </c>
      <c r="B1173" t="str">
        <f>TEXT(Tabla24[[#This Row],[Fecha]],"dddd")</f>
        <v>jueves</v>
      </c>
      <c r="C1173" t="str">
        <f>TEXT(Tabla24[[#This Row],[Fecha]],"mmmm")</f>
        <v>octubre</v>
      </c>
      <c r="D1173" t="str">
        <f>TEXT(Tabla24[[#This Row],[Fecha]],"aaaa")</f>
        <v>2024</v>
      </c>
      <c r="E1173" t="s">
        <v>22</v>
      </c>
      <c r="F1173" t="s">
        <v>12</v>
      </c>
      <c r="G1173" t="s">
        <v>13</v>
      </c>
      <c r="H1173" t="s">
        <v>25</v>
      </c>
      <c r="I1173" t="s">
        <v>40</v>
      </c>
      <c r="J1173">
        <v>6</v>
      </c>
      <c r="K1173">
        <v>47540</v>
      </c>
      <c r="L1173">
        <f>Tabla24[[#This Row],[Precio_Unitario]]*Tabla24[[#This Row],[Unidades_Vendidas]]</f>
        <v>285240</v>
      </c>
      <c r="M1173" t="s">
        <v>27</v>
      </c>
    </row>
    <row r="1174" spans="1:13" x14ac:dyDescent="0.25">
      <c r="A1174" t="s">
        <v>207</v>
      </c>
      <c r="B1174" t="str">
        <f>TEXT(Tabla24[[#This Row],[Fecha]],"dddd")</f>
        <v>sábado</v>
      </c>
      <c r="C1174" t="str">
        <f>TEXT(Tabla24[[#This Row],[Fecha]],"mmmm")</f>
        <v>abril</v>
      </c>
      <c r="D1174" t="str">
        <f>TEXT(Tabla24[[#This Row],[Fecha]],"aaaa")</f>
        <v>2024</v>
      </c>
      <c r="E1174" t="s">
        <v>42</v>
      </c>
      <c r="F1174" t="s">
        <v>12</v>
      </c>
      <c r="G1174" t="s">
        <v>39</v>
      </c>
      <c r="H1174" t="s">
        <v>14</v>
      </c>
      <c r="I1174" t="s">
        <v>15</v>
      </c>
      <c r="J1174">
        <v>10</v>
      </c>
      <c r="K1174">
        <v>35450</v>
      </c>
      <c r="L1174">
        <f>Tabla24[[#This Row],[Precio_Unitario]]*Tabla24[[#This Row],[Unidades_Vendidas]]</f>
        <v>354500</v>
      </c>
      <c r="M1174" t="s">
        <v>20</v>
      </c>
    </row>
    <row r="1175" spans="1:13" x14ac:dyDescent="0.25">
      <c r="A1175" t="s">
        <v>137</v>
      </c>
      <c r="B1175" t="str">
        <f>TEXT(Tabla24[[#This Row],[Fecha]],"dddd")</f>
        <v>sábado</v>
      </c>
      <c r="C1175" t="str">
        <f>TEXT(Tabla24[[#This Row],[Fecha]],"mmmm")</f>
        <v>mayo</v>
      </c>
      <c r="D1175" t="str">
        <f>TEXT(Tabla24[[#This Row],[Fecha]],"aaaa")</f>
        <v>2024</v>
      </c>
      <c r="E1175" t="s">
        <v>33</v>
      </c>
      <c r="F1175" t="s">
        <v>29</v>
      </c>
      <c r="G1175" t="s">
        <v>48</v>
      </c>
      <c r="H1175" t="s">
        <v>30</v>
      </c>
      <c r="I1175" t="s">
        <v>40</v>
      </c>
      <c r="J1175">
        <v>8</v>
      </c>
      <c r="K1175">
        <v>20549</v>
      </c>
      <c r="L1175">
        <f>Tabla24[[#This Row],[Precio_Unitario]]*Tabla24[[#This Row],[Unidades_Vendidas]]</f>
        <v>164392</v>
      </c>
      <c r="M1175" t="s">
        <v>27</v>
      </c>
    </row>
    <row r="1176" spans="1:13" x14ac:dyDescent="0.25">
      <c r="A1176" t="s">
        <v>81</v>
      </c>
      <c r="B1176" t="str">
        <f>TEXT(Tabla24[[#This Row],[Fecha]],"dddd")</f>
        <v>sábado</v>
      </c>
      <c r="C1176" t="str">
        <f>TEXT(Tabla24[[#This Row],[Fecha]],"mmmm")</f>
        <v>diciembre</v>
      </c>
      <c r="D1176" t="str">
        <f>TEXT(Tabla24[[#This Row],[Fecha]],"aaaa")</f>
        <v>2024</v>
      </c>
      <c r="E1176" t="s">
        <v>22</v>
      </c>
      <c r="F1176" t="s">
        <v>29</v>
      </c>
      <c r="G1176" t="s">
        <v>48</v>
      </c>
      <c r="H1176" t="s">
        <v>14</v>
      </c>
      <c r="I1176" t="s">
        <v>40</v>
      </c>
      <c r="J1176">
        <v>17</v>
      </c>
      <c r="K1176">
        <v>42384</v>
      </c>
      <c r="L1176">
        <f>Tabla24[[#This Row],[Precio_Unitario]]*Tabla24[[#This Row],[Unidades_Vendidas]]</f>
        <v>720528</v>
      </c>
      <c r="M1176" t="s">
        <v>20</v>
      </c>
    </row>
    <row r="1177" spans="1:13" x14ac:dyDescent="0.25">
      <c r="A1177" t="s">
        <v>284</v>
      </c>
      <c r="B1177" t="str">
        <f>TEXT(Tabla24[[#This Row],[Fecha]],"dddd")</f>
        <v>martes</v>
      </c>
      <c r="C1177" t="str">
        <f>TEXT(Tabla24[[#This Row],[Fecha]],"mmmm")</f>
        <v>noviembre</v>
      </c>
      <c r="D1177" t="str">
        <f>TEXT(Tabla24[[#This Row],[Fecha]],"aaaa")</f>
        <v>2024</v>
      </c>
      <c r="E1177" t="s">
        <v>33</v>
      </c>
      <c r="F1177" t="s">
        <v>23</v>
      </c>
      <c r="G1177" t="s">
        <v>24</v>
      </c>
      <c r="H1177" t="s">
        <v>30</v>
      </c>
      <c r="I1177" t="s">
        <v>26</v>
      </c>
      <c r="J1177">
        <v>14</v>
      </c>
      <c r="K1177">
        <v>45433</v>
      </c>
      <c r="L1177">
        <f>Tabla24[[#This Row],[Precio_Unitario]]*Tabla24[[#This Row],[Unidades_Vendidas]]</f>
        <v>636062</v>
      </c>
      <c r="M1177" t="s">
        <v>36</v>
      </c>
    </row>
    <row r="1178" spans="1:13" x14ac:dyDescent="0.25">
      <c r="A1178" t="s">
        <v>361</v>
      </c>
      <c r="B1178" t="str">
        <f>TEXT(Tabla24[[#This Row],[Fecha]],"dddd")</f>
        <v>martes</v>
      </c>
      <c r="C1178" t="str">
        <f>TEXT(Tabla24[[#This Row],[Fecha]],"mmmm")</f>
        <v>junio</v>
      </c>
      <c r="D1178" t="str">
        <f>TEXT(Tabla24[[#This Row],[Fecha]],"aaaa")</f>
        <v>2024</v>
      </c>
      <c r="E1178" t="s">
        <v>18</v>
      </c>
      <c r="F1178" t="s">
        <v>23</v>
      </c>
      <c r="G1178" t="s">
        <v>39</v>
      </c>
      <c r="H1178" t="s">
        <v>25</v>
      </c>
      <c r="I1178" t="s">
        <v>15</v>
      </c>
      <c r="J1178">
        <v>19</v>
      </c>
      <c r="K1178">
        <v>22124</v>
      </c>
      <c r="L1178">
        <f>Tabla24[[#This Row],[Precio_Unitario]]*Tabla24[[#This Row],[Unidades_Vendidas]]</f>
        <v>420356</v>
      </c>
      <c r="M1178" t="s">
        <v>16</v>
      </c>
    </row>
    <row r="1179" spans="1:13" x14ac:dyDescent="0.25">
      <c r="A1179" t="s">
        <v>292</v>
      </c>
      <c r="B1179" t="str">
        <f>TEXT(Tabla24[[#This Row],[Fecha]],"dddd")</f>
        <v>sábado</v>
      </c>
      <c r="C1179" t="str">
        <f>TEXT(Tabla24[[#This Row],[Fecha]],"mmmm")</f>
        <v>junio</v>
      </c>
      <c r="D1179" t="str">
        <f>TEXT(Tabla24[[#This Row],[Fecha]],"aaaa")</f>
        <v>2024</v>
      </c>
      <c r="E1179" t="s">
        <v>18</v>
      </c>
      <c r="F1179" t="s">
        <v>38</v>
      </c>
      <c r="G1179" t="s">
        <v>24</v>
      </c>
      <c r="H1179" t="s">
        <v>30</v>
      </c>
      <c r="I1179" t="s">
        <v>40</v>
      </c>
      <c r="J1179">
        <v>20</v>
      </c>
      <c r="K1179">
        <v>50692</v>
      </c>
      <c r="L1179">
        <f>Tabla24[[#This Row],[Precio_Unitario]]*Tabla24[[#This Row],[Unidades_Vendidas]]</f>
        <v>1013840</v>
      </c>
      <c r="M1179" t="s">
        <v>16</v>
      </c>
    </row>
    <row r="1180" spans="1:13" x14ac:dyDescent="0.25">
      <c r="A1180" t="s">
        <v>190</v>
      </c>
      <c r="B1180" t="str">
        <f>TEXT(Tabla24[[#This Row],[Fecha]],"dddd")</f>
        <v>sábado</v>
      </c>
      <c r="C1180" t="str">
        <f>TEXT(Tabla24[[#This Row],[Fecha]],"mmmm")</f>
        <v>agosto</v>
      </c>
      <c r="D1180" t="str">
        <f>TEXT(Tabla24[[#This Row],[Fecha]],"aaaa")</f>
        <v>2024</v>
      </c>
      <c r="E1180" t="s">
        <v>42</v>
      </c>
      <c r="F1180" t="s">
        <v>38</v>
      </c>
      <c r="G1180" t="s">
        <v>48</v>
      </c>
      <c r="H1180" t="s">
        <v>30</v>
      </c>
      <c r="I1180" t="s">
        <v>40</v>
      </c>
      <c r="J1180">
        <v>20</v>
      </c>
      <c r="K1180">
        <v>28894</v>
      </c>
      <c r="L1180">
        <f>Tabla24[[#This Row],[Precio_Unitario]]*Tabla24[[#This Row],[Unidades_Vendidas]]</f>
        <v>577880</v>
      </c>
      <c r="M1180" t="s">
        <v>36</v>
      </c>
    </row>
    <row r="1181" spans="1:13" x14ac:dyDescent="0.25">
      <c r="A1181" t="s">
        <v>111</v>
      </c>
      <c r="B1181" t="str">
        <f>TEXT(Tabla24[[#This Row],[Fecha]],"dddd")</f>
        <v>jueves</v>
      </c>
      <c r="C1181" t="str">
        <f>TEXT(Tabla24[[#This Row],[Fecha]],"mmmm")</f>
        <v>abril</v>
      </c>
      <c r="D1181" t="str">
        <f>TEXT(Tabla24[[#This Row],[Fecha]],"aaaa")</f>
        <v>2024</v>
      </c>
      <c r="E1181" t="s">
        <v>22</v>
      </c>
      <c r="F1181" t="s">
        <v>23</v>
      </c>
      <c r="G1181" t="s">
        <v>39</v>
      </c>
      <c r="H1181" t="s">
        <v>14</v>
      </c>
      <c r="I1181" t="s">
        <v>15</v>
      </c>
      <c r="J1181">
        <v>3</v>
      </c>
      <c r="K1181">
        <v>29723</v>
      </c>
      <c r="L1181">
        <f>Tabla24[[#This Row],[Precio_Unitario]]*Tabla24[[#This Row],[Unidades_Vendidas]]</f>
        <v>89169</v>
      </c>
      <c r="M1181" t="s">
        <v>16</v>
      </c>
    </row>
    <row r="1182" spans="1:13" x14ac:dyDescent="0.25">
      <c r="A1182" t="s">
        <v>242</v>
      </c>
      <c r="B1182" t="str">
        <f>TEXT(Tabla24[[#This Row],[Fecha]],"dddd")</f>
        <v>sábado</v>
      </c>
      <c r="C1182" t="str">
        <f>TEXT(Tabla24[[#This Row],[Fecha]],"mmmm")</f>
        <v>julio</v>
      </c>
      <c r="D1182" t="str">
        <f>TEXT(Tabla24[[#This Row],[Fecha]],"aaaa")</f>
        <v>2024</v>
      </c>
      <c r="E1182" t="s">
        <v>18</v>
      </c>
      <c r="F1182" t="s">
        <v>12</v>
      </c>
      <c r="G1182" t="s">
        <v>24</v>
      </c>
      <c r="H1182" t="s">
        <v>35</v>
      </c>
      <c r="I1182" t="s">
        <v>26</v>
      </c>
      <c r="J1182">
        <v>11</v>
      </c>
      <c r="K1182">
        <v>51902</v>
      </c>
      <c r="L1182">
        <f>Tabla24[[#This Row],[Precio_Unitario]]*Tabla24[[#This Row],[Unidades_Vendidas]]</f>
        <v>570922</v>
      </c>
      <c r="M1182" t="s">
        <v>16</v>
      </c>
    </row>
    <row r="1183" spans="1:13" x14ac:dyDescent="0.25">
      <c r="A1183" t="s">
        <v>356</v>
      </c>
      <c r="B1183" t="str">
        <f>TEXT(Tabla24[[#This Row],[Fecha]],"dddd")</f>
        <v>jueves</v>
      </c>
      <c r="C1183" t="str">
        <f>TEXT(Tabla24[[#This Row],[Fecha]],"mmmm")</f>
        <v>septiembre</v>
      </c>
      <c r="D1183" t="str">
        <f>TEXT(Tabla24[[#This Row],[Fecha]],"aaaa")</f>
        <v>2024</v>
      </c>
      <c r="E1183" t="s">
        <v>11</v>
      </c>
      <c r="F1183" t="s">
        <v>38</v>
      </c>
      <c r="G1183" t="s">
        <v>24</v>
      </c>
      <c r="H1183" t="s">
        <v>35</v>
      </c>
      <c r="I1183" t="s">
        <v>40</v>
      </c>
      <c r="J1183">
        <v>15</v>
      </c>
      <c r="K1183">
        <v>57492</v>
      </c>
      <c r="L1183">
        <f>Tabla24[[#This Row],[Precio_Unitario]]*Tabla24[[#This Row],[Unidades_Vendidas]]</f>
        <v>862380</v>
      </c>
      <c r="M1183" t="s">
        <v>36</v>
      </c>
    </row>
    <row r="1184" spans="1:13" x14ac:dyDescent="0.25">
      <c r="A1184" t="s">
        <v>45</v>
      </c>
      <c r="B1184" t="str">
        <f>TEXT(Tabla24[[#This Row],[Fecha]],"dddd")</f>
        <v>domingo</v>
      </c>
      <c r="C1184" t="str">
        <f>TEXT(Tabla24[[#This Row],[Fecha]],"mmmm")</f>
        <v>diciembre</v>
      </c>
      <c r="D1184" t="str">
        <f>TEXT(Tabla24[[#This Row],[Fecha]],"aaaa")</f>
        <v>2024</v>
      </c>
      <c r="E1184" t="s">
        <v>18</v>
      </c>
      <c r="F1184" t="s">
        <v>23</v>
      </c>
      <c r="G1184" t="s">
        <v>24</v>
      </c>
      <c r="H1184" t="s">
        <v>35</v>
      </c>
      <c r="I1184" t="s">
        <v>40</v>
      </c>
      <c r="J1184">
        <v>5</v>
      </c>
      <c r="K1184">
        <v>41093</v>
      </c>
      <c r="L1184">
        <f>Tabla24[[#This Row],[Precio_Unitario]]*Tabla24[[#This Row],[Unidades_Vendidas]]</f>
        <v>205465</v>
      </c>
      <c r="M1184" t="s">
        <v>27</v>
      </c>
    </row>
    <row r="1185" spans="1:13" x14ac:dyDescent="0.25">
      <c r="A1185" t="s">
        <v>360</v>
      </c>
      <c r="B1185" t="str">
        <f>TEXT(Tabla24[[#This Row],[Fecha]],"dddd")</f>
        <v>martes</v>
      </c>
      <c r="C1185" t="str">
        <f>TEXT(Tabla24[[#This Row],[Fecha]],"mmmm")</f>
        <v>abril</v>
      </c>
      <c r="D1185" t="str">
        <f>TEXT(Tabla24[[#This Row],[Fecha]],"aaaa")</f>
        <v>2024</v>
      </c>
      <c r="E1185" t="s">
        <v>11</v>
      </c>
      <c r="F1185" t="s">
        <v>29</v>
      </c>
      <c r="G1185" t="s">
        <v>24</v>
      </c>
      <c r="H1185" t="s">
        <v>14</v>
      </c>
      <c r="I1185" t="s">
        <v>40</v>
      </c>
      <c r="J1185">
        <v>11</v>
      </c>
      <c r="K1185">
        <v>53435</v>
      </c>
      <c r="L1185">
        <f>Tabla24[[#This Row],[Precio_Unitario]]*Tabla24[[#This Row],[Unidades_Vendidas]]</f>
        <v>587785</v>
      </c>
      <c r="M1185" t="s">
        <v>16</v>
      </c>
    </row>
    <row r="1186" spans="1:13" x14ac:dyDescent="0.25">
      <c r="A1186" t="s">
        <v>278</v>
      </c>
      <c r="B1186" t="str">
        <f>TEXT(Tabla24[[#This Row],[Fecha]],"dddd")</f>
        <v>miércoles</v>
      </c>
      <c r="C1186" t="str">
        <f>TEXT(Tabla24[[#This Row],[Fecha]],"mmmm")</f>
        <v>julio</v>
      </c>
      <c r="D1186" t="str">
        <f>TEXT(Tabla24[[#This Row],[Fecha]],"aaaa")</f>
        <v>2024</v>
      </c>
      <c r="E1186" t="s">
        <v>33</v>
      </c>
      <c r="F1186" t="s">
        <v>29</v>
      </c>
      <c r="G1186" t="s">
        <v>39</v>
      </c>
      <c r="H1186" t="s">
        <v>25</v>
      </c>
      <c r="I1186" t="s">
        <v>15</v>
      </c>
      <c r="J1186">
        <v>10</v>
      </c>
      <c r="K1186">
        <v>29122</v>
      </c>
      <c r="L1186">
        <f>Tabla24[[#This Row],[Precio_Unitario]]*Tabla24[[#This Row],[Unidades_Vendidas]]</f>
        <v>291220</v>
      </c>
      <c r="M1186" t="s">
        <v>20</v>
      </c>
    </row>
    <row r="1187" spans="1:13" x14ac:dyDescent="0.25">
      <c r="A1187" t="s">
        <v>262</v>
      </c>
      <c r="B1187" t="str">
        <f>TEXT(Tabla24[[#This Row],[Fecha]],"dddd")</f>
        <v>viernes</v>
      </c>
      <c r="C1187" t="str">
        <f>TEXT(Tabla24[[#This Row],[Fecha]],"mmmm")</f>
        <v>enero</v>
      </c>
      <c r="D1187" t="str">
        <f>TEXT(Tabla24[[#This Row],[Fecha]],"aaaa")</f>
        <v>2024</v>
      </c>
      <c r="E1187" t="s">
        <v>33</v>
      </c>
      <c r="F1187" t="s">
        <v>34</v>
      </c>
      <c r="G1187" t="s">
        <v>39</v>
      </c>
      <c r="H1187" t="s">
        <v>25</v>
      </c>
      <c r="I1187" t="s">
        <v>26</v>
      </c>
      <c r="J1187">
        <v>18</v>
      </c>
      <c r="K1187">
        <v>36798</v>
      </c>
      <c r="L1187">
        <f>Tabla24[[#This Row],[Precio_Unitario]]*Tabla24[[#This Row],[Unidades_Vendidas]]</f>
        <v>662364</v>
      </c>
      <c r="M1187" t="s">
        <v>36</v>
      </c>
    </row>
    <row r="1188" spans="1:13" x14ac:dyDescent="0.25">
      <c r="A1188" t="s">
        <v>223</v>
      </c>
      <c r="B1188" t="str">
        <f>TEXT(Tabla24[[#This Row],[Fecha]],"dddd")</f>
        <v>viernes</v>
      </c>
      <c r="C1188" t="str">
        <f>TEXT(Tabla24[[#This Row],[Fecha]],"mmmm")</f>
        <v>septiembre</v>
      </c>
      <c r="D1188" t="str">
        <f>TEXT(Tabla24[[#This Row],[Fecha]],"aaaa")</f>
        <v>2024</v>
      </c>
      <c r="E1188" t="s">
        <v>22</v>
      </c>
      <c r="F1188" t="s">
        <v>29</v>
      </c>
      <c r="G1188" t="s">
        <v>13</v>
      </c>
      <c r="H1188" t="s">
        <v>30</v>
      </c>
      <c r="I1188" t="s">
        <v>40</v>
      </c>
      <c r="J1188">
        <v>2</v>
      </c>
      <c r="K1188">
        <v>41962</v>
      </c>
      <c r="L1188">
        <f>Tabla24[[#This Row],[Precio_Unitario]]*Tabla24[[#This Row],[Unidades_Vendidas]]</f>
        <v>83924</v>
      </c>
      <c r="M1188" t="s">
        <v>16</v>
      </c>
    </row>
    <row r="1189" spans="1:13" x14ac:dyDescent="0.25">
      <c r="A1189" t="s">
        <v>320</v>
      </c>
      <c r="B1189" t="str">
        <f>TEXT(Tabla24[[#This Row],[Fecha]],"dddd")</f>
        <v>viernes</v>
      </c>
      <c r="C1189" t="str">
        <f>TEXT(Tabla24[[#This Row],[Fecha]],"mmmm")</f>
        <v>abril</v>
      </c>
      <c r="D1189" t="str">
        <f>TEXT(Tabla24[[#This Row],[Fecha]],"aaaa")</f>
        <v>2024</v>
      </c>
      <c r="E1189" t="s">
        <v>33</v>
      </c>
      <c r="F1189" t="s">
        <v>12</v>
      </c>
      <c r="G1189" t="s">
        <v>13</v>
      </c>
      <c r="H1189" t="s">
        <v>25</v>
      </c>
      <c r="I1189" t="s">
        <v>15</v>
      </c>
      <c r="J1189">
        <v>9</v>
      </c>
      <c r="K1189">
        <v>20672</v>
      </c>
      <c r="L1189">
        <f>Tabla24[[#This Row],[Precio_Unitario]]*Tabla24[[#This Row],[Unidades_Vendidas]]</f>
        <v>186048</v>
      </c>
      <c r="M1189" t="s">
        <v>36</v>
      </c>
    </row>
    <row r="1190" spans="1:13" x14ac:dyDescent="0.25">
      <c r="A1190" t="s">
        <v>78</v>
      </c>
      <c r="B1190" t="str">
        <f>TEXT(Tabla24[[#This Row],[Fecha]],"dddd")</f>
        <v>martes</v>
      </c>
      <c r="C1190" t="str">
        <f>TEXT(Tabla24[[#This Row],[Fecha]],"mmmm")</f>
        <v>octubre</v>
      </c>
      <c r="D1190" t="str">
        <f>TEXT(Tabla24[[#This Row],[Fecha]],"aaaa")</f>
        <v>2024</v>
      </c>
      <c r="E1190" t="s">
        <v>42</v>
      </c>
      <c r="F1190" t="s">
        <v>23</v>
      </c>
      <c r="G1190" t="s">
        <v>13</v>
      </c>
      <c r="H1190" t="s">
        <v>30</v>
      </c>
      <c r="I1190" t="s">
        <v>15</v>
      </c>
      <c r="J1190">
        <v>20</v>
      </c>
      <c r="K1190">
        <v>21279</v>
      </c>
      <c r="L1190">
        <f>Tabla24[[#This Row],[Precio_Unitario]]*Tabla24[[#This Row],[Unidades_Vendidas]]</f>
        <v>425580</v>
      </c>
      <c r="M1190" t="s">
        <v>16</v>
      </c>
    </row>
    <row r="1191" spans="1:13" x14ac:dyDescent="0.25">
      <c r="A1191" t="s">
        <v>208</v>
      </c>
      <c r="B1191" t="str">
        <f>TEXT(Tabla24[[#This Row],[Fecha]],"dddd")</f>
        <v>lunes</v>
      </c>
      <c r="C1191" t="str">
        <f>TEXT(Tabla24[[#This Row],[Fecha]],"mmmm")</f>
        <v>junio</v>
      </c>
      <c r="D1191" t="str">
        <f>TEXT(Tabla24[[#This Row],[Fecha]],"aaaa")</f>
        <v>2024</v>
      </c>
      <c r="E1191" t="s">
        <v>22</v>
      </c>
      <c r="F1191" t="s">
        <v>12</v>
      </c>
      <c r="G1191" t="s">
        <v>39</v>
      </c>
      <c r="H1191" t="s">
        <v>19</v>
      </c>
      <c r="I1191" t="s">
        <v>40</v>
      </c>
      <c r="J1191">
        <v>12</v>
      </c>
      <c r="K1191">
        <v>35302</v>
      </c>
      <c r="L1191">
        <f>Tabla24[[#This Row],[Precio_Unitario]]*Tabla24[[#This Row],[Unidades_Vendidas]]</f>
        <v>423624</v>
      </c>
      <c r="M1191" t="s">
        <v>36</v>
      </c>
    </row>
    <row r="1192" spans="1:13" x14ac:dyDescent="0.25">
      <c r="A1192" t="s">
        <v>175</v>
      </c>
      <c r="B1192" t="str">
        <f>TEXT(Tabla24[[#This Row],[Fecha]],"dddd")</f>
        <v>domingo</v>
      </c>
      <c r="C1192" t="str">
        <f>TEXT(Tabla24[[#This Row],[Fecha]],"mmmm")</f>
        <v>febrero</v>
      </c>
      <c r="D1192" t="str">
        <f>TEXT(Tabla24[[#This Row],[Fecha]],"aaaa")</f>
        <v>2024</v>
      </c>
      <c r="E1192" t="s">
        <v>42</v>
      </c>
      <c r="F1192" t="s">
        <v>12</v>
      </c>
      <c r="G1192" t="s">
        <v>13</v>
      </c>
      <c r="H1192" t="s">
        <v>25</v>
      </c>
      <c r="I1192" t="s">
        <v>26</v>
      </c>
      <c r="J1192">
        <v>1</v>
      </c>
      <c r="K1192">
        <v>46034</v>
      </c>
      <c r="L1192">
        <f>Tabla24[[#This Row],[Precio_Unitario]]*Tabla24[[#This Row],[Unidades_Vendidas]]</f>
        <v>46034</v>
      </c>
      <c r="M1192" t="s">
        <v>27</v>
      </c>
    </row>
    <row r="1193" spans="1:13" x14ac:dyDescent="0.25">
      <c r="A1193" t="s">
        <v>31</v>
      </c>
      <c r="B1193" t="str">
        <f>TEXT(Tabla24[[#This Row],[Fecha]],"dddd")</f>
        <v>miércoles</v>
      </c>
      <c r="C1193" t="str">
        <f>TEXT(Tabla24[[#This Row],[Fecha]],"mmmm")</f>
        <v>abril</v>
      </c>
      <c r="D1193" t="str">
        <f>TEXT(Tabla24[[#This Row],[Fecha]],"aaaa")</f>
        <v>2024</v>
      </c>
      <c r="E1193" t="s">
        <v>18</v>
      </c>
      <c r="F1193" t="s">
        <v>23</v>
      </c>
      <c r="G1193" t="s">
        <v>48</v>
      </c>
      <c r="H1193" t="s">
        <v>14</v>
      </c>
      <c r="I1193" t="s">
        <v>15</v>
      </c>
      <c r="J1193">
        <v>14</v>
      </c>
      <c r="K1193">
        <v>55695</v>
      </c>
      <c r="L1193">
        <f>Tabla24[[#This Row],[Precio_Unitario]]*Tabla24[[#This Row],[Unidades_Vendidas]]</f>
        <v>779730</v>
      </c>
      <c r="M1193" t="s">
        <v>36</v>
      </c>
    </row>
    <row r="1194" spans="1:13" x14ac:dyDescent="0.25">
      <c r="A1194" t="s">
        <v>80</v>
      </c>
      <c r="B1194" t="str">
        <f>TEXT(Tabla24[[#This Row],[Fecha]],"dddd")</f>
        <v>miércoles</v>
      </c>
      <c r="C1194" t="str">
        <f>TEXT(Tabla24[[#This Row],[Fecha]],"mmmm")</f>
        <v>mayo</v>
      </c>
      <c r="D1194" t="str">
        <f>TEXT(Tabla24[[#This Row],[Fecha]],"aaaa")</f>
        <v>2024</v>
      </c>
      <c r="E1194" t="s">
        <v>22</v>
      </c>
      <c r="F1194" t="s">
        <v>12</v>
      </c>
      <c r="G1194" t="s">
        <v>13</v>
      </c>
      <c r="H1194" t="s">
        <v>25</v>
      </c>
      <c r="I1194" t="s">
        <v>15</v>
      </c>
      <c r="J1194">
        <v>5</v>
      </c>
      <c r="K1194">
        <v>28118</v>
      </c>
      <c r="L1194">
        <f>Tabla24[[#This Row],[Precio_Unitario]]*Tabla24[[#This Row],[Unidades_Vendidas]]</f>
        <v>140590</v>
      </c>
      <c r="M1194" t="s">
        <v>36</v>
      </c>
    </row>
    <row r="1195" spans="1:13" x14ac:dyDescent="0.25">
      <c r="A1195" t="s">
        <v>348</v>
      </c>
      <c r="B1195" t="str">
        <f>TEXT(Tabla24[[#This Row],[Fecha]],"dddd")</f>
        <v>lunes</v>
      </c>
      <c r="C1195" t="str">
        <f>TEXT(Tabla24[[#This Row],[Fecha]],"mmmm")</f>
        <v>julio</v>
      </c>
      <c r="D1195" t="str">
        <f>TEXT(Tabla24[[#This Row],[Fecha]],"aaaa")</f>
        <v>2024</v>
      </c>
      <c r="E1195" t="s">
        <v>22</v>
      </c>
      <c r="F1195" t="s">
        <v>12</v>
      </c>
      <c r="G1195" t="s">
        <v>13</v>
      </c>
      <c r="H1195" t="s">
        <v>19</v>
      </c>
      <c r="I1195" t="s">
        <v>40</v>
      </c>
      <c r="J1195">
        <v>2</v>
      </c>
      <c r="K1195">
        <v>34193</v>
      </c>
      <c r="L1195">
        <f>Tabla24[[#This Row],[Precio_Unitario]]*Tabla24[[#This Row],[Unidades_Vendidas]]</f>
        <v>68386</v>
      </c>
      <c r="M1195" t="s">
        <v>36</v>
      </c>
    </row>
    <row r="1196" spans="1:13" x14ac:dyDescent="0.25">
      <c r="A1196" t="s">
        <v>388</v>
      </c>
      <c r="B1196" t="str">
        <f>TEXT(Tabla24[[#This Row],[Fecha]],"dddd")</f>
        <v>sábado</v>
      </c>
      <c r="C1196" t="str">
        <f>TEXT(Tabla24[[#This Row],[Fecha]],"mmmm")</f>
        <v>junio</v>
      </c>
      <c r="D1196" t="str">
        <f>TEXT(Tabla24[[#This Row],[Fecha]],"aaaa")</f>
        <v>2024</v>
      </c>
      <c r="E1196" t="s">
        <v>22</v>
      </c>
      <c r="F1196" t="s">
        <v>29</v>
      </c>
      <c r="G1196" t="s">
        <v>39</v>
      </c>
      <c r="H1196" t="s">
        <v>25</v>
      </c>
      <c r="I1196" t="s">
        <v>26</v>
      </c>
      <c r="J1196">
        <v>9</v>
      </c>
      <c r="K1196">
        <v>20266</v>
      </c>
      <c r="L1196">
        <f>Tabla24[[#This Row],[Precio_Unitario]]*Tabla24[[#This Row],[Unidades_Vendidas]]</f>
        <v>182394</v>
      </c>
      <c r="M1196" t="s">
        <v>20</v>
      </c>
    </row>
    <row r="1197" spans="1:13" x14ac:dyDescent="0.25">
      <c r="A1197" t="s">
        <v>161</v>
      </c>
      <c r="B1197" t="str">
        <f>TEXT(Tabla24[[#This Row],[Fecha]],"dddd")</f>
        <v>martes</v>
      </c>
      <c r="C1197" t="str">
        <f>TEXT(Tabla24[[#This Row],[Fecha]],"mmmm")</f>
        <v>diciembre</v>
      </c>
      <c r="D1197" t="str">
        <f>TEXT(Tabla24[[#This Row],[Fecha]],"aaaa")</f>
        <v>2024</v>
      </c>
      <c r="E1197" t="s">
        <v>11</v>
      </c>
      <c r="F1197" t="s">
        <v>34</v>
      </c>
      <c r="G1197" t="s">
        <v>48</v>
      </c>
      <c r="H1197" t="s">
        <v>30</v>
      </c>
      <c r="I1197" t="s">
        <v>15</v>
      </c>
      <c r="J1197">
        <v>3</v>
      </c>
      <c r="K1197">
        <v>26763</v>
      </c>
      <c r="L1197">
        <f>Tabla24[[#This Row],[Precio_Unitario]]*Tabla24[[#This Row],[Unidades_Vendidas]]</f>
        <v>80289</v>
      </c>
      <c r="M1197" t="s">
        <v>36</v>
      </c>
    </row>
    <row r="1198" spans="1:13" x14ac:dyDescent="0.25">
      <c r="A1198" t="s">
        <v>93</v>
      </c>
      <c r="B1198" t="str">
        <f>TEXT(Tabla24[[#This Row],[Fecha]],"dddd")</f>
        <v>sábado</v>
      </c>
      <c r="C1198" t="str">
        <f>TEXT(Tabla24[[#This Row],[Fecha]],"mmmm")</f>
        <v>marzo</v>
      </c>
      <c r="D1198" t="str">
        <f>TEXT(Tabla24[[#This Row],[Fecha]],"aaaa")</f>
        <v>2024</v>
      </c>
      <c r="E1198" t="s">
        <v>42</v>
      </c>
      <c r="F1198" t="s">
        <v>12</v>
      </c>
      <c r="G1198" t="s">
        <v>24</v>
      </c>
      <c r="H1198" t="s">
        <v>35</v>
      </c>
      <c r="I1198" t="s">
        <v>40</v>
      </c>
      <c r="J1198">
        <v>20</v>
      </c>
      <c r="K1198">
        <v>33483</v>
      </c>
      <c r="L1198">
        <f>Tabla24[[#This Row],[Precio_Unitario]]*Tabla24[[#This Row],[Unidades_Vendidas]]</f>
        <v>669660</v>
      </c>
      <c r="M1198" t="s">
        <v>20</v>
      </c>
    </row>
    <row r="1199" spans="1:13" x14ac:dyDescent="0.25">
      <c r="A1199" t="s">
        <v>259</v>
      </c>
      <c r="B1199" t="str">
        <f>TEXT(Tabla24[[#This Row],[Fecha]],"dddd")</f>
        <v>lunes</v>
      </c>
      <c r="C1199" t="str">
        <f>TEXT(Tabla24[[#This Row],[Fecha]],"mmmm")</f>
        <v>noviembre</v>
      </c>
      <c r="D1199" t="str">
        <f>TEXT(Tabla24[[#This Row],[Fecha]],"aaaa")</f>
        <v>2024</v>
      </c>
      <c r="E1199" t="s">
        <v>11</v>
      </c>
      <c r="F1199" t="s">
        <v>29</v>
      </c>
      <c r="G1199" t="s">
        <v>39</v>
      </c>
      <c r="H1199" t="s">
        <v>14</v>
      </c>
      <c r="I1199" t="s">
        <v>40</v>
      </c>
      <c r="J1199">
        <v>2</v>
      </c>
      <c r="K1199">
        <v>24408</v>
      </c>
      <c r="L1199">
        <f>Tabla24[[#This Row],[Precio_Unitario]]*Tabla24[[#This Row],[Unidades_Vendidas]]</f>
        <v>48816</v>
      </c>
      <c r="M1199" t="s">
        <v>20</v>
      </c>
    </row>
    <row r="1200" spans="1:13" x14ac:dyDescent="0.25">
      <c r="A1200" t="s">
        <v>80</v>
      </c>
      <c r="B1200" t="str">
        <f>TEXT(Tabla24[[#This Row],[Fecha]],"dddd")</f>
        <v>miércoles</v>
      </c>
      <c r="C1200" t="str">
        <f>TEXT(Tabla24[[#This Row],[Fecha]],"mmmm")</f>
        <v>mayo</v>
      </c>
      <c r="D1200" t="str">
        <f>TEXT(Tabla24[[#This Row],[Fecha]],"aaaa")</f>
        <v>2024</v>
      </c>
      <c r="E1200" t="s">
        <v>33</v>
      </c>
      <c r="F1200" t="s">
        <v>38</v>
      </c>
      <c r="G1200" t="s">
        <v>48</v>
      </c>
      <c r="H1200" t="s">
        <v>19</v>
      </c>
      <c r="I1200" t="s">
        <v>40</v>
      </c>
      <c r="J1200">
        <v>8</v>
      </c>
      <c r="K1200">
        <v>38182</v>
      </c>
      <c r="L1200">
        <f>Tabla24[[#This Row],[Precio_Unitario]]*Tabla24[[#This Row],[Unidades_Vendidas]]</f>
        <v>305456</v>
      </c>
      <c r="M1200" t="s">
        <v>36</v>
      </c>
    </row>
    <row r="1201" spans="1:13" x14ac:dyDescent="0.25">
      <c r="A1201" t="s">
        <v>231</v>
      </c>
      <c r="B1201" t="str">
        <f>TEXT(Tabla24[[#This Row],[Fecha]],"dddd")</f>
        <v>sábado</v>
      </c>
      <c r="C1201" t="str">
        <f>TEXT(Tabla24[[#This Row],[Fecha]],"mmmm")</f>
        <v>mayo</v>
      </c>
      <c r="D1201" t="str">
        <f>TEXT(Tabla24[[#This Row],[Fecha]],"aaaa")</f>
        <v>2024</v>
      </c>
      <c r="E1201" t="s">
        <v>11</v>
      </c>
      <c r="F1201" t="s">
        <v>23</v>
      </c>
      <c r="G1201" t="s">
        <v>48</v>
      </c>
      <c r="H1201" t="s">
        <v>14</v>
      </c>
      <c r="I1201" t="s">
        <v>40</v>
      </c>
      <c r="J1201">
        <v>20</v>
      </c>
      <c r="K1201">
        <v>42489</v>
      </c>
      <c r="L1201">
        <f>Tabla24[[#This Row],[Precio_Unitario]]*Tabla24[[#This Row],[Unidades_Vendidas]]</f>
        <v>849780</v>
      </c>
      <c r="M1201" t="s">
        <v>27</v>
      </c>
    </row>
    <row r="1202" spans="1:13" x14ac:dyDescent="0.25">
      <c r="A1202" t="s">
        <v>224</v>
      </c>
      <c r="B1202" t="str">
        <f>TEXT(Tabla24[[#This Row],[Fecha]],"dddd")</f>
        <v>lunes</v>
      </c>
      <c r="C1202" t="str">
        <f>TEXT(Tabla24[[#This Row],[Fecha]],"mmmm")</f>
        <v>agosto</v>
      </c>
      <c r="D1202" t="str">
        <f>TEXT(Tabla24[[#This Row],[Fecha]],"aaaa")</f>
        <v>2024</v>
      </c>
      <c r="E1202" t="s">
        <v>22</v>
      </c>
      <c r="F1202" t="s">
        <v>34</v>
      </c>
      <c r="G1202" t="s">
        <v>48</v>
      </c>
      <c r="H1202" t="s">
        <v>14</v>
      </c>
      <c r="I1202" t="s">
        <v>26</v>
      </c>
      <c r="J1202">
        <v>6</v>
      </c>
      <c r="K1202">
        <v>28768</v>
      </c>
      <c r="L1202">
        <f>Tabla24[[#This Row],[Precio_Unitario]]*Tabla24[[#This Row],[Unidades_Vendidas]]</f>
        <v>172608</v>
      </c>
      <c r="M1202" t="s">
        <v>27</v>
      </c>
    </row>
    <row r="1203" spans="1:13" x14ac:dyDescent="0.25">
      <c r="A1203" t="s">
        <v>120</v>
      </c>
      <c r="B1203" t="str">
        <f>TEXT(Tabla24[[#This Row],[Fecha]],"dddd")</f>
        <v>lunes</v>
      </c>
      <c r="C1203" t="str">
        <f>TEXT(Tabla24[[#This Row],[Fecha]],"mmmm")</f>
        <v>marzo</v>
      </c>
      <c r="D1203" t="str">
        <f>TEXT(Tabla24[[#This Row],[Fecha]],"aaaa")</f>
        <v>2024</v>
      </c>
      <c r="E1203" t="s">
        <v>33</v>
      </c>
      <c r="F1203" t="s">
        <v>23</v>
      </c>
      <c r="G1203" t="s">
        <v>44</v>
      </c>
      <c r="H1203" t="s">
        <v>14</v>
      </c>
      <c r="I1203" t="s">
        <v>15</v>
      </c>
      <c r="J1203">
        <v>19</v>
      </c>
      <c r="K1203">
        <v>50812</v>
      </c>
      <c r="L1203">
        <f>Tabla24[[#This Row],[Precio_Unitario]]*Tabla24[[#This Row],[Unidades_Vendidas]]</f>
        <v>965428</v>
      </c>
      <c r="M1203" t="s">
        <v>27</v>
      </c>
    </row>
    <row r="1204" spans="1:13" x14ac:dyDescent="0.25">
      <c r="A1204" t="s">
        <v>102</v>
      </c>
      <c r="B1204" t="str">
        <f>TEXT(Tabla24[[#This Row],[Fecha]],"dddd")</f>
        <v>viernes</v>
      </c>
      <c r="C1204" t="str">
        <f>TEXT(Tabla24[[#This Row],[Fecha]],"mmmm")</f>
        <v>noviembre</v>
      </c>
      <c r="D1204" t="str">
        <f>TEXT(Tabla24[[#This Row],[Fecha]],"aaaa")</f>
        <v>2024</v>
      </c>
      <c r="E1204" t="s">
        <v>22</v>
      </c>
      <c r="F1204" t="s">
        <v>38</v>
      </c>
      <c r="G1204" t="s">
        <v>39</v>
      </c>
      <c r="H1204" t="s">
        <v>35</v>
      </c>
      <c r="I1204" t="s">
        <v>26</v>
      </c>
      <c r="J1204">
        <v>16</v>
      </c>
      <c r="K1204">
        <v>17674</v>
      </c>
      <c r="L1204">
        <f>Tabla24[[#This Row],[Precio_Unitario]]*Tabla24[[#This Row],[Unidades_Vendidas]]</f>
        <v>282784</v>
      </c>
      <c r="M1204" t="s">
        <v>16</v>
      </c>
    </row>
    <row r="1205" spans="1:13" x14ac:dyDescent="0.25">
      <c r="A1205" t="s">
        <v>375</v>
      </c>
      <c r="B1205" t="str">
        <f>TEXT(Tabla24[[#This Row],[Fecha]],"dddd")</f>
        <v>lunes</v>
      </c>
      <c r="C1205" t="str">
        <f>TEXT(Tabla24[[#This Row],[Fecha]],"mmmm")</f>
        <v>septiembre</v>
      </c>
      <c r="D1205" t="str">
        <f>TEXT(Tabla24[[#This Row],[Fecha]],"aaaa")</f>
        <v>2024</v>
      </c>
      <c r="E1205" t="s">
        <v>18</v>
      </c>
      <c r="F1205" t="s">
        <v>38</v>
      </c>
      <c r="G1205" t="s">
        <v>39</v>
      </c>
      <c r="H1205" t="s">
        <v>19</v>
      </c>
      <c r="I1205" t="s">
        <v>15</v>
      </c>
      <c r="J1205">
        <v>4</v>
      </c>
      <c r="K1205">
        <v>40041</v>
      </c>
      <c r="L1205">
        <f>Tabla24[[#This Row],[Precio_Unitario]]*Tabla24[[#This Row],[Unidades_Vendidas]]</f>
        <v>160164</v>
      </c>
      <c r="M1205" t="s">
        <v>16</v>
      </c>
    </row>
    <row r="1206" spans="1:13" x14ac:dyDescent="0.25">
      <c r="A1206" t="s">
        <v>185</v>
      </c>
      <c r="B1206" t="str">
        <f>TEXT(Tabla24[[#This Row],[Fecha]],"dddd")</f>
        <v>domingo</v>
      </c>
      <c r="C1206" t="str">
        <f>TEXT(Tabla24[[#This Row],[Fecha]],"mmmm")</f>
        <v>noviembre</v>
      </c>
      <c r="D1206" t="str">
        <f>TEXT(Tabla24[[#This Row],[Fecha]],"aaaa")</f>
        <v>2024</v>
      </c>
      <c r="E1206" t="s">
        <v>42</v>
      </c>
      <c r="F1206" t="s">
        <v>34</v>
      </c>
      <c r="G1206" t="s">
        <v>39</v>
      </c>
      <c r="H1206" t="s">
        <v>25</v>
      </c>
      <c r="I1206" t="s">
        <v>15</v>
      </c>
      <c r="J1206">
        <v>14</v>
      </c>
      <c r="K1206">
        <v>19201</v>
      </c>
      <c r="L1206">
        <f>Tabla24[[#This Row],[Precio_Unitario]]*Tabla24[[#This Row],[Unidades_Vendidas]]</f>
        <v>268814</v>
      </c>
      <c r="M1206" t="s">
        <v>16</v>
      </c>
    </row>
    <row r="1207" spans="1:13" x14ac:dyDescent="0.25">
      <c r="A1207" t="s">
        <v>389</v>
      </c>
      <c r="B1207" t="str">
        <f>TEXT(Tabla24[[#This Row],[Fecha]],"dddd")</f>
        <v>viernes</v>
      </c>
      <c r="C1207" t="str">
        <f>TEXT(Tabla24[[#This Row],[Fecha]],"mmmm")</f>
        <v>abril</v>
      </c>
      <c r="D1207" t="str">
        <f>TEXT(Tabla24[[#This Row],[Fecha]],"aaaa")</f>
        <v>2024</v>
      </c>
      <c r="E1207" t="s">
        <v>22</v>
      </c>
      <c r="F1207" t="s">
        <v>12</v>
      </c>
      <c r="G1207" t="s">
        <v>44</v>
      </c>
      <c r="H1207" t="s">
        <v>25</v>
      </c>
      <c r="I1207" t="s">
        <v>15</v>
      </c>
      <c r="J1207">
        <v>19</v>
      </c>
      <c r="K1207">
        <v>26504</v>
      </c>
      <c r="L1207">
        <f>Tabla24[[#This Row],[Precio_Unitario]]*Tabla24[[#This Row],[Unidades_Vendidas]]</f>
        <v>503576</v>
      </c>
      <c r="M1207" t="s">
        <v>20</v>
      </c>
    </row>
    <row r="1208" spans="1:13" x14ac:dyDescent="0.25">
      <c r="A1208" t="s">
        <v>390</v>
      </c>
      <c r="B1208" t="str">
        <f>TEXT(Tabla24[[#This Row],[Fecha]],"dddd")</f>
        <v>lunes</v>
      </c>
      <c r="C1208" t="str">
        <f>TEXT(Tabla24[[#This Row],[Fecha]],"mmmm")</f>
        <v>septiembre</v>
      </c>
      <c r="D1208" t="str">
        <f>TEXT(Tabla24[[#This Row],[Fecha]],"aaaa")</f>
        <v>2024</v>
      </c>
      <c r="E1208" t="s">
        <v>11</v>
      </c>
      <c r="F1208" t="s">
        <v>12</v>
      </c>
      <c r="G1208" t="s">
        <v>13</v>
      </c>
      <c r="H1208" t="s">
        <v>30</v>
      </c>
      <c r="I1208" t="s">
        <v>26</v>
      </c>
      <c r="J1208">
        <v>12</v>
      </c>
      <c r="K1208">
        <v>53746</v>
      </c>
      <c r="L1208">
        <f>Tabla24[[#This Row],[Precio_Unitario]]*Tabla24[[#This Row],[Unidades_Vendidas]]</f>
        <v>644952</v>
      </c>
      <c r="M1208" t="s">
        <v>20</v>
      </c>
    </row>
    <row r="1209" spans="1:13" x14ac:dyDescent="0.25">
      <c r="A1209" t="s">
        <v>47</v>
      </c>
      <c r="B1209" t="str">
        <f>TEXT(Tabla24[[#This Row],[Fecha]],"dddd")</f>
        <v>miércoles</v>
      </c>
      <c r="C1209" t="str">
        <f>TEXT(Tabla24[[#This Row],[Fecha]],"mmmm")</f>
        <v>septiembre</v>
      </c>
      <c r="D1209" t="str">
        <f>TEXT(Tabla24[[#This Row],[Fecha]],"aaaa")</f>
        <v>2024</v>
      </c>
      <c r="E1209" t="s">
        <v>22</v>
      </c>
      <c r="F1209" t="s">
        <v>34</v>
      </c>
      <c r="G1209" t="s">
        <v>44</v>
      </c>
      <c r="H1209" t="s">
        <v>14</v>
      </c>
      <c r="I1209" t="s">
        <v>40</v>
      </c>
      <c r="J1209">
        <v>12</v>
      </c>
      <c r="K1209">
        <v>52317</v>
      </c>
      <c r="L1209">
        <f>Tabla24[[#This Row],[Precio_Unitario]]*Tabla24[[#This Row],[Unidades_Vendidas]]</f>
        <v>627804</v>
      </c>
      <c r="M1209" t="s">
        <v>27</v>
      </c>
    </row>
    <row r="1210" spans="1:13" x14ac:dyDescent="0.25">
      <c r="A1210" t="s">
        <v>334</v>
      </c>
      <c r="B1210" t="str">
        <f>TEXT(Tabla24[[#This Row],[Fecha]],"dddd")</f>
        <v>sábado</v>
      </c>
      <c r="C1210" t="str">
        <f>TEXT(Tabla24[[#This Row],[Fecha]],"mmmm")</f>
        <v>diciembre</v>
      </c>
      <c r="D1210" t="str">
        <f>TEXT(Tabla24[[#This Row],[Fecha]],"aaaa")</f>
        <v>2024</v>
      </c>
      <c r="E1210" t="s">
        <v>42</v>
      </c>
      <c r="F1210" t="s">
        <v>38</v>
      </c>
      <c r="G1210" t="s">
        <v>13</v>
      </c>
      <c r="H1210" t="s">
        <v>19</v>
      </c>
      <c r="I1210" t="s">
        <v>26</v>
      </c>
      <c r="J1210">
        <v>3</v>
      </c>
      <c r="K1210">
        <v>43778</v>
      </c>
      <c r="L1210">
        <f>Tabla24[[#This Row],[Precio_Unitario]]*Tabla24[[#This Row],[Unidades_Vendidas]]</f>
        <v>131334</v>
      </c>
      <c r="M1210" t="s">
        <v>36</v>
      </c>
    </row>
    <row r="1211" spans="1:13" x14ac:dyDescent="0.25">
      <c r="A1211" t="s">
        <v>242</v>
      </c>
      <c r="B1211" t="str">
        <f>TEXT(Tabla24[[#This Row],[Fecha]],"dddd")</f>
        <v>sábado</v>
      </c>
      <c r="C1211" t="str">
        <f>TEXT(Tabla24[[#This Row],[Fecha]],"mmmm")</f>
        <v>julio</v>
      </c>
      <c r="D1211" t="str">
        <f>TEXT(Tabla24[[#This Row],[Fecha]],"aaaa")</f>
        <v>2024</v>
      </c>
      <c r="E1211" t="s">
        <v>22</v>
      </c>
      <c r="F1211" t="s">
        <v>34</v>
      </c>
      <c r="G1211" t="s">
        <v>13</v>
      </c>
      <c r="H1211" t="s">
        <v>30</v>
      </c>
      <c r="I1211" t="s">
        <v>26</v>
      </c>
      <c r="J1211">
        <v>10</v>
      </c>
      <c r="K1211">
        <v>51753</v>
      </c>
      <c r="L1211">
        <f>Tabla24[[#This Row],[Precio_Unitario]]*Tabla24[[#This Row],[Unidades_Vendidas]]</f>
        <v>517530</v>
      </c>
      <c r="M1211" t="s">
        <v>36</v>
      </c>
    </row>
    <row r="1212" spans="1:13" x14ac:dyDescent="0.25">
      <c r="A1212" t="s">
        <v>198</v>
      </c>
      <c r="B1212" t="str">
        <f>TEXT(Tabla24[[#This Row],[Fecha]],"dddd")</f>
        <v>viernes</v>
      </c>
      <c r="C1212" t="str">
        <f>TEXT(Tabla24[[#This Row],[Fecha]],"mmmm")</f>
        <v>marzo</v>
      </c>
      <c r="D1212" t="str">
        <f>TEXT(Tabla24[[#This Row],[Fecha]],"aaaa")</f>
        <v>2024</v>
      </c>
      <c r="E1212" t="s">
        <v>11</v>
      </c>
      <c r="F1212" t="s">
        <v>23</v>
      </c>
      <c r="G1212" t="s">
        <v>39</v>
      </c>
      <c r="H1212" t="s">
        <v>25</v>
      </c>
      <c r="I1212" t="s">
        <v>40</v>
      </c>
      <c r="J1212">
        <v>18</v>
      </c>
      <c r="K1212">
        <v>21638</v>
      </c>
      <c r="L1212">
        <f>Tabla24[[#This Row],[Precio_Unitario]]*Tabla24[[#This Row],[Unidades_Vendidas]]</f>
        <v>389484</v>
      </c>
      <c r="M1212" t="s">
        <v>27</v>
      </c>
    </row>
    <row r="1213" spans="1:13" x14ac:dyDescent="0.25">
      <c r="A1213" t="s">
        <v>347</v>
      </c>
      <c r="B1213" t="str">
        <f>TEXT(Tabla24[[#This Row],[Fecha]],"dddd")</f>
        <v>viernes</v>
      </c>
      <c r="C1213" t="str">
        <f>TEXT(Tabla24[[#This Row],[Fecha]],"mmmm")</f>
        <v>julio</v>
      </c>
      <c r="D1213" t="str">
        <f>TEXT(Tabla24[[#This Row],[Fecha]],"aaaa")</f>
        <v>2024</v>
      </c>
      <c r="E1213" t="s">
        <v>42</v>
      </c>
      <c r="F1213" t="s">
        <v>23</v>
      </c>
      <c r="G1213" t="s">
        <v>44</v>
      </c>
      <c r="H1213" t="s">
        <v>19</v>
      </c>
      <c r="I1213" t="s">
        <v>26</v>
      </c>
      <c r="J1213">
        <v>7</v>
      </c>
      <c r="K1213">
        <v>53057</v>
      </c>
      <c r="L1213">
        <f>Tabla24[[#This Row],[Precio_Unitario]]*Tabla24[[#This Row],[Unidades_Vendidas]]</f>
        <v>371399</v>
      </c>
      <c r="M1213" t="s">
        <v>36</v>
      </c>
    </row>
    <row r="1214" spans="1:13" x14ac:dyDescent="0.25">
      <c r="A1214" t="s">
        <v>284</v>
      </c>
      <c r="B1214" t="str">
        <f>TEXT(Tabla24[[#This Row],[Fecha]],"dddd")</f>
        <v>martes</v>
      </c>
      <c r="C1214" t="str">
        <f>TEXT(Tabla24[[#This Row],[Fecha]],"mmmm")</f>
        <v>noviembre</v>
      </c>
      <c r="D1214" t="str">
        <f>TEXT(Tabla24[[#This Row],[Fecha]],"aaaa")</f>
        <v>2024</v>
      </c>
      <c r="E1214" t="s">
        <v>18</v>
      </c>
      <c r="F1214" t="s">
        <v>34</v>
      </c>
      <c r="G1214" t="s">
        <v>13</v>
      </c>
      <c r="H1214" t="s">
        <v>14</v>
      </c>
      <c r="I1214" t="s">
        <v>40</v>
      </c>
      <c r="J1214">
        <v>9</v>
      </c>
      <c r="K1214">
        <v>48713</v>
      </c>
      <c r="L1214">
        <f>Tabla24[[#This Row],[Precio_Unitario]]*Tabla24[[#This Row],[Unidades_Vendidas]]</f>
        <v>438417</v>
      </c>
      <c r="M1214" t="s">
        <v>27</v>
      </c>
    </row>
    <row r="1215" spans="1:13" x14ac:dyDescent="0.25">
      <c r="A1215" t="s">
        <v>270</v>
      </c>
      <c r="B1215" t="str">
        <f>TEXT(Tabla24[[#This Row],[Fecha]],"dddd")</f>
        <v>viernes</v>
      </c>
      <c r="C1215" t="str">
        <f>TEXT(Tabla24[[#This Row],[Fecha]],"mmmm")</f>
        <v>octubre</v>
      </c>
      <c r="D1215" t="str">
        <f>TEXT(Tabla24[[#This Row],[Fecha]],"aaaa")</f>
        <v>2024</v>
      </c>
      <c r="E1215" t="s">
        <v>42</v>
      </c>
      <c r="F1215" t="s">
        <v>29</v>
      </c>
      <c r="G1215" t="s">
        <v>13</v>
      </c>
      <c r="H1215" t="s">
        <v>30</v>
      </c>
      <c r="I1215" t="s">
        <v>40</v>
      </c>
      <c r="J1215">
        <v>11</v>
      </c>
      <c r="K1215">
        <v>50888</v>
      </c>
      <c r="L1215">
        <f>Tabla24[[#This Row],[Precio_Unitario]]*Tabla24[[#This Row],[Unidades_Vendidas]]</f>
        <v>559768</v>
      </c>
      <c r="M1215" t="s">
        <v>16</v>
      </c>
    </row>
    <row r="1216" spans="1:13" x14ac:dyDescent="0.25">
      <c r="A1216" t="s">
        <v>213</v>
      </c>
      <c r="B1216" t="str">
        <f>TEXT(Tabla24[[#This Row],[Fecha]],"dddd")</f>
        <v>miércoles</v>
      </c>
      <c r="C1216" t="str">
        <f>TEXT(Tabla24[[#This Row],[Fecha]],"mmmm")</f>
        <v>septiembre</v>
      </c>
      <c r="D1216" t="str">
        <f>TEXT(Tabla24[[#This Row],[Fecha]],"aaaa")</f>
        <v>2024</v>
      </c>
      <c r="E1216" t="s">
        <v>22</v>
      </c>
      <c r="F1216" t="s">
        <v>23</v>
      </c>
      <c r="G1216" t="s">
        <v>48</v>
      </c>
      <c r="H1216" t="s">
        <v>30</v>
      </c>
      <c r="I1216" t="s">
        <v>40</v>
      </c>
      <c r="J1216">
        <v>15</v>
      </c>
      <c r="K1216">
        <v>38943</v>
      </c>
      <c r="L1216">
        <f>Tabla24[[#This Row],[Precio_Unitario]]*Tabla24[[#This Row],[Unidades_Vendidas]]</f>
        <v>584145</v>
      </c>
      <c r="M1216" t="s">
        <v>27</v>
      </c>
    </row>
    <row r="1217" spans="1:13" x14ac:dyDescent="0.25">
      <c r="A1217" t="s">
        <v>170</v>
      </c>
      <c r="B1217" t="str">
        <f>TEXT(Tabla24[[#This Row],[Fecha]],"dddd")</f>
        <v>viernes</v>
      </c>
      <c r="C1217" t="str">
        <f>TEXT(Tabla24[[#This Row],[Fecha]],"mmmm")</f>
        <v>agosto</v>
      </c>
      <c r="D1217" t="str">
        <f>TEXT(Tabla24[[#This Row],[Fecha]],"aaaa")</f>
        <v>2024</v>
      </c>
      <c r="E1217" t="s">
        <v>42</v>
      </c>
      <c r="F1217" t="s">
        <v>29</v>
      </c>
      <c r="G1217" t="s">
        <v>48</v>
      </c>
      <c r="H1217" t="s">
        <v>25</v>
      </c>
      <c r="I1217" t="s">
        <v>15</v>
      </c>
      <c r="J1217">
        <v>14</v>
      </c>
      <c r="K1217">
        <v>40942</v>
      </c>
      <c r="L1217">
        <f>Tabla24[[#This Row],[Precio_Unitario]]*Tabla24[[#This Row],[Unidades_Vendidas]]</f>
        <v>573188</v>
      </c>
      <c r="M1217" t="s">
        <v>27</v>
      </c>
    </row>
    <row r="1218" spans="1:13" x14ac:dyDescent="0.25">
      <c r="A1218" t="s">
        <v>352</v>
      </c>
      <c r="B1218" t="str">
        <f>TEXT(Tabla24[[#This Row],[Fecha]],"dddd")</f>
        <v>miércoles</v>
      </c>
      <c r="C1218" t="str">
        <f>TEXT(Tabla24[[#This Row],[Fecha]],"mmmm")</f>
        <v>enero</v>
      </c>
      <c r="D1218" t="str">
        <f>TEXT(Tabla24[[#This Row],[Fecha]],"aaaa")</f>
        <v>2024</v>
      </c>
      <c r="E1218" t="s">
        <v>22</v>
      </c>
      <c r="F1218" t="s">
        <v>38</v>
      </c>
      <c r="G1218" t="s">
        <v>24</v>
      </c>
      <c r="H1218" t="s">
        <v>14</v>
      </c>
      <c r="I1218" t="s">
        <v>40</v>
      </c>
      <c r="J1218">
        <v>18</v>
      </c>
      <c r="K1218">
        <v>16396</v>
      </c>
      <c r="L1218">
        <f>Tabla24[[#This Row],[Precio_Unitario]]*Tabla24[[#This Row],[Unidades_Vendidas]]</f>
        <v>295128</v>
      </c>
      <c r="M1218" t="s">
        <v>16</v>
      </c>
    </row>
    <row r="1219" spans="1:13" x14ac:dyDescent="0.25">
      <c r="A1219" t="s">
        <v>191</v>
      </c>
      <c r="B1219" t="str">
        <f>TEXT(Tabla24[[#This Row],[Fecha]],"dddd")</f>
        <v>sábado</v>
      </c>
      <c r="C1219" t="str">
        <f>TEXT(Tabla24[[#This Row],[Fecha]],"mmmm")</f>
        <v>marzo</v>
      </c>
      <c r="D1219" t="str">
        <f>TEXT(Tabla24[[#This Row],[Fecha]],"aaaa")</f>
        <v>2024</v>
      </c>
      <c r="E1219" t="s">
        <v>33</v>
      </c>
      <c r="F1219" t="s">
        <v>12</v>
      </c>
      <c r="G1219" t="s">
        <v>48</v>
      </c>
      <c r="H1219" t="s">
        <v>35</v>
      </c>
      <c r="I1219" t="s">
        <v>26</v>
      </c>
      <c r="J1219">
        <v>6</v>
      </c>
      <c r="K1219">
        <v>39018</v>
      </c>
      <c r="L1219">
        <f>Tabla24[[#This Row],[Precio_Unitario]]*Tabla24[[#This Row],[Unidades_Vendidas]]</f>
        <v>234108</v>
      </c>
      <c r="M1219" t="s">
        <v>36</v>
      </c>
    </row>
    <row r="1220" spans="1:13" x14ac:dyDescent="0.25">
      <c r="A1220" t="s">
        <v>289</v>
      </c>
      <c r="B1220" t="str">
        <f>TEXT(Tabla24[[#This Row],[Fecha]],"dddd")</f>
        <v>miércoles</v>
      </c>
      <c r="C1220" t="str">
        <f>TEXT(Tabla24[[#This Row],[Fecha]],"mmmm")</f>
        <v>diciembre</v>
      </c>
      <c r="D1220" t="str">
        <f>TEXT(Tabla24[[#This Row],[Fecha]],"aaaa")</f>
        <v>2024</v>
      </c>
      <c r="E1220" t="s">
        <v>33</v>
      </c>
      <c r="F1220" t="s">
        <v>38</v>
      </c>
      <c r="G1220" t="s">
        <v>48</v>
      </c>
      <c r="H1220" t="s">
        <v>19</v>
      </c>
      <c r="I1220" t="s">
        <v>40</v>
      </c>
      <c r="J1220">
        <v>1</v>
      </c>
      <c r="K1220">
        <v>44110</v>
      </c>
      <c r="L1220">
        <f>Tabla24[[#This Row],[Precio_Unitario]]*Tabla24[[#This Row],[Unidades_Vendidas]]</f>
        <v>44110</v>
      </c>
      <c r="M1220" t="s">
        <v>27</v>
      </c>
    </row>
    <row r="1221" spans="1:13" x14ac:dyDescent="0.25">
      <c r="A1221" t="s">
        <v>171</v>
      </c>
      <c r="B1221" t="str">
        <f>TEXT(Tabla24[[#This Row],[Fecha]],"dddd")</f>
        <v>miércoles</v>
      </c>
      <c r="C1221" t="str">
        <f>TEXT(Tabla24[[#This Row],[Fecha]],"mmmm")</f>
        <v>noviembre</v>
      </c>
      <c r="D1221" t="str">
        <f>TEXT(Tabla24[[#This Row],[Fecha]],"aaaa")</f>
        <v>2024</v>
      </c>
      <c r="E1221" t="s">
        <v>18</v>
      </c>
      <c r="F1221" t="s">
        <v>34</v>
      </c>
      <c r="G1221" t="s">
        <v>13</v>
      </c>
      <c r="H1221" t="s">
        <v>35</v>
      </c>
      <c r="I1221" t="s">
        <v>40</v>
      </c>
      <c r="J1221">
        <v>14</v>
      </c>
      <c r="K1221">
        <v>15536</v>
      </c>
      <c r="L1221">
        <f>Tabla24[[#This Row],[Precio_Unitario]]*Tabla24[[#This Row],[Unidades_Vendidas]]</f>
        <v>217504</v>
      </c>
      <c r="M1221" t="s">
        <v>20</v>
      </c>
    </row>
    <row r="1222" spans="1:13" x14ac:dyDescent="0.25">
      <c r="A1222" t="s">
        <v>205</v>
      </c>
      <c r="B1222" t="str">
        <f>TEXT(Tabla24[[#This Row],[Fecha]],"dddd")</f>
        <v>sábado</v>
      </c>
      <c r="C1222" t="str">
        <f>TEXT(Tabla24[[#This Row],[Fecha]],"mmmm")</f>
        <v>marzo</v>
      </c>
      <c r="D1222" t="str">
        <f>TEXT(Tabla24[[#This Row],[Fecha]],"aaaa")</f>
        <v>2024</v>
      </c>
      <c r="E1222" t="s">
        <v>33</v>
      </c>
      <c r="F1222" t="s">
        <v>12</v>
      </c>
      <c r="G1222" t="s">
        <v>13</v>
      </c>
      <c r="H1222" t="s">
        <v>35</v>
      </c>
      <c r="I1222" t="s">
        <v>26</v>
      </c>
      <c r="J1222">
        <v>6</v>
      </c>
      <c r="K1222">
        <v>43891</v>
      </c>
      <c r="L1222">
        <f>Tabla24[[#This Row],[Precio_Unitario]]*Tabla24[[#This Row],[Unidades_Vendidas]]</f>
        <v>263346</v>
      </c>
      <c r="M1222" t="s">
        <v>20</v>
      </c>
    </row>
    <row r="1223" spans="1:13" x14ac:dyDescent="0.25">
      <c r="A1223" t="s">
        <v>204</v>
      </c>
      <c r="B1223" t="str">
        <f>TEXT(Tabla24[[#This Row],[Fecha]],"dddd")</f>
        <v>lunes</v>
      </c>
      <c r="C1223" t="str">
        <f>TEXT(Tabla24[[#This Row],[Fecha]],"mmmm")</f>
        <v>enero</v>
      </c>
      <c r="D1223" t="str">
        <f>TEXT(Tabla24[[#This Row],[Fecha]],"aaaa")</f>
        <v>2024</v>
      </c>
      <c r="E1223" t="s">
        <v>18</v>
      </c>
      <c r="F1223" t="s">
        <v>12</v>
      </c>
      <c r="G1223" t="s">
        <v>44</v>
      </c>
      <c r="H1223" t="s">
        <v>25</v>
      </c>
      <c r="I1223" t="s">
        <v>40</v>
      </c>
      <c r="J1223">
        <v>13</v>
      </c>
      <c r="K1223">
        <v>48033</v>
      </c>
      <c r="L1223">
        <f>Tabla24[[#This Row],[Precio_Unitario]]*Tabla24[[#This Row],[Unidades_Vendidas]]</f>
        <v>624429</v>
      </c>
      <c r="M1223" t="s">
        <v>27</v>
      </c>
    </row>
    <row r="1224" spans="1:13" x14ac:dyDescent="0.25">
      <c r="A1224" t="s">
        <v>253</v>
      </c>
      <c r="B1224" t="str">
        <f>TEXT(Tabla24[[#This Row],[Fecha]],"dddd")</f>
        <v>jueves</v>
      </c>
      <c r="C1224" t="str">
        <f>TEXT(Tabla24[[#This Row],[Fecha]],"mmmm")</f>
        <v>marzo</v>
      </c>
      <c r="D1224" t="str">
        <f>TEXT(Tabla24[[#This Row],[Fecha]],"aaaa")</f>
        <v>2024</v>
      </c>
      <c r="E1224" t="s">
        <v>18</v>
      </c>
      <c r="F1224" t="s">
        <v>23</v>
      </c>
      <c r="G1224" t="s">
        <v>24</v>
      </c>
      <c r="H1224" t="s">
        <v>30</v>
      </c>
      <c r="I1224" t="s">
        <v>15</v>
      </c>
      <c r="J1224">
        <v>14</v>
      </c>
      <c r="K1224">
        <v>21868</v>
      </c>
      <c r="L1224">
        <f>Tabla24[[#This Row],[Precio_Unitario]]*Tabla24[[#This Row],[Unidades_Vendidas]]</f>
        <v>306152</v>
      </c>
      <c r="M1224" t="s">
        <v>36</v>
      </c>
    </row>
    <row r="1225" spans="1:13" x14ac:dyDescent="0.25">
      <c r="A1225" t="s">
        <v>373</v>
      </c>
      <c r="B1225" t="str">
        <f>TEXT(Tabla24[[#This Row],[Fecha]],"dddd")</f>
        <v>jueves</v>
      </c>
      <c r="C1225" t="str">
        <f>TEXT(Tabla24[[#This Row],[Fecha]],"mmmm")</f>
        <v>febrero</v>
      </c>
      <c r="D1225" t="str">
        <f>TEXT(Tabla24[[#This Row],[Fecha]],"aaaa")</f>
        <v>2024</v>
      </c>
      <c r="E1225" t="s">
        <v>11</v>
      </c>
      <c r="F1225" t="s">
        <v>38</v>
      </c>
      <c r="G1225" t="s">
        <v>48</v>
      </c>
      <c r="H1225" t="s">
        <v>19</v>
      </c>
      <c r="I1225" t="s">
        <v>15</v>
      </c>
      <c r="J1225">
        <v>2</v>
      </c>
      <c r="K1225">
        <v>49293</v>
      </c>
      <c r="L1225">
        <f>Tabla24[[#This Row],[Precio_Unitario]]*Tabla24[[#This Row],[Unidades_Vendidas]]</f>
        <v>98586</v>
      </c>
      <c r="M1225" t="s">
        <v>16</v>
      </c>
    </row>
    <row r="1226" spans="1:13" x14ac:dyDescent="0.25">
      <c r="A1226" t="s">
        <v>131</v>
      </c>
      <c r="B1226" t="str">
        <f>TEXT(Tabla24[[#This Row],[Fecha]],"dddd")</f>
        <v>lunes</v>
      </c>
      <c r="C1226" t="str">
        <f>TEXT(Tabla24[[#This Row],[Fecha]],"mmmm")</f>
        <v>octubre</v>
      </c>
      <c r="D1226" t="str">
        <f>TEXT(Tabla24[[#This Row],[Fecha]],"aaaa")</f>
        <v>2024</v>
      </c>
      <c r="E1226" t="s">
        <v>33</v>
      </c>
      <c r="F1226" t="s">
        <v>34</v>
      </c>
      <c r="G1226" t="s">
        <v>24</v>
      </c>
      <c r="H1226" t="s">
        <v>25</v>
      </c>
      <c r="I1226" t="s">
        <v>40</v>
      </c>
      <c r="J1226">
        <v>12</v>
      </c>
      <c r="K1226">
        <v>45059</v>
      </c>
      <c r="L1226">
        <f>Tabla24[[#This Row],[Precio_Unitario]]*Tabla24[[#This Row],[Unidades_Vendidas]]</f>
        <v>540708</v>
      </c>
      <c r="M1226" t="s">
        <v>16</v>
      </c>
    </row>
    <row r="1227" spans="1:13" x14ac:dyDescent="0.25">
      <c r="A1227" t="s">
        <v>134</v>
      </c>
      <c r="B1227" t="str">
        <f>TEXT(Tabla24[[#This Row],[Fecha]],"dddd")</f>
        <v>jueves</v>
      </c>
      <c r="C1227" t="str">
        <f>TEXT(Tabla24[[#This Row],[Fecha]],"mmmm")</f>
        <v>octubre</v>
      </c>
      <c r="D1227" t="str">
        <f>TEXT(Tabla24[[#This Row],[Fecha]],"aaaa")</f>
        <v>2024</v>
      </c>
      <c r="E1227" t="s">
        <v>42</v>
      </c>
      <c r="F1227" t="s">
        <v>23</v>
      </c>
      <c r="G1227" t="s">
        <v>44</v>
      </c>
      <c r="H1227" t="s">
        <v>14</v>
      </c>
      <c r="I1227" t="s">
        <v>40</v>
      </c>
      <c r="J1227">
        <v>15</v>
      </c>
      <c r="K1227">
        <v>46341</v>
      </c>
      <c r="L1227">
        <f>Tabla24[[#This Row],[Precio_Unitario]]*Tabla24[[#This Row],[Unidades_Vendidas]]</f>
        <v>695115</v>
      </c>
      <c r="M1227" t="s">
        <v>20</v>
      </c>
    </row>
    <row r="1228" spans="1:13" x14ac:dyDescent="0.25">
      <c r="A1228" t="s">
        <v>144</v>
      </c>
      <c r="B1228" t="str">
        <f>TEXT(Tabla24[[#This Row],[Fecha]],"dddd")</f>
        <v>sábado</v>
      </c>
      <c r="C1228" t="str">
        <f>TEXT(Tabla24[[#This Row],[Fecha]],"mmmm")</f>
        <v>abril</v>
      </c>
      <c r="D1228" t="str">
        <f>TEXT(Tabla24[[#This Row],[Fecha]],"aaaa")</f>
        <v>2024</v>
      </c>
      <c r="E1228" t="s">
        <v>18</v>
      </c>
      <c r="F1228" t="s">
        <v>23</v>
      </c>
      <c r="G1228" t="s">
        <v>44</v>
      </c>
      <c r="H1228" t="s">
        <v>25</v>
      </c>
      <c r="I1228" t="s">
        <v>26</v>
      </c>
      <c r="J1228">
        <v>6</v>
      </c>
      <c r="K1228">
        <v>49221</v>
      </c>
      <c r="L1228">
        <f>Tabla24[[#This Row],[Precio_Unitario]]*Tabla24[[#This Row],[Unidades_Vendidas]]</f>
        <v>295326</v>
      </c>
      <c r="M1228" t="s">
        <v>16</v>
      </c>
    </row>
    <row r="1229" spans="1:13" x14ac:dyDescent="0.25">
      <c r="A1229" t="s">
        <v>124</v>
      </c>
      <c r="B1229" t="str">
        <f>TEXT(Tabla24[[#This Row],[Fecha]],"dddd")</f>
        <v>sábado</v>
      </c>
      <c r="C1229" t="str">
        <f>TEXT(Tabla24[[#This Row],[Fecha]],"mmmm")</f>
        <v>junio</v>
      </c>
      <c r="D1229" t="str">
        <f>TEXT(Tabla24[[#This Row],[Fecha]],"aaaa")</f>
        <v>2024</v>
      </c>
      <c r="E1229" t="s">
        <v>22</v>
      </c>
      <c r="F1229" t="s">
        <v>23</v>
      </c>
      <c r="G1229" t="s">
        <v>48</v>
      </c>
      <c r="H1229" t="s">
        <v>14</v>
      </c>
      <c r="I1229" t="s">
        <v>15</v>
      </c>
      <c r="J1229">
        <v>19</v>
      </c>
      <c r="K1229">
        <v>20543</v>
      </c>
      <c r="L1229">
        <f>Tabla24[[#This Row],[Precio_Unitario]]*Tabla24[[#This Row],[Unidades_Vendidas]]</f>
        <v>390317</v>
      </c>
      <c r="M1229" t="s">
        <v>27</v>
      </c>
    </row>
    <row r="1230" spans="1:13" x14ac:dyDescent="0.25">
      <c r="A1230" t="s">
        <v>359</v>
      </c>
      <c r="B1230" t="str">
        <f>TEXT(Tabla24[[#This Row],[Fecha]],"dddd")</f>
        <v>domingo</v>
      </c>
      <c r="C1230" t="str">
        <f>TEXT(Tabla24[[#This Row],[Fecha]],"mmmm")</f>
        <v>marzo</v>
      </c>
      <c r="D1230" t="str">
        <f>TEXT(Tabla24[[#This Row],[Fecha]],"aaaa")</f>
        <v>2024</v>
      </c>
      <c r="E1230" t="s">
        <v>11</v>
      </c>
      <c r="F1230" t="s">
        <v>12</v>
      </c>
      <c r="G1230" t="s">
        <v>39</v>
      </c>
      <c r="H1230" t="s">
        <v>14</v>
      </c>
      <c r="I1230" t="s">
        <v>26</v>
      </c>
      <c r="J1230">
        <v>12</v>
      </c>
      <c r="K1230">
        <v>28972</v>
      </c>
      <c r="L1230">
        <f>Tabla24[[#This Row],[Precio_Unitario]]*Tabla24[[#This Row],[Unidades_Vendidas]]</f>
        <v>347664</v>
      </c>
      <c r="M1230" t="s">
        <v>20</v>
      </c>
    </row>
    <row r="1231" spans="1:13" x14ac:dyDescent="0.25">
      <c r="A1231" t="s">
        <v>69</v>
      </c>
      <c r="B1231" t="str">
        <f>TEXT(Tabla24[[#This Row],[Fecha]],"dddd")</f>
        <v>lunes</v>
      </c>
      <c r="C1231" t="str">
        <f>TEXT(Tabla24[[#This Row],[Fecha]],"mmmm")</f>
        <v>abril</v>
      </c>
      <c r="D1231" t="str">
        <f>TEXT(Tabla24[[#This Row],[Fecha]],"aaaa")</f>
        <v>2024</v>
      </c>
      <c r="E1231" t="s">
        <v>11</v>
      </c>
      <c r="F1231" t="s">
        <v>29</v>
      </c>
      <c r="G1231" t="s">
        <v>39</v>
      </c>
      <c r="H1231" t="s">
        <v>25</v>
      </c>
      <c r="I1231" t="s">
        <v>26</v>
      </c>
      <c r="J1231">
        <v>18</v>
      </c>
      <c r="K1231">
        <v>18170</v>
      </c>
      <c r="L1231">
        <f>Tabla24[[#This Row],[Precio_Unitario]]*Tabla24[[#This Row],[Unidades_Vendidas]]</f>
        <v>327060</v>
      </c>
      <c r="M1231" t="s">
        <v>16</v>
      </c>
    </row>
    <row r="1232" spans="1:13" x14ac:dyDescent="0.25">
      <c r="A1232" t="s">
        <v>266</v>
      </c>
      <c r="B1232" t="str">
        <f>TEXT(Tabla24[[#This Row],[Fecha]],"dddd")</f>
        <v>miércoles</v>
      </c>
      <c r="C1232" t="str">
        <f>TEXT(Tabla24[[#This Row],[Fecha]],"mmmm")</f>
        <v>octubre</v>
      </c>
      <c r="D1232" t="str">
        <f>TEXT(Tabla24[[#This Row],[Fecha]],"aaaa")</f>
        <v>2024</v>
      </c>
      <c r="E1232" t="s">
        <v>33</v>
      </c>
      <c r="F1232" t="s">
        <v>23</v>
      </c>
      <c r="G1232" t="s">
        <v>39</v>
      </c>
      <c r="H1232" t="s">
        <v>25</v>
      </c>
      <c r="I1232" t="s">
        <v>15</v>
      </c>
      <c r="J1232">
        <v>12</v>
      </c>
      <c r="K1232">
        <v>50669</v>
      </c>
      <c r="L1232">
        <f>Tabla24[[#This Row],[Precio_Unitario]]*Tabla24[[#This Row],[Unidades_Vendidas]]</f>
        <v>608028</v>
      </c>
      <c r="M1232" t="s">
        <v>20</v>
      </c>
    </row>
    <row r="1233" spans="1:13" x14ac:dyDescent="0.25">
      <c r="A1233" t="s">
        <v>167</v>
      </c>
      <c r="B1233" t="str">
        <f>TEXT(Tabla24[[#This Row],[Fecha]],"dddd")</f>
        <v>domingo</v>
      </c>
      <c r="C1233" t="str">
        <f>TEXT(Tabla24[[#This Row],[Fecha]],"mmmm")</f>
        <v>agosto</v>
      </c>
      <c r="D1233" t="str">
        <f>TEXT(Tabla24[[#This Row],[Fecha]],"aaaa")</f>
        <v>2024</v>
      </c>
      <c r="E1233" t="s">
        <v>33</v>
      </c>
      <c r="F1233" t="s">
        <v>12</v>
      </c>
      <c r="G1233" t="s">
        <v>39</v>
      </c>
      <c r="H1233" t="s">
        <v>35</v>
      </c>
      <c r="I1233" t="s">
        <v>26</v>
      </c>
      <c r="J1233">
        <v>14</v>
      </c>
      <c r="K1233">
        <v>26802</v>
      </c>
      <c r="L1233">
        <f>Tabla24[[#This Row],[Precio_Unitario]]*Tabla24[[#This Row],[Unidades_Vendidas]]</f>
        <v>375228</v>
      </c>
      <c r="M1233" t="s">
        <v>36</v>
      </c>
    </row>
    <row r="1234" spans="1:13" x14ac:dyDescent="0.25">
      <c r="A1234" t="s">
        <v>391</v>
      </c>
      <c r="B1234" t="str">
        <f>TEXT(Tabla24[[#This Row],[Fecha]],"dddd")</f>
        <v>jueves</v>
      </c>
      <c r="C1234" t="str">
        <f>TEXT(Tabla24[[#This Row],[Fecha]],"mmmm")</f>
        <v>mayo</v>
      </c>
      <c r="D1234" t="str">
        <f>TEXT(Tabla24[[#This Row],[Fecha]],"aaaa")</f>
        <v>2024</v>
      </c>
      <c r="E1234" t="s">
        <v>22</v>
      </c>
      <c r="F1234" t="s">
        <v>34</v>
      </c>
      <c r="G1234" t="s">
        <v>13</v>
      </c>
      <c r="H1234" t="s">
        <v>25</v>
      </c>
      <c r="I1234" t="s">
        <v>40</v>
      </c>
      <c r="J1234">
        <v>4</v>
      </c>
      <c r="K1234">
        <v>48292</v>
      </c>
      <c r="L1234">
        <f>Tabla24[[#This Row],[Precio_Unitario]]*Tabla24[[#This Row],[Unidades_Vendidas]]</f>
        <v>193168</v>
      </c>
      <c r="M1234" t="s">
        <v>27</v>
      </c>
    </row>
    <row r="1235" spans="1:13" x14ac:dyDescent="0.25">
      <c r="A1235" t="s">
        <v>323</v>
      </c>
      <c r="B1235" t="str">
        <f>TEXT(Tabla24[[#This Row],[Fecha]],"dddd")</f>
        <v>domingo</v>
      </c>
      <c r="C1235" t="str">
        <f>TEXT(Tabla24[[#This Row],[Fecha]],"mmmm")</f>
        <v>julio</v>
      </c>
      <c r="D1235" t="str">
        <f>TEXT(Tabla24[[#This Row],[Fecha]],"aaaa")</f>
        <v>2024</v>
      </c>
      <c r="E1235" t="s">
        <v>18</v>
      </c>
      <c r="F1235" t="s">
        <v>23</v>
      </c>
      <c r="G1235" t="s">
        <v>13</v>
      </c>
      <c r="H1235" t="s">
        <v>14</v>
      </c>
      <c r="I1235" t="s">
        <v>40</v>
      </c>
      <c r="J1235">
        <v>17</v>
      </c>
      <c r="K1235">
        <v>40426</v>
      </c>
      <c r="L1235">
        <f>Tabla24[[#This Row],[Precio_Unitario]]*Tabla24[[#This Row],[Unidades_Vendidas]]</f>
        <v>687242</v>
      </c>
      <c r="M1235" t="s">
        <v>20</v>
      </c>
    </row>
    <row r="1236" spans="1:13" x14ac:dyDescent="0.25">
      <c r="A1236" t="s">
        <v>146</v>
      </c>
      <c r="B1236" t="str">
        <f>TEXT(Tabla24[[#This Row],[Fecha]],"dddd")</f>
        <v>sábado</v>
      </c>
      <c r="C1236" t="str">
        <f>TEXT(Tabla24[[#This Row],[Fecha]],"mmmm")</f>
        <v>octubre</v>
      </c>
      <c r="D1236" t="str">
        <f>TEXT(Tabla24[[#This Row],[Fecha]],"aaaa")</f>
        <v>2024</v>
      </c>
      <c r="E1236" t="s">
        <v>11</v>
      </c>
      <c r="F1236" t="s">
        <v>23</v>
      </c>
      <c r="G1236" t="s">
        <v>44</v>
      </c>
      <c r="H1236" t="s">
        <v>35</v>
      </c>
      <c r="I1236" t="s">
        <v>40</v>
      </c>
      <c r="J1236">
        <v>3</v>
      </c>
      <c r="K1236">
        <v>48756</v>
      </c>
      <c r="L1236">
        <f>Tabla24[[#This Row],[Precio_Unitario]]*Tabla24[[#This Row],[Unidades_Vendidas]]</f>
        <v>146268</v>
      </c>
      <c r="M1236" t="s">
        <v>36</v>
      </c>
    </row>
    <row r="1237" spans="1:13" x14ac:dyDescent="0.25">
      <c r="A1237" t="s">
        <v>73</v>
      </c>
      <c r="B1237" t="str">
        <f>TEXT(Tabla24[[#This Row],[Fecha]],"dddd")</f>
        <v>jueves</v>
      </c>
      <c r="C1237" t="str">
        <f>TEXT(Tabla24[[#This Row],[Fecha]],"mmmm")</f>
        <v>febrero</v>
      </c>
      <c r="D1237" t="str">
        <f>TEXT(Tabla24[[#This Row],[Fecha]],"aaaa")</f>
        <v>2024</v>
      </c>
      <c r="E1237" t="s">
        <v>42</v>
      </c>
      <c r="F1237" t="s">
        <v>23</v>
      </c>
      <c r="G1237" t="s">
        <v>24</v>
      </c>
      <c r="H1237" t="s">
        <v>30</v>
      </c>
      <c r="I1237" t="s">
        <v>15</v>
      </c>
      <c r="J1237">
        <v>7</v>
      </c>
      <c r="K1237">
        <v>21243</v>
      </c>
      <c r="L1237">
        <f>Tabla24[[#This Row],[Precio_Unitario]]*Tabla24[[#This Row],[Unidades_Vendidas]]</f>
        <v>148701</v>
      </c>
      <c r="M1237" t="s">
        <v>20</v>
      </c>
    </row>
    <row r="1238" spans="1:13" x14ac:dyDescent="0.25">
      <c r="A1238" t="s">
        <v>138</v>
      </c>
      <c r="B1238" t="str">
        <f>TEXT(Tabla24[[#This Row],[Fecha]],"dddd")</f>
        <v>domingo</v>
      </c>
      <c r="C1238" t="str">
        <f>TEXT(Tabla24[[#This Row],[Fecha]],"mmmm")</f>
        <v>noviembre</v>
      </c>
      <c r="D1238" t="str">
        <f>TEXT(Tabla24[[#This Row],[Fecha]],"aaaa")</f>
        <v>2024</v>
      </c>
      <c r="E1238" t="s">
        <v>33</v>
      </c>
      <c r="F1238" t="s">
        <v>12</v>
      </c>
      <c r="G1238" t="s">
        <v>13</v>
      </c>
      <c r="H1238" t="s">
        <v>14</v>
      </c>
      <c r="I1238" t="s">
        <v>40</v>
      </c>
      <c r="J1238">
        <v>12</v>
      </c>
      <c r="K1238">
        <v>50783</v>
      </c>
      <c r="L1238">
        <f>Tabla24[[#This Row],[Precio_Unitario]]*Tabla24[[#This Row],[Unidades_Vendidas]]</f>
        <v>609396</v>
      </c>
      <c r="M1238" t="s">
        <v>16</v>
      </c>
    </row>
    <row r="1239" spans="1:13" x14ac:dyDescent="0.25">
      <c r="A1239" t="s">
        <v>365</v>
      </c>
      <c r="B1239" t="str">
        <f>TEXT(Tabla24[[#This Row],[Fecha]],"dddd")</f>
        <v>viernes</v>
      </c>
      <c r="C1239" t="str">
        <f>TEXT(Tabla24[[#This Row],[Fecha]],"mmmm")</f>
        <v>agosto</v>
      </c>
      <c r="D1239" t="str">
        <f>TEXT(Tabla24[[#This Row],[Fecha]],"aaaa")</f>
        <v>2024</v>
      </c>
      <c r="E1239" t="s">
        <v>11</v>
      </c>
      <c r="F1239" t="s">
        <v>34</v>
      </c>
      <c r="G1239" t="s">
        <v>24</v>
      </c>
      <c r="H1239" t="s">
        <v>25</v>
      </c>
      <c r="I1239" t="s">
        <v>26</v>
      </c>
      <c r="J1239">
        <v>10</v>
      </c>
      <c r="K1239">
        <v>55322</v>
      </c>
      <c r="L1239">
        <f>Tabla24[[#This Row],[Precio_Unitario]]*Tabla24[[#This Row],[Unidades_Vendidas]]</f>
        <v>553220</v>
      </c>
      <c r="M1239" t="s">
        <v>16</v>
      </c>
    </row>
    <row r="1240" spans="1:13" x14ac:dyDescent="0.25">
      <c r="A1240" t="s">
        <v>214</v>
      </c>
      <c r="B1240" t="str">
        <f>TEXT(Tabla24[[#This Row],[Fecha]],"dddd")</f>
        <v>lunes</v>
      </c>
      <c r="C1240" t="str">
        <f>TEXT(Tabla24[[#This Row],[Fecha]],"mmmm")</f>
        <v>noviembre</v>
      </c>
      <c r="D1240" t="str">
        <f>TEXT(Tabla24[[#This Row],[Fecha]],"aaaa")</f>
        <v>2024</v>
      </c>
      <c r="E1240" t="s">
        <v>42</v>
      </c>
      <c r="F1240" t="s">
        <v>38</v>
      </c>
      <c r="G1240" t="s">
        <v>39</v>
      </c>
      <c r="H1240" t="s">
        <v>25</v>
      </c>
      <c r="I1240" t="s">
        <v>15</v>
      </c>
      <c r="J1240">
        <v>17</v>
      </c>
      <c r="K1240">
        <v>37040</v>
      </c>
      <c r="L1240">
        <f>Tabla24[[#This Row],[Precio_Unitario]]*Tabla24[[#This Row],[Unidades_Vendidas]]</f>
        <v>629680</v>
      </c>
      <c r="M1240" t="s">
        <v>27</v>
      </c>
    </row>
    <row r="1241" spans="1:13" x14ac:dyDescent="0.25">
      <c r="A1241" t="s">
        <v>163</v>
      </c>
      <c r="B1241" t="str">
        <f>TEXT(Tabla24[[#This Row],[Fecha]],"dddd")</f>
        <v>miércoles</v>
      </c>
      <c r="C1241" t="str">
        <f>TEXT(Tabla24[[#This Row],[Fecha]],"mmmm")</f>
        <v>octubre</v>
      </c>
      <c r="D1241" t="str">
        <f>TEXT(Tabla24[[#This Row],[Fecha]],"aaaa")</f>
        <v>2024</v>
      </c>
      <c r="E1241" t="s">
        <v>42</v>
      </c>
      <c r="F1241" t="s">
        <v>38</v>
      </c>
      <c r="G1241" t="s">
        <v>13</v>
      </c>
      <c r="H1241" t="s">
        <v>14</v>
      </c>
      <c r="I1241" t="s">
        <v>15</v>
      </c>
      <c r="J1241">
        <v>11</v>
      </c>
      <c r="K1241">
        <v>26835</v>
      </c>
      <c r="L1241">
        <f>Tabla24[[#This Row],[Precio_Unitario]]*Tabla24[[#This Row],[Unidades_Vendidas]]</f>
        <v>295185</v>
      </c>
      <c r="M1241" t="s">
        <v>20</v>
      </c>
    </row>
    <row r="1242" spans="1:13" x14ac:dyDescent="0.25">
      <c r="A1242" t="s">
        <v>287</v>
      </c>
      <c r="B1242" t="str">
        <f>TEXT(Tabla24[[#This Row],[Fecha]],"dddd")</f>
        <v>miércoles</v>
      </c>
      <c r="C1242" t="str">
        <f>TEXT(Tabla24[[#This Row],[Fecha]],"mmmm")</f>
        <v>febrero</v>
      </c>
      <c r="D1242" t="str">
        <f>TEXT(Tabla24[[#This Row],[Fecha]],"aaaa")</f>
        <v>2024</v>
      </c>
      <c r="E1242" t="s">
        <v>18</v>
      </c>
      <c r="F1242" t="s">
        <v>23</v>
      </c>
      <c r="G1242" t="s">
        <v>24</v>
      </c>
      <c r="H1242" t="s">
        <v>35</v>
      </c>
      <c r="I1242" t="s">
        <v>26</v>
      </c>
      <c r="J1242">
        <v>10</v>
      </c>
      <c r="K1242">
        <v>42460</v>
      </c>
      <c r="L1242">
        <f>Tabla24[[#This Row],[Precio_Unitario]]*Tabla24[[#This Row],[Unidades_Vendidas]]</f>
        <v>424600</v>
      </c>
      <c r="M1242" t="s">
        <v>36</v>
      </c>
    </row>
    <row r="1243" spans="1:13" x14ac:dyDescent="0.25">
      <c r="A1243" t="s">
        <v>221</v>
      </c>
      <c r="B1243" t="str">
        <f>TEXT(Tabla24[[#This Row],[Fecha]],"dddd")</f>
        <v>viernes</v>
      </c>
      <c r="C1243" t="str">
        <f>TEXT(Tabla24[[#This Row],[Fecha]],"mmmm")</f>
        <v>noviembre</v>
      </c>
      <c r="D1243" t="str">
        <f>TEXT(Tabla24[[#This Row],[Fecha]],"aaaa")</f>
        <v>2024</v>
      </c>
      <c r="E1243" t="s">
        <v>42</v>
      </c>
      <c r="F1243" t="s">
        <v>29</v>
      </c>
      <c r="G1243" t="s">
        <v>24</v>
      </c>
      <c r="H1243" t="s">
        <v>19</v>
      </c>
      <c r="I1243" t="s">
        <v>15</v>
      </c>
      <c r="J1243">
        <v>15</v>
      </c>
      <c r="K1243">
        <v>56675</v>
      </c>
      <c r="L1243">
        <f>Tabla24[[#This Row],[Precio_Unitario]]*Tabla24[[#This Row],[Unidades_Vendidas]]</f>
        <v>850125</v>
      </c>
      <c r="M1243" t="s">
        <v>36</v>
      </c>
    </row>
    <row r="1244" spans="1:13" x14ac:dyDescent="0.25">
      <c r="A1244" t="s">
        <v>269</v>
      </c>
      <c r="B1244" t="str">
        <f>TEXT(Tabla24[[#This Row],[Fecha]],"dddd")</f>
        <v>martes</v>
      </c>
      <c r="C1244" t="str">
        <f>TEXT(Tabla24[[#This Row],[Fecha]],"mmmm")</f>
        <v>marzo</v>
      </c>
      <c r="D1244" t="str">
        <f>TEXT(Tabla24[[#This Row],[Fecha]],"aaaa")</f>
        <v>2024</v>
      </c>
      <c r="E1244" t="s">
        <v>11</v>
      </c>
      <c r="F1244" t="s">
        <v>23</v>
      </c>
      <c r="G1244" t="s">
        <v>24</v>
      </c>
      <c r="H1244" t="s">
        <v>30</v>
      </c>
      <c r="I1244" t="s">
        <v>26</v>
      </c>
      <c r="J1244">
        <v>20</v>
      </c>
      <c r="K1244">
        <v>26815</v>
      </c>
      <c r="L1244">
        <f>Tabla24[[#This Row],[Precio_Unitario]]*Tabla24[[#This Row],[Unidades_Vendidas]]</f>
        <v>536300</v>
      </c>
      <c r="M1244" t="s">
        <v>27</v>
      </c>
    </row>
    <row r="1245" spans="1:13" x14ac:dyDescent="0.25">
      <c r="A1245" t="s">
        <v>62</v>
      </c>
      <c r="B1245" t="str">
        <f>TEXT(Tabla24[[#This Row],[Fecha]],"dddd")</f>
        <v>sábado</v>
      </c>
      <c r="C1245" t="str">
        <f>TEXT(Tabla24[[#This Row],[Fecha]],"mmmm")</f>
        <v>mayo</v>
      </c>
      <c r="D1245" t="str">
        <f>TEXT(Tabla24[[#This Row],[Fecha]],"aaaa")</f>
        <v>2024</v>
      </c>
      <c r="E1245" t="s">
        <v>22</v>
      </c>
      <c r="F1245" t="s">
        <v>34</v>
      </c>
      <c r="G1245" t="s">
        <v>24</v>
      </c>
      <c r="H1245" t="s">
        <v>14</v>
      </c>
      <c r="I1245" t="s">
        <v>15</v>
      </c>
      <c r="J1245">
        <v>14</v>
      </c>
      <c r="K1245">
        <v>39952</v>
      </c>
      <c r="L1245">
        <f>Tabla24[[#This Row],[Precio_Unitario]]*Tabla24[[#This Row],[Unidades_Vendidas]]</f>
        <v>559328</v>
      </c>
      <c r="M1245" t="s">
        <v>20</v>
      </c>
    </row>
    <row r="1246" spans="1:13" x14ac:dyDescent="0.25">
      <c r="A1246" t="s">
        <v>255</v>
      </c>
      <c r="B1246" t="str">
        <f>TEXT(Tabla24[[#This Row],[Fecha]],"dddd")</f>
        <v>domingo</v>
      </c>
      <c r="C1246" t="str">
        <f>TEXT(Tabla24[[#This Row],[Fecha]],"mmmm")</f>
        <v>enero</v>
      </c>
      <c r="D1246" t="str">
        <f>TEXT(Tabla24[[#This Row],[Fecha]],"aaaa")</f>
        <v>2024</v>
      </c>
      <c r="E1246" t="s">
        <v>22</v>
      </c>
      <c r="F1246" t="s">
        <v>34</v>
      </c>
      <c r="G1246" t="s">
        <v>48</v>
      </c>
      <c r="H1246" t="s">
        <v>25</v>
      </c>
      <c r="I1246" t="s">
        <v>40</v>
      </c>
      <c r="J1246">
        <v>6</v>
      </c>
      <c r="K1246">
        <v>16063</v>
      </c>
      <c r="L1246">
        <f>Tabla24[[#This Row],[Precio_Unitario]]*Tabla24[[#This Row],[Unidades_Vendidas]]</f>
        <v>96378</v>
      </c>
      <c r="M1246" t="s">
        <v>27</v>
      </c>
    </row>
    <row r="1247" spans="1:13" x14ac:dyDescent="0.25">
      <c r="A1247" t="s">
        <v>367</v>
      </c>
      <c r="B1247" t="str">
        <f>TEXT(Tabla24[[#This Row],[Fecha]],"dddd")</f>
        <v>sábado</v>
      </c>
      <c r="C1247" t="str">
        <f>TEXT(Tabla24[[#This Row],[Fecha]],"mmmm")</f>
        <v>abril</v>
      </c>
      <c r="D1247" t="str">
        <f>TEXT(Tabla24[[#This Row],[Fecha]],"aaaa")</f>
        <v>2024</v>
      </c>
      <c r="E1247" t="s">
        <v>33</v>
      </c>
      <c r="F1247" t="s">
        <v>23</v>
      </c>
      <c r="G1247" t="s">
        <v>24</v>
      </c>
      <c r="H1247" t="s">
        <v>35</v>
      </c>
      <c r="I1247" t="s">
        <v>40</v>
      </c>
      <c r="J1247">
        <v>17</v>
      </c>
      <c r="K1247">
        <v>15158</v>
      </c>
      <c r="L1247">
        <f>Tabla24[[#This Row],[Precio_Unitario]]*Tabla24[[#This Row],[Unidades_Vendidas]]</f>
        <v>257686</v>
      </c>
      <c r="M1247" t="s">
        <v>16</v>
      </c>
    </row>
    <row r="1248" spans="1:13" x14ac:dyDescent="0.25">
      <c r="A1248" t="s">
        <v>196</v>
      </c>
      <c r="B1248" t="str">
        <f>TEXT(Tabla24[[#This Row],[Fecha]],"dddd")</f>
        <v>lunes</v>
      </c>
      <c r="C1248" t="str">
        <f>TEXT(Tabla24[[#This Row],[Fecha]],"mmmm")</f>
        <v>junio</v>
      </c>
      <c r="D1248" t="str">
        <f>TEXT(Tabla24[[#This Row],[Fecha]],"aaaa")</f>
        <v>2024</v>
      </c>
      <c r="E1248" t="s">
        <v>42</v>
      </c>
      <c r="F1248" t="s">
        <v>29</v>
      </c>
      <c r="G1248" t="s">
        <v>13</v>
      </c>
      <c r="H1248" t="s">
        <v>25</v>
      </c>
      <c r="I1248" t="s">
        <v>15</v>
      </c>
      <c r="J1248">
        <v>3</v>
      </c>
      <c r="K1248">
        <v>41877</v>
      </c>
      <c r="L1248">
        <f>Tabla24[[#This Row],[Precio_Unitario]]*Tabla24[[#This Row],[Unidades_Vendidas]]</f>
        <v>125631</v>
      </c>
      <c r="M1248" t="s">
        <v>20</v>
      </c>
    </row>
    <row r="1249" spans="1:13" x14ac:dyDescent="0.25">
      <c r="A1249" t="s">
        <v>230</v>
      </c>
      <c r="B1249" t="str">
        <f>TEXT(Tabla24[[#This Row],[Fecha]],"dddd")</f>
        <v>lunes</v>
      </c>
      <c r="C1249" t="str">
        <f>TEXT(Tabla24[[#This Row],[Fecha]],"mmmm")</f>
        <v>marzo</v>
      </c>
      <c r="D1249" t="str">
        <f>TEXT(Tabla24[[#This Row],[Fecha]],"aaaa")</f>
        <v>2024</v>
      </c>
      <c r="E1249" t="s">
        <v>33</v>
      </c>
      <c r="F1249" t="s">
        <v>12</v>
      </c>
      <c r="G1249" t="s">
        <v>48</v>
      </c>
      <c r="H1249" t="s">
        <v>14</v>
      </c>
      <c r="I1249" t="s">
        <v>40</v>
      </c>
      <c r="J1249">
        <v>13</v>
      </c>
      <c r="K1249">
        <v>57167</v>
      </c>
      <c r="L1249">
        <f>Tabla24[[#This Row],[Precio_Unitario]]*Tabla24[[#This Row],[Unidades_Vendidas]]</f>
        <v>743171</v>
      </c>
      <c r="M1249" t="s">
        <v>27</v>
      </c>
    </row>
    <row r="1250" spans="1:13" x14ac:dyDescent="0.25">
      <c r="A1250" t="s">
        <v>329</v>
      </c>
      <c r="B1250" t="str">
        <f>TEXT(Tabla24[[#This Row],[Fecha]],"dddd")</f>
        <v>sábado</v>
      </c>
      <c r="C1250" t="str">
        <f>TEXT(Tabla24[[#This Row],[Fecha]],"mmmm")</f>
        <v>agosto</v>
      </c>
      <c r="D1250" t="str">
        <f>TEXT(Tabla24[[#This Row],[Fecha]],"aaaa")</f>
        <v>2024</v>
      </c>
      <c r="E1250" t="s">
        <v>18</v>
      </c>
      <c r="F1250" t="s">
        <v>29</v>
      </c>
      <c r="G1250" t="s">
        <v>13</v>
      </c>
      <c r="H1250" t="s">
        <v>25</v>
      </c>
      <c r="I1250" t="s">
        <v>15</v>
      </c>
      <c r="J1250">
        <v>20</v>
      </c>
      <c r="K1250">
        <v>26995</v>
      </c>
      <c r="L1250">
        <f>Tabla24[[#This Row],[Precio_Unitario]]*Tabla24[[#This Row],[Unidades_Vendidas]]</f>
        <v>539900</v>
      </c>
      <c r="M1250" t="s">
        <v>27</v>
      </c>
    </row>
    <row r="1251" spans="1:13" x14ac:dyDescent="0.25">
      <c r="A1251" t="s">
        <v>265</v>
      </c>
      <c r="B1251" t="str">
        <f>TEXT(Tabla24[[#This Row],[Fecha]],"dddd")</f>
        <v>martes</v>
      </c>
      <c r="C1251" t="str">
        <f>TEXT(Tabla24[[#This Row],[Fecha]],"mmmm")</f>
        <v>agosto</v>
      </c>
      <c r="D1251" t="str">
        <f>TEXT(Tabla24[[#This Row],[Fecha]],"aaaa")</f>
        <v>2024</v>
      </c>
      <c r="E1251" t="s">
        <v>11</v>
      </c>
      <c r="F1251" t="s">
        <v>12</v>
      </c>
      <c r="G1251" t="s">
        <v>39</v>
      </c>
      <c r="H1251" t="s">
        <v>30</v>
      </c>
      <c r="I1251" t="s">
        <v>26</v>
      </c>
      <c r="J1251">
        <v>17</v>
      </c>
      <c r="K1251">
        <v>42017</v>
      </c>
      <c r="L1251">
        <f>Tabla24[[#This Row],[Precio_Unitario]]*Tabla24[[#This Row],[Unidades_Vendidas]]</f>
        <v>714289</v>
      </c>
      <c r="M1251" t="s">
        <v>20</v>
      </c>
    </row>
    <row r="1252" spans="1:13" x14ac:dyDescent="0.25">
      <c r="A1252" t="s">
        <v>316</v>
      </c>
      <c r="B1252" t="str">
        <f>TEXT(Tabla24[[#This Row],[Fecha]],"dddd")</f>
        <v>sábado</v>
      </c>
      <c r="C1252" t="str">
        <f>TEXT(Tabla24[[#This Row],[Fecha]],"mmmm")</f>
        <v>febrero</v>
      </c>
      <c r="D1252" t="str">
        <f>TEXT(Tabla24[[#This Row],[Fecha]],"aaaa")</f>
        <v>2024</v>
      </c>
      <c r="E1252" t="s">
        <v>33</v>
      </c>
      <c r="F1252" t="s">
        <v>12</v>
      </c>
      <c r="G1252" t="s">
        <v>24</v>
      </c>
      <c r="H1252" t="s">
        <v>25</v>
      </c>
      <c r="I1252" t="s">
        <v>40</v>
      </c>
      <c r="J1252">
        <v>18</v>
      </c>
      <c r="K1252">
        <v>26027</v>
      </c>
      <c r="L1252">
        <f>Tabla24[[#This Row],[Precio_Unitario]]*Tabla24[[#This Row],[Unidades_Vendidas]]</f>
        <v>468486</v>
      </c>
      <c r="M1252" t="s">
        <v>27</v>
      </c>
    </row>
    <row r="1253" spans="1:13" x14ac:dyDescent="0.25">
      <c r="A1253" t="s">
        <v>347</v>
      </c>
      <c r="B1253" t="str">
        <f>TEXT(Tabla24[[#This Row],[Fecha]],"dddd")</f>
        <v>viernes</v>
      </c>
      <c r="C1253" t="str">
        <f>TEXT(Tabla24[[#This Row],[Fecha]],"mmmm")</f>
        <v>julio</v>
      </c>
      <c r="D1253" t="str">
        <f>TEXT(Tabla24[[#This Row],[Fecha]],"aaaa")</f>
        <v>2024</v>
      </c>
      <c r="E1253" t="s">
        <v>22</v>
      </c>
      <c r="F1253" t="s">
        <v>29</v>
      </c>
      <c r="G1253" t="s">
        <v>48</v>
      </c>
      <c r="H1253" t="s">
        <v>19</v>
      </c>
      <c r="I1253" t="s">
        <v>40</v>
      </c>
      <c r="J1253">
        <v>12</v>
      </c>
      <c r="K1253">
        <v>54941</v>
      </c>
      <c r="L1253">
        <f>Tabla24[[#This Row],[Precio_Unitario]]*Tabla24[[#This Row],[Unidades_Vendidas]]</f>
        <v>659292</v>
      </c>
      <c r="M1253" t="s">
        <v>27</v>
      </c>
    </row>
    <row r="1254" spans="1:13" x14ac:dyDescent="0.25">
      <c r="A1254" t="s">
        <v>54</v>
      </c>
      <c r="B1254" t="str">
        <f>TEXT(Tabla24[[#This Row],[Fecha]],"dddd")</f>
        <v>sábado</v>
      </c>
      <c r="C1254" t="str">
        <f>TEXT(Tabla24[[#This Row],[Fecha]],"mmmm")</f>
        <v>marzo</v>
      </c>
      <c r="D1254" t="str">
        <f>TEXT(Tabla24[[#This Row],[Fecha]],"aaaa")</f>
        <v>2024</v>
      </c>
      <c r="E1254" t="s">
        <v>42</v>
      </c>
      <c r="F1254" t="s">
        <v>34</v>
      </c>
      <c r="G1254" t="s">
        <v>44</v>
      </c>
      <c r="H1254" t="s">
        <v>19</v>
      </c>
      <c r="I1254" t="s">
        <v>40</v>
      </c>
      <c r="J1254">
        <v>4</v>
      </c>
      <c r="K1254">
        <v>34212</v>
      </c>
      <c r="L1254">
        <f>Tabla24[[#This Row],[Precio_Unitario]]*Tabla24[[#This Row],[Unidades_Vendidas]]</f>
        <v>136848</v>
      </c>
      <c r="M1254" t="s">
        <v>36</v>
      </c>
    </row>
    <row r="1255" spans="1:13" x14ac:dyDescent="0.25">
      <c r="A1255" t="s">
        <v>311</v>
      </c>
      <c r="B1255" t="str">
        <f>TEXT(Tabla24[[#This Row],[Fecha]],"dddd")</f>
        <v>miércoles</v>
      </c>
      <c r="C1255" t="str">
        <f>TEXT(Tabla24[[#This Row],[Fecha]],"mmmm")</f>
        <v>abril</v>
      </c>
      <c r="D1255" t="str">
        <f>TEXT(Tabla24[[#This Row],[Fecha]],"aaaa")</f>
        <v>2024</v>
      </c>
      <c r="E1255" t="s">
        <v>11</v>
      </c>
      <c r="F1255" t="s">
        <v>29</v>
      </c>
      <c r="G1255" t="s">
        <v>44</v>
      </c>
      <c r="H1255" t="s">
        <v>35</v>
      </c>
      <c r="I1255" t="s">
        <v>26</v>
      </c>
      <c r="J1255">
        <v>11</v>
      </c>
      <c r="K1255">
        <v>34448</v>
      </c>
      <c r="L1255">
        <f>Tabla24[[#This Row],[Precio_Unitario]]*Tabla24[[#This Row],[Unidades_Vendidas]]</f>
        <v>378928</v>
      </c>
      <c r="M1255" t="s">
        <v>16</v>
      </c>
    </row>
    <row r="1256" spans="1:13" x14ac:dyDescent="0.25">
      <c r="A1256" t="s">
        <v>77</v>
      </c>
      <c r="B1256" t="str">
        <f>TEXT(Tabla24[[#This Row],[Fecha]],"dddd")</f>
        <v>jueves</v>
      </c>
      <c r="C1256" t="str">
        <f>TEXT(Tabla24[[#This Row],[Fecha]],"mmmm")</f>
        <v>junio</v>
      </c>
      <c r="D1256" t="str">
        <f>TEXT(Tabla24[[#This Row],[Fecha]],"aaaa")</f>
        <v>2024</v>
      </c>
      <c r="E1256" t="s">
        <v>33</v>
      </c>
      <c r="F1256" t="s">
        <v>38</v>
      </c>
      <c r="G1256" t="s">
        <v>24</v>
      </c>
      <c r="H1256" t="s">
        <v>14</v>
      </c>
      <c r="I1256" t="s">
        <v>40</v>
      </c>
      <c r="J1256">
        <v>2</v>
      </c>
      <c r="K1256">
        <v>59437</v>
      </c>
      <c r="L1256">
        <f>Tabla24[[#This Row],[Precio_Unitario]]*Tabla24[[#This Row],[Unidades_Vendidas]]</f>
        <v>118874</v>
      </c>
      <c r="M1256" t="s">
        <v>20</v>
      </c>
    </row>
    <row r="1257" spans="1:13" x14ac:dyDescent="0.25">
      <c r="A1257" t="s">
        <v>215</v>
      </c>
      <c r="B1257" t="str">
        <f>TEXT(Tabla24[[#This Row],[Fecha]],"dddd")</f>
        <v>domingo</v>
      </c>
      <c r="C1257" t="str">
        <f>TEXT(Tabla24[[#This Row],[Fecha]],"mmmm")</f>
        <v>mayo</v>
      </c>
      <c r="D1257" t="str">
        <f>TEXT(Tabla24[[#This Row],[Fecha]],"aaaa")</f>
        <v>2024</v>
      </c>
      <c r="E1257" t="s">
        <v>11</v>
      </c>
      <c r="F1257" t="s">
        <v>34</v>
      </c>
      <c r="G1257" t="s">
        <v>48</v>
      </c>
      <c r="H1257" t="s">
        <v>19</v>
      </c>
      <c r="I1257" t="s">
        <v>15</v>
      </c>
      <c r="J1257">
        <v>5</v>
      </c>
      <c r="K1257">
        <v>33517</v>
      </c>
      <c r="L1257">
        <f>Tabla24[[#This Row],[Precio_Unitario]]*Tabla24[[#This Row],[Unidades_Vendidas]]</f>
        <v>167585</v>
      </c>
      <c r="M1257" t="s">
        <v>20</v>
      </c>
    </row>
    <row r="1258" spans="1:13" x14ac:dyDescent="0.25">
      <c r="A1258" t="s">
        <v>299</v>
      </c>
      <c r="B1258" t="str">
        <f>TEXT(Tabla24[[#This Row],[Fecha]],"dddd")</f>
        <v>viernes</v>
      </c>
      <c r="C1258" t="str">
        <f>TEXT(Tabla24[[#This Row],[Fecha]],"mmmm")</f>
        <v>febrero</v>
      </c>
      <c r="D1258" t="str">
        <f>TEXT(Tabla24[[#This Row],[Fecha]],"aaaa")</f>
        <v>2024</v>
      </c>
      <c r="E1258" t="s">
        <v>11</v>
      </c>
      <c r="F1258" t="s">
        <v>12</v>
      </c>
      <c r="G1258" t="s">
        <v>44</v>
      </c>
      <c r="H1258" t="s">
        <v>25</v>
      </c>
      <c r="I1258" t="s">
        <v>15</v>
      </c>
      <c r="J1258">
        <v>7</v>
      </c>
      <c r="K1258">
        <v>16046</v>
      </c>
      <c r="L1258">
        <f>Tabla24[[#This Row],[Precio_Unitario]]*Tabla24[[#This Row],[Unidades_Vendidas]]</f>
        <v>112322</v>
      </c>
      <c r="M1258" t="s">
        <v>36</v>
      </c>
    </row>
    <row r="1259" spans="1:13" x14ac:dyDescent="0.25">
      <c r="A1259" t="s">
        <v>65</v>
      </c>
      <c r="B1259" t="str">
        <f>TEXT(Tabla24[[#This Row],[Fecha]],"dddd")</f>
        <v>viernes</v>
      </c>
      <c r="C1259" t="str">
        <f>TEXT(Tabla24[[#This Row],[Fecha]],"mmmm")</f>
        <v>abril</v>
      </c>
      <c r="D1259" t="str">
        <f>TEXT(Tabla24[[#This Row],[Fecha]],"aaaa")</f>
        <v>2024</v>
      </c>
      <c r="E1259" t="s">
        <v>22</v>
      </c>
      <c r="F1259" t="s">
        <v>23</v>
      </c>
      <c r="G1259" t="s">
        <v>48</v>
      </c>
      <c r="H1259" t="s">
        <v>25</v>
      </c>
      <c r="I1259" t="s">
        <v>26</v>
      </c>
      <c r="J1259">
        <v>12</v>
      </c>
      <c r="K1259">
        <v>53982</v>
      </c>
      <c r="L1259">
        <f>Tabla24[[#This Row],[Precio_Unitario]]*Tabla24[[#This Row],[Unidades_Vendidas]]</f>
        <v>647784</v>
      </c>
      <c r="M1259" t="s">
        <v>36</v>
      </c>
    </row>
    <row r="1260" spans="1:13" x14ac:dyDescent="0.25">
      <c r="A1260" t="s">
        <v>392</v>
      </c>
      <c r="B1260" t="str">
        <f>TEXT(Tabla24[[#This Row],[Fecha]],"dddd")</f>
        <v>martes</v>
      </c>
      <c r="C1260" t="str">
        <f>TEXT(Tabla24[[#This Row],[Fecha]],"mmmm")</f>
        <v>diciembre</v>
      </c>
      <c r="D1260" t="str">
        <f>TEXT(Tabla24[[#This Row],[Fecha]],"aaaa")</f>
        <v>2024</v>
      </c>
      <c r="E1260" t="s">
        <v>18</v>
      </c>
      <c r="F1260" t="s">
        <v>29</v>
      </c>
      <c r="G1260" t="s">
        <v>13</v>
      </c>
      <c r="H1260" t="s">
        <v>14</v>
      </c>
      <c r="I1260" t="s">
        <v>15</v>
      </c>
      <c r="J1260">
        <v>2</v>
      </c>
      <c r="K1260">
        <v>46200</v>
      </c>
      <c r="L1260">
        <f>Tabla24[[#This Row],[Precio_Unitario]]*Tabla24[[#This Row],[Unidades_Vendidas]]</f>
        <v>92400</v>
      </c>
      <c r="M1260" t="s">
        <v>36</v>
      </c>
    </row>
    <row r="1261" spans="1:13" x14ac:dyDescent="0.25">
      <c r="A1261" t="s">
        <v>342</v>
      </c>
      <c r="B1261" t="str">
        <f>TEXT(Tabla24[[#This Row],[Fecha]],"dddd")</f>
        <v>viernes</v>
      </c>
      <c r="C1261" t="str">
        <f>TEXT(Tabla24[[#This Row],[Fecha]],"mmmm")</f>
        <v>julio</v>
      </c>
      <c r="D1261" t="str">
        <f>TEXT(Tabla24[[#This Row],[Fecha]],"aaaa")</f>
        <v>2024</v>
      </c>
      <c r="E1261" t="s">
        <v>33</v>
      </c>
      <c r="F1261" t="s">
        <v>23</v>
      </c>
      <c r="G1261" t="s">
        <v>13</v>
      </c>
      <c r="H1261" t="s">
        <v>14</v>
      </c>
      <c r="I1261" t="s">
        <v>40</v>
      </c>
      <c r="J1261">
        <v>5</v>
      </c>
      <c r="K1261">
        <v>18521</v>
      </c>
      <c r="L1261">
        <f>Tabla24[[#This Row],[Precio_Unitario]]*Tabla24[[#This Row],[Unidades_Vendidas]]</f>
        <v>92605</v>
      </c>
      <c r="M1261" t="s">
        <v>20</v>
      </c>
    </row>
    <row r="1262" spans="1:13" x14ac:dyDescent="0.25">
      <c r="A1262" t="s">
        <v>357</v>
      </c>
      <c r="B1262" t="str">
        <f>TEXT(Tabla24[[#This Row],[Fecha]],"dddd")</f>
        <v>jueves</v>
      </c>
      <c r="C1262" t="str">
        <f>TEXT(Tabla24[[#This Row],[Fecha]],"mmmm")</f>
        <v>agosto</v>
      </c>
      <c r="D1262" t="str">
        <f>TEXT(Tabla24[[#This Row],[Fecha]],"aaaa")</f>
        <v>2024</v>
      </c>
      <c r="E1262" t="s">
        <v>11</v>
      </c>
      <c r="F1262" t="s">
        <v>34</v>
      </c>
      <c r="G1262" t="s">
        <v>39</v>
      </c>
      <c r="H1262" t="s">
        <v>25</v>
      </c>
      <c r="I1262" t="s">
        <v>40</v>
      </c>
      <c r="J1262">
        <v>13</v>
      </c>
      <c r="K1262">
        <v>45800</v>
      </c>
      <c r="L1262">
        <f>Tabla24[[#This Row],[Precio_Unitario]]*Tabla24[[#This Row],[Unidades_Vendidas]]</f>
        <v>595400</v>
      </c>
      <c r="M1262" t="s">
        <v>27</v>
      </c>
    </row>
    <row r="1263" spans="1:13" x14ac:dyDescent="0.25">
      <c r="A1263" t="s">
        <v>76</v>
      </c>
      <c r="B1263" t="str">
        <f>TEXT(Tabla24[[#This Row],[Fecha]],"dddd")</f>
        <v>jueves</v>
      </c>
      <c r="C1263" t="str">
        <f>TEXT(Tabla24[[#This Row],[Fecha]],"mmmm")</f>
        <v>abril</v>
      </c>
      <c r="D1263" t="str">
        <f>TEXT(Tabla24[[#This Row],[Fecha]],"aaaa")</f>
        <v>2024</v>
      </c>
      <c r="E1263" t="s">
        <v>18</v>
      </c>
      <c r="F1263" t="s">
        <v>12</v>
      </c>
      <c r="G1263" t="s">
        <v>48</v>
      </c>
      <c r="H1263" t="s">
        <v>35</v>
      </c>
      <c r="I1263" t="s">
        <v>26</v>
      </c>
      <c r="J1263">
        <v>12</v>
      </c>
      <c r="K1263">
        <v>21260</v>
      </c>
      <c r="L1263">
        <f>Tabla24[[#This Row],[Precio_Unitario]]*Tabla24[[#This Row],[Unidades_Vendidas]]</f>
        <v>255120</v>
      </c>
      <c r="M1263" t="s">
        <v>36</v>
      </c>
    </row>
    <row r="1264" spans="1:13" x14ac:dyDescent="0.25">
      <c r="A1264" t="s">
        <v>146</v>
      </c>
      <c r="B1264" t="str">
        <f>TEXT(Tabla24[[#This Row],[Fecha]],"dddd")</f>
        <v>sábado</v>
      </c>
      <c r="C1264" t="str">
        <f>TEXT(Tabla24[[#This Row],[Fecha]],"mmmm")</f>
        <v>octubre</v>
      </c>
      <c r="D1264" t="str">
        <f>TEXT(Tabla24[[#This Row],[Fecha]],"aaaa")</f>
        <v>2024</v>
      </c>
      <c r="E1264" t="s">
        <v>11</v>
      </c>
      <c r="F1264" t="s">
        <v>29</v>
      </c>
      <c r="G1264" t="s">
        <v>39</v>
      </c>
      <c r="H1264" t="s">
        <v>35</v>
      </c>
      <c r="I1264" t="s">
        <v>40</v>
      </c>
      <c r="J1264">
        <v>18</v>
      </c>
      <c r="K1264">
        <v>25295</v>
      </c>
      <c r="L1264">
        <f>Tabla24[[#This Row],[Precio_Unitario]]*Tabla24[[#This Row],[Unidades_Vendidas]]</f>
        <v>455310</v>
      </c>
      <c r="M1264" t="s">
        <v>36</v>
      </c>
    </row>
    <row r="1265" spans="1:13" x14ac:dyDescent="0.25">
      <c r="A1265" t="s">
        <v>97</v>
      </c>
      <c r="B1265" t="str">
        <f>TEXT(Tabla24[[#This Row],[Fecha]],"dddd")</f>
        <v>lunes</v>
      </c>
      <c r="C1265" t="str">
        <f>TEXT(Tabla24[[#This Row],[Fecha]],"mmmm")</f>
        <v>julio</v>
      </c>
      <c r="D1265" t="str">
        <f>TEXT(Tabla24[[#This Row],[Fecha]],"aaaa")</f>
        <v>2024</v>
      </c>
      <c r="E1265" t="s">
        <v>22</v>
      </c>
      <c r="F1265" t="s">
        <v>38</v>
      </c>
      <c r="G1265" t="s">
        <v>39</v>
      </c>
      <c r="H1265" t="s">
        <v>14</v>
      </c>
      <c r="I1265" t="s">
        <v>15</v>
      </c>
      <c r="J1265">
        <v>7</v>
      </c>
      <c r="K1265">
        <v>21219</v>
      </c>
      <c r="L1265">
        <f>Tabla24[[#This Row],[Precio_Unitario]]*Tabla24[[#This Row],[Unidades_Vendidas]]</f>
        <v>148533</v>
      </c>
      <c r="M1265" t="s">
        <v>16</v>
      </c>
    </row>
    <row r="1266" spans="1:13" x14ac:dyDescent="0.25">
      <c r="A1266" t="s">
        <v>154</v>
      </c>
      <c r="B1266" t="str">
        <f>TEXT(Tabla24[[#This Row],[Fecha]],"dddd")</f>
        <v>sábado</v>
      </c>
      <c r="C1266" t="str">
        <f>TEXT(Tabla24[[#This Row],[Fecha]],"mmmm")</f>
        <v>noviembre</v>
      </c>
      <c r="D1266" t="str">
        <f>TEXT(Tabla24[[#This Row],[Fecha]],"aaaa")</f>
        <v>2024</v>
      </c>
      <c r="E1266" t="s">
        <v>22</v>
      </c>
      <c r="F1266" t="s">
        <v>23</v>
      </c>
      <c r="G1266" t="s">
        <v>44</v>
      </c>
      <c r="H1266" t="s">
        <v>30</v>
      </c>
      <c r="I1266" t="s">
        <v>26</v>
      </c>
      <c r="J1266">
        <v>1</v>
      </c>
      <c r="K1266">
        <v>59123</v>
      </c>
      <c r="L1266">
        <f>Tabla24[[#This Row],[Precio_Unitario]]*Tabla24[[#This Row],[Unidades_Vendidas]]</f>
        <v>59123</v>
      </c>
      <c r="M1266" t="s">
        <v>36</v>
      </c>
    </row>
    <row r="1267" spans="1:13" x14ac:dyDescent="0.25">
      <c r="A1267" t="s">
        <v>369</v>
      </c>
      <c r="B1267" t="str">
        <f>TEXT(Tabla24[[#This Row],[Fecha]],"dddd")</f>
        <v>jueves</v>
      </c>
      <c r="C1267" t="str">
        <f>TEXT(Tabla24[[#This Row],[Fecha]],"mmmm")</f>
        <v>enero</v>
      </c>
      <c r="D1267" t="str">
        <f>TEXT(Tabla24[[#This Row],[Fecha]],"aaaa")</f>
        <v>2024</v>
      </c>
      <c r="E1267" t="s">
        <v>42</v>
      </c>
      <c r="F1267" t="s">
        <v>23</v>
      </c>
      <c r="G1267" t="s">
        <v>48</v>
      </c>
      <c r="H1267" t="s">
        <v>14</v>
      </c>
      <c r="I1267" t="s">
        <v>26</v>
      </c>
      <c r="J1267">
        <v>17</v>
      </c>
      <c r="K1267">
        <v>53119</v>
      </c>
      <c r="L1267">
        <f>Tabla24[[#This Row],[Precio_Unitario]]*Tabla24[[#This Row],[Unidades_Vendidas]]</f>
        <v>903023</v>
      </c>
      <c r="M1267" t="s">
        <v>16</v>
      </c>
    </row>
    <row r="1268" spans="1:13" x14ac:dyDescent="0.25">
      <c r="A1268" t="s">
        <v>219</v>
      </c>
      <c r="B1268" t="str">
        <f>TEXT(Tabla24[[#This Row],[Fecha]],"dddd")</f>
        <v>sábado</v>
      </c>
      <c r="C1268" t="str">
        <f>TEXT(Tabla24[[#This Row],[Fecha]],"mmmm")</f>
        <v>julio</v>
      </c>
      <c r="D1268" t="str">
        <f>TEXT(Tabla24[[#This Row],[Fecha]],"aaaa")</f>
        <v>2024</v>
      </c>
      <c r="E1268" t="s">
        <v>22</v>
      </c>
      <c r="F1268" t="s">
        <v>38</v>
      </c>
      <c r="G1268" t="s">
        <v>13</v>
      </c>
      <c r="H1268" t="s">
        <v>30</v>
      </c>
      <c r="I1268" t="s">
        <v>26</v>
      </c>
      <c r="J1268">
        <v>2</v>
      </c>
      <c r="K1268">
        <v>19694</v>
      </c>
      <c r="L1268">
        <f>Tabla24[[#This Row],[Precio_Unitario]]*Tabla24[[#This Row],[Unidades_Vendidas]]</f>
        <v>39388</v>
      </c>
      <c r="M1268" t="s">
        <v>16</v>
      </c>
    </row>
    <row r="1269" spans="1:13" x14ac:dyDescent="0.25">
      <c r="A1269" t="s">
        <v>117</v>
      </c>
      <c r="B1269" t="str">
        <f>TEXT(Tabla24[[#This Row],[Fecha]],"dddd")</f>
        <v>domingo</v>
      </c>
      <c r="C1269" t="str">
        <f>TEXT(Tabla24[[#This Row],[Fecha]],"mmmm")</f>
        <v>enero</v>
      </c>
      <c r="D1269" t="str">
        <f>TEXT(Tabla24[[#This Row],[Fecha]],"aaaa")</f>
        <v>2024</v>
      </c>
      <c r="E1269" t="s">
        <v>18</v>
      </c>
      <c r="F1269" t="s">
        <v>12</v>
      </c>
      <c r="G1269" t="s">
        <v>24</v>
      </c>
      <c r="H1269" t="s">
        <v>19</v>
      </c>
      <c r="I1269" t="s">
        <v>40</v>
      </c>
      <c r="J1269">
        <v>19</v>
      </c>
      <c r="K1269">
        <v>33079</v>
      </c>
      <c r="L1269">
        <f>Tabla24[[#This Row],[Precio_Unitario]]*Tabla24[[#This Row],[Unidades_Vendidas]]</f>
        <v>628501</v>
      </c>
      <c r="M1269" t="s">
        <v>27</v>
      </c>
    </row>
    <row r="1270" spans="1:13" x14ac:dyDescent="0.25">
      <c r="A1270" t="s">
        <v>85</v>
      </c>
      <c r="B1270" t="str">
        <f>TEXT(Tabla24[[#This Row],[Fecha]],"dddd")</f>
        <v>sábado</v>
      </c>
      <c r="C1270" t="str">
        <f>TEXT(Tabla24[[#This Row],[Fecha]],"mmmm")</f>
        <v>julio</v>
      </c>
      <c r="D1270" t="str">
        <f>TEXT(Tabla24[[#This Row],[Fecha]],"aaaa")</f>
        <v>2024</v>
      </c>
      <c r="E1270" t="s">
        <v>42</v>
      </c>
      <c r="F1270" t="s">
        <v>29</v>
      </c>
      <c r="G1270" t="s">
        <v>13</v>
      </c>
      <c r="H1270" t="s">
        <v>30</v>
      </c>
      <c r="I1270" t="s">
        <v>26</v>
      </c>
      <c r="J1270">
        <v>13</v>
      </c>
      <c r="K1270">
        <v>46277</v>
      </c>
      <c r="L1270">
        <f>Tabla24[[#This Row],[Precio_Unitario]]*Tabla24[[#This Row],[Unidades_Vendidas]]</f>
        <v>601601</v>
      </c>
      <c r="M1270" t="s">
        <v>36</v>
      </c>
    </row>
    <row r="1271" spans="1:13" x14ac:dyDescent="0.25">
      <c r="A1271" t="s">
        <v>132</v>
      </c>
      <c r="B1271" t="str">
        <f>TEXT(Tabla24[[#This Row],[Fecha]],"dddd")</f>
        <v>jueves</v>
      </c>
      <c r="C1271" t="str">
        <f>TEXT(Tabla24[[#This Row],[Fecha]],"mmmm")</f>
        <v>enero</v>
      </c>
      <c r="D1271" t="str">
        <f>TEXT(Tabla24[[#This Row],[Fecha]],"aaaa")</f>
        <v>2024</v>
      </c>
      <c r="E1271" t="s">
        <v>11</v>
      </c>
      <c r="F1271" t="s">
        <v>38</v>
      </c>
      <c r="G1271" t="s">
        <v>24</v>
      </c>
      <c r="H1271" t="s">
        <v>19</v>
      </c>
      <c r="I1271" t="s">
        <v>15</v>
      </c>
      <c r="J1271">
        <v>9</v>
      </c>
      <c r="K1271">
        <v>45567</v>
      </c>
      <c r="L1271">
        <f>Tabla24[[#This Row],[Precio_Unitario]]*Tabla24[[#This Row],[Unidades_Vendidas]]</f>
        <v>410103</v>
      </c>
      <c r="M1271" t="s">
        <v>20</v>
      </c>
    </row>
    <row r="1272" spans="1:13" x14ac:dyDescent="0.25">
      <c r="A1272" t="s">
        <v>238</v>
      </c>
      <c r="B1272" t="str">
        <f>TEXT(Tabla24[[#This Row],[Fecha]],"dddd")</f>
        <v>miércoles</v>
      </c>
      <c r="C1272" t="str">
        <f>TEXT(Tabla24[[#This Row],[Fecha]],"mmmm")</f>
        <v>noviembre</v>
      </c>
      <c r="D1272" t="str">
        <f>TEXT(Tabla24[[#This Row],[Fecha]],"aaaa")</f>
        <v>2024</v>
      </c>
      <c r="E1272" t="s">
        <v>42</v>
      </c>
      <c r="F1272" t="s">
        <v>34</v>
      </c>
      <c r="G1272" t="s">
        <v>39</v>
      </c>
      <c r="H1272" t="s">
        <v>25</v>
      </c>
      <c r="I1272" t="s">
        <v>15</v>
      </c>
      <c r="J1272">
        <v>12</v>
      </c>
      <c r="K1272">
        <v>42905</v>
      </c>
      <c r="L1272">
        <f>Tabla24[[#This Row],[Precio_Unitario]]*Tabla24[[#This Row],[Unidades_Vendidas]]</f>
        <v>514860</v>
      </c>
      <c r="M1272" t="s">
        <v>20</v>
      </c>
    </row>
    <row r="1273" spans="1:13" x14ac:dyDescent="0.25">
      <c r="A1273" t="s">
        <v>108</v>
      </c>
      <c r="B1273" t="str">
        <f>TEXT(Tabla24[[#This Row],[Fecha]],"dddd")</f>
        <v>viernes</v>
      </c>
      <c r="C1273" t="str">
        <f>TEXT(Tabla24[[#This Row],[Fecha]],"mmmm")</f>
        <v>marzo</v>
      </c>
      <c r="D1273" t="str">
        <f>TEXT(Tabla24[[#This Row],[Fecha]],"aaaa")</f>
        <v>2024</v>
      </c>
      <c r="E1273" t="s">
        <v>18</v>
      </c>
      <c r="F1273" t="s">
        <v>23</v>
      </c>
      <c r="G1273" t="s">
        <v>44</v>
      </c>
      <c r="H1273" t="s">
        <v>30</v>
      </c>
      <c r="I1273" t="s">
        <v>15</v>
      </c>
      <c r="J1273">
        <v>9</v>
      </c>
      <c r="K1273">
        <v>39991</v>
      </c>
      <c r="L1273">
        <f>Tabla24[[#This Row],[Precio_Unitario]]*Tabla24[[#This Row],[Unidades_Vendidas]]</f>
        <v>359919</v>
      </c>
      <c r="M1273" t="s">
        <v>36</v>
      </c>
    </row>
    <row r="1274" spans="1:13" x14ac:dyDescent="0.25">
      <c r="A1274" t="s">
        <v>220</v>
      </c>
      <c r="B1274" t="str">
        <f>TEXT(Tabla24[[#This Row],[Fecha]],"dddd")</f>
        <v>lunes</v>
      </c>
      <c r="C1274" t="str">
        <f>TEXT(Tabla24[[#This Row],[Fecha]],"mmmm")</f>
        <v>enero</v>
      </c>
      <c r="D1274" t="str">
        <f>TEXT(Tabla24[[#This Row],[Fecha]],"aaaa")</f>
        <v>2024</v>
      </c>
      <c r="E1274" t="s">
        <v>18</v>
      </c>
      <c r="F1274" t="s">
        <v>34</v>
      </c>
      <c r="G1274" t="s">
        <v>24</v>
      </c>
      <c r="H1274" t="s">
        <v>25</v>
      </c>
      <c r="I1274" t="s">
        <v>40</v>
      </c>
      <c r="J1274">
        <v>20</v>
      </c>
      <c r="K1274">
        <v>32666</v>
      </c>
      <c r="L1274">
        <f>Tabla24[[#This Row],[Precio_Unitario]]*Tabla24[[#This Row],[Unidades_Vendidas]]</f>
        <v>653320</v>
      </c>
      <c r="M1274" t="s">
        <v>27</v>
      </c>
    </row>
    <row r="1275" spans="1:13" x14ac:dyDescent="0.25">
      <c r="A1275" t="s">
        <v>111</v>
      </c>
      <c r="B1275" t="str">
        <f>TEXT(Tabla24[[#This Row],[Fecha]],"dddd")</f>
        <v>jueves</v>
      </c>
      <c r="C1275" t="str">
        <f>TEXT(Tabla24[[#This Row],[Fecha]],"mmmm")</f>
        <v>abril</v>
      </c>
      <c r="D1275" t="str">
        <f>TEXT(Tabla24[[#This Row],[Fecha]],"aaaa")</f>
        <v>2024</v>
      </c>
      <c r="E1275" t="s">
        <v>18</v>
      </c>
      <c r="F1275" t="s">
        <v>23</v>
      </c>
      <c r="G1275" t="s">
        <v>44</v>
      </c>
      <c r="H1275" t="s">
        <v>14</v>
      </c>
      <c r="I1275" t="s">
        <v>40</v>
      </c>
      <c r="J1275">
        <v>5</v>
      </c>
      <c r="K1275">
        <v>50736</v>
      </c>
      <c r="L1275">
        <f>Tabla24[[#This Row],[Precio_Unitario]]*Tabla24[[#This Row],[Unidades_Vendidas]]</f>
        <v>253680</v>
      </c>
      <c r="M1275" t="s">
        <v>27</v>
      </c>
    </row>
    <row r="1276" spans="1:13" x14ac:dyDescent="0.25">
      <c r="A1276" t="s">
        <v>247</v>
      </c>
      <c r="B1276" t="str">
        <f>TEXT(Tabla24[[#This Row],[Fecha]],"dddd")</f>
        <v>miércoles</v>
      </c>
      <c r="C1276" t="str">
        <f>TEXT(Tabla24[[#This Row],[Fecha]],"mmmm")</f>
        <v>febrero</v>
      </c>
      <c r="D1276" t="str">
        <f>TEXT(Tabla24[[#This Row],[Fecha]],"aaaa")</f>
        <v>2024</v>
      </c>
      <c r="E1276" t="s">
        <v>18</v>
      </c>
      <c r="F1276" t="s">
        <v>29</v>
      </c>
      <c r="G1276" t="s">
        <v>48</v>
      </c>
      <c r="H1276" t="s">
        <v>25</v>
      </c>
      <c r="I1276" t="s">
        <v>15</v>
      </c>
      <c r="J1276">
        <v>5</v>
      </c>
      <c r="K1276">
        <v>35786</v>
      </c>
      <c r="L1276">
        <f>Tabla24[[#This Row],[Precio_Unitario]]*Tabla24[[#This Row],[Unidades_Vendidas]]</f>
        <v>178930</v>
      </c>
      <c r="M1276" t="s">
        <v>36</v>
      </c>
    </row>
    <row r="1277" spans="1:13" x14ac:dyDescent="0.25">
      <c r="A1277" t="s">
        <v>89</v>
      </c>
      <c r="B1277" t="str">
        <f>TEXT(Tabla24[[#This Row],[Fecha]],"dddd")</f>
        <v>lunes</v>
      </c>
      <c r="C1277" t="str">
        <f>TEXT(Tabla24[[#This Row],[Fecha]],"mmmm")</f>
        <v>agosto</v>
      </c>
      <c r="D1277" t="str">
        <f>TEXT(Tabla24[[#This Row],[Fecha]],"aaaa")</f>
        <v>2024</v>
      </c>
      <c r="E1277" t="s">
        <v>33</v>
      </c>
      <c r="F1277" t="s">
        <v>34</v>
      </c>
      <c r="G1277" t="s">
        <v>13</v>
      </c>
      <c r="H1277" t="s">
        <v>30</v>
      </c>
      <c r="I1277" t="s">
        <v>15</v>
      </c>
      <c r="J1277">
        <v>13</v>
      </c>
      <c r="K1277">
        <v>31067</v>
      </c>
      <c r="L1277">
        <f>Tabla24[[#This Row],[Precio_Unitario]]*Tabla24[[#This Row],[Unidades_Vendidas]]</f>
        <v>403871</v>
      </c>
      <c r="M1277" t="s">
        <v>36</v>
      </c>
    </row>
    <row r="1278" spans="1:13" x14ac:dyDescent="0.25">
      <c r="A1278" t="s">
        <v>124</v>
      </c>
      <c r="B1278" t="str">
        <f>TEXT(Tabla24[[#This Row],[Fecha]],"dddd")</f>
        <v>sábado</v>
      </c>
      <c r="C1278" t="str">
        <f>TEXT(Tabla24[[#This Row],[Fecha]],"mmmm")</f>
        <v>junio</v>
      </c>
      <c r="D1278" t="str">
        <f>TEXT(Tabla24[[#This Row],[Fecha]],"aaaa")</f>
        <v>2024</v>
      </c>
      <c r="E1278" t="s">
        <v>33</v>
      </c>
      <c r="F1278" t="s">
        <v>29</v>
      </c>
      <c r="G1278" t="s">
        <v>13</v>
      </c>
      <c r="H1278" t="s">
        <v>19</v>
      </c>
      <c r="I1278" t="s">
        <v>26</v>
      </c>
      <c r="J1278">
        <v>7</v>
      </c>
      <c r="K1278">
        <v>53081</v>
      </c>
      <c r="L1278">
        <f>Tabla24[[#This Row],[Precio_Unitario]]*Tabla24[[#This Row],[Unidades_Vendidas]]</f>
        <v>371567</v>
      </c>
      <c r="M1278" t="s">
        <v>16</v>
      </c>
    </row>
    <row r="1279" spans="1:13" x14ac:dyDescent="0.25">
      <c r="A1279" t="s">
        <v>269</v>
      </c>
      <c r="B1279" t="str">
        <f>TEXT(Tabla24[[#This Row],[Fecha]],"dddd")</f>
        <v>martes</v>
      </c>
      <c r="C1279" t="str">
        <f>TEXT(Tabla24[[#This Row],[Fecha]],"mmmm")</f>
        <v>marzo</v>
      </c>
      <c r="D1279" t="str">
        <f>TEXT(Tabla24[[#This Row],[Fecha]],"aaaa")</f>
        <v>2024</v>
      </c>
      <c r="E1279" t="s">
        <v>42</v>
      </c>
      <c r="F1279" t="s">
        <v>29</v>
      </c>
      <c r="G1279" t="s">
        <v>24</v>
      </c>
      <c r="H1279" t="s">
        <v>14</v>
      </c>
      <c r="I1279" t="s">
        <v>15</v>
      </c>
      <c r="J1279">
        <v>5</v>
      </c>
      <c r="K1279">
        <v>43903</v>
      </c>
      <c r="L1279">
        <f>Tabla24[[#This Row],[Precio_Unitario]]*Tabla24[[#This Row],[Unidades_Vendidas]]</f>
        <v>219515</v>
      </c>
      <c r="M1279" t="s">
        <v>27</v>
      </c>
    </row>
    <row r="1280" spans="1:13" x14ac:dyDescent="0.25">
      <c r="A1280" t="s">
        <v>214</v>
      </c>
      <c r="B1280" t="str">
        <f>TEXT(Tabla24[[#This Row],[Fecha]],"dddd")</f>
        <v>lunes</v>
      </c>
      <c r="C1280" t="str">
        <f>TEXT(Tabla24[[#This Row],[Fecha]],"mmmm")</f>
        <v>noviembre</v>
      </c>
      <c r="D1280" t="str">
        <f>TEXT(Tabla24[[#This Row],[Fecha]],"aaaa")</f>
        <v>2024</v>
      </c>
      <c r="E1280" t="s">
        <v>42</v>
      </c>
      <c r="F1280" t="s">
        <v>34</v>
      </c>
      <c r="G1280" t="s">
        <v>44</v>
      </c>
      <c r="H1280" t="s">
        <v>25</v>
      </c>
      <c r="I1280" t="s">
        <v>40</v>
      </c>
      <c r="J1280">
        <v>16</v>
      </c>
      <c r="K1280">
        <v>36843</v>
      </c>
      <c r="L1280">
        <f>Tabla24[[#This Row],[Precio_Unitario]]*Tabla24[[#This Row],[Unidades_Vendidas]]</f>
        <v>589488</v>
      </c>
      <c r="M1280" t="s">
        <v>16</v>
      </c>
    </row>
    <row r="1281" spans="1:13" x14ac:dyDescent="0.25">
      <c r="A1281" t="s">
        <v>17</v>
      </c>
      <c r="B1281" t="str">
        <f>TEXT(Tabla24[[#This Row],[Fecha]],"dddd")</f>
        <v>lunes</v>
      </c>
      <c r="C1281" t="str">
        <f>TEXT(Tabla24[[#This Row],[Fecha]],"mmmm")</f>
        <v>septiembre</v>
      </c>
      <c r="D1281" t="str">
        <f>TEXT(Tabla24[[#This Row],[Fecha]],"aaaa")</f>
        <v>2024</v>
      </c>
      <c r="E1281" t="s">
        <v>33</v>
      </c>
      <c r="F1281" t="s">
        <v>23</v>
      </c>
      <c r="G1281" t="s">
        <v>13</v>
      </c>
      <c r="H1281" t="s">
        <v>19</v>
      </c>
      <c r="I1281" t="s">
        <v>40</v>
      </c>
      <c r="J1281">
        <v>7</v>
      </c>
      <c r="K1281">
        <v>28741</v>
      </c>
      <c r="L1281">
        <f>Tabla24[[#This Row],[Precio_Unitario]]*Tabla24[[#This Row],[Unidades_Vendidas]]</f>
        <v>201187</v>
      </c>
      <c r="M1281" t="s">
        <v>27</v>
      </c>
    </row>
    <row r="1282" spans="1:13" x14ac:dyDescent="0.25">
      <c r="A1282" t="s">
        <v>189</v>
      </c>
      <c r="B1282" t="str">
        <f>TEXT(Tabla24[[#This Row],[Fecha]],"dddd")</f>
        <v>sábado</v>
      </c>
      <c r="C1282" t="str">
        <f>TEXT(Tabla24[[#This Row],[Fecha]],"mmmm")</f>
        <v>abril</v>
      </c>
      <c r="D1282" t="str">
        <f>TEXT(Tabla24[[#This Row],[Fecha]],"aaaa")</f>
        <v>2024</v>
      </c>
      <c r="E1282" t="s">
        <v>42</v>
      </c>
      <c r="F1282" t="s">
        <v>38</v>
      </c>
      <c r="G1282" t="s">
        <v>48</v>
      </c>
      <c r="H1282" t="s">
        <v>19</v>
      </c>
      <c r="I1282" t="s">
        <v>26</v>
      </c>
      <c r="J1282">
        <v>12</v>
      </c>
      <c r="K1282">
        <v>29783</v>
      </c>
      <c r="L1282">
        <f>Tabla24[[#This Row],[Precio_Unitario]]*Tabla24[[#This Row],[Unidades_Vendidas]]</f>
        <v>357396</v>
      </c>
      <c r="M1282" t="s">
        <v>27</v>
      </c>
    </row>
    <row r="1283" spans="1:13" x14ac:dyDescent="0.25">
      <c r="A1283" t="s">
        <v>226</v>
      </c>
      <c r="B1283" t="str">
        <f>TEXT(Tabla24[[#This Row],[Fecha]],"dddd")</f>
        <v>lunes</v>
      </c>
      <c r="C1283" t="str">
        <f>TEXT(Tabla24[[#This Row],[Fecha]],"mmmm")</f>
        <v>mayo</v>
      </c>
      <c r="D1283" t="str">
        <f>TEXT(Tabla24[[#This Row],[Fecha]],"aaaa")</f>
        <v>2024</v>
      </c>
      <c r="E1283" t="s">
        <v>42</v>
      </c>
      <c r="F1283" t="s">
        <v>23</v>
      </c>
      <c r="G1283" t="s">
        <v>48</v>
      </c>
      <c r="H1283" t="s">
        <v>30</v>
      </c>
      <c r="I1283" t="s">
        <v>26</v>
      </c>
      <c r="J1283">
        <v>4</v>
      </c>
      <c r="K1283">
        <v>44319</v>
      </c>
      <c r="L1283">
        <f>Tabla24[[#This Row],[Precio_Unitario]]*Tabla24[[#This Row],[Unidades_Vendidas]]</f>
        <v>177276</v>
      </c>
      <c r="M1283" t="s">
        <v>36</v>
      </c>
    </row>
    <row r="1284" spans="1:13" x14ac:dyDescent="0.25">
      <c r="A1284" t="s">
        <v>199</v>
      </c>
      <c r="B1284" t="str">
        <f>TEXT(Tabla24[[#This Row],[Fecha]],"dddd")</f>
        <v>jueves</v>
      </c>
      <c r="C1284" t="str">
        <f>TEXT(Tabla24[[#This Row],[Fecha]],"mmmm")</f>
        <v>junio</v>
      </c>
      <c r="D1284" t="str">
        <f>TEXT(Tabla24[[#This Row],[Fecha]],"aaaa")</f>
        <v>2024</v>
      </c>
      <c r="E1284" t="s">
        <v>22</v>
      </c>
      <c r="F1284" t="s">
        <v>12</v>
      </c>
      <c r="G1284" t="s">
        <v>44</v>
      </c>
      <c r="H1284" t="s">
        <v>30</v>
      </c>
      <c r="I1284" t="s">
        <v>40</v>
      </c>
      <c r="J1284">
        <v>3</v>
      </c>
      <c r="K1284">
        <v>35076</v>
      </c>
      <c r="L1284">
        <f>Tabla24[[#This Row],[Precio_Unitario]]*Tabla24[[#This Row],[Unidades_Vendidas]]</f>
        <v>105228</v>
      </c>
      <c r="M1284" t="s">
        <v>16</v>
      </c>
    </row>
    <row r="1285" spans="1:13" x14ac:dyDescent="0.25">
      <c r="A1285" t="s">
        <v>145</v>
      </c>
      <c r="B1285" t="str">
        <f>TEXT(Tabla24[[#This Row],[Fecha]],"dddd")</f>
        <v>jueves</v>
      </c>
      <c r="C1285" t="str">
        <f>TEXT(Tabla24[[#This Row],[Fecha]],"mmmm")</f>
        <v>diciembre</v>
      </c>
      <c r="D1285" t="str">
        <f>TEXT(Tabla24[[#This Row],[Fecha]],"aaaa")</f>
        <v>2024</v>
      </c>
      <c r="E1285" t="s">
        <v>42</v>
      </c>
      <c r="F1285" t="s">
        <v>12</v>
      </c>
      <c r="G1285" t="s">
        <v>13</v>
      </c>
      <c r="H1285" t="s">
        <v>19</v>
      </c>
      <c r="I1285" t="s">
        <v>15</v>
      </c>
      <c r="J1285">
        <v>15</v>
      </c>
      <c r="K1285">
        <v>43719</v>
      </c>
      <c r="L1285">
        <f>Tabla24[[#This Row],[Precio_Unitario]]*Tabla24[[#This Row],[Unidades_Vendidas]]</f>
        <v>655785</v>
      </c>
      <c r="M1285" t="s">
        <v>36</v>
      </c>
    </row>
    <row r="1286" spans="1:13" x14ac:dyDescent="0.25">
      <c r="A1286" t="s">
        <v>100</v>
      </c>
      <c r="B1286" t="str">
        <f>TEXT(Tabla24[[#This Row],[Fecha]],"dddd")</f>
        <v>jueves</v>
      </c>
      <c r="C1286" t="str">
        <f>TEXT(Tabla24[[#This Row],[Fecha]],"mmmm")</f>
        <v>junio</v>
      </c>
      <c r="D1286" t="str">
        <f>TEXT(Tabla24[[#This Row],[Fecha]],"aaaa")</f>
        <v>2024</v>
      </c>
      <c r="E1286" t="s">
        <v>33</v>
      </c>
      <c r="F1286" t="s">
        <v>12</v>
      </c>
      <c r="G1286" t="s">
        <v>44</v>
      </c>
      <c r="H1286" t="s">
        <v>30</v>
      </c>
      <c r="I1286" t="s">
        <v>26</v>
      </c>
      <c r="J1286">
        <v>15</v>
      </c>
      <c r="K1286">
        <v>22145</v>
      </c>
      <c r="L1286">
        <f>Tabla24[[#This Row],[Precio_Unitario]]*Tabla24[[#This Row],[Unidades_Vendidas]]</f>
        <v>332175</v>
      </c>
      <c r="M1286" t="s">
        <v>27</v>
      </c>
    </row>
    <row r="1287" spans="1:13" x14ac:dyDescent="0.25">
      <c r="A1287" t="s">
        <v>378</v>
      </c>
      <c r="B1287" t="str">
        <f>TEXT(Tabla24[[#This Row],[Fecha]],"dddd")</f>
        <v>domingo</v>
      </c>
      <c r="C1287" t="str">
        <f>TEXT(Tabla24[[#This Row],[Fecha]],"mmmm")</f>
        <v>agosto</v>
      </c>
      <c r="D1287" t="str">
        <f>TEXT(Tabla24[[#This Row],[Fecha]],"aaaa")</f>
        <v>2024</v>
      </c>
      <c r="E1287" t="s">
        <v>22</v>
      </c>
      <c r="F1287" t="s">
        <v>29</v>
      </c>
      <c r="G1287" t="s">
        <v>13</v>
      </c>
      <c r="H1287" t="s">
        <v>30</v>
      </c>
      <c r="I1287" t="s">
        <v>15</v>
      </c>
      <c r="J1287">
        <v>4</v>
      </c>
      <c r="K1287">
        <v>30577</v>
      </c>
      <c r="L1287">
        <f>Tabla24[[#This Row],[Precio_Unitario]]*Tabla24[[#This Row],[Unidades_Vendidas]]</f>
        <v>122308</v>
      </c>
      <c r="M1287" t="s">
        <v>27</v>
      </c>
    </row>
    <row r="1288" spans="1:13" x14ac:dyDescent="0.25">
      <c r="A1288" t="s">
        <v>160</v>
      </c>
      <c r="B1288" t="str">
        <f>TEXT(Tabla24[[#This Row],[Fecha]],"dddd")</f>
        <v>jueves</v>
      </c>
      <c r="C1288" t="str">
        <f>TEXT(Tabla24[[#This Row],[Fecha]],"mmmm")</f>
        <v>febrero</v>
      </c>
      <c r="D1288" t="str">
        <f>TEXT(Tabla24[[#This Row],[Fecha]],"aaaa")</f>
        <v>2024</v>
      </c>
      <c r="E1288" t="s">
        <v>18</v>
      </c>
      <c r="F1288" t="s">
        <v>34</v>
      </c>
      <c r="G1288" t="s">
        <v>13</v>
      </c>
      <c r="H1288" t="s">
        <v>25</v>
      </c>
      <c r="I1288" t="s">
        <v>40</v>
      </c>
      <c r="J1288">
        <v>4</v>
      </c>
      <c r="K1288">
        <v>24122</v>
      </c>
      <c r="L1288">
        <f>Tabla24[[#This Row],[Precio_Unitario]]*Tabla24[[#This Row],[Unidades_Vendidas]]</f>
        <v>96488</v>
      </c>
      <c r="M1288" t="s">
        <v>36</v>
      </c>
    </row>
    <row r="1289" spans="1:13" x14ac:dyDescent="0.25">
      <c r="A1289" t="s">
        <v>108</v>
      </c>
      <c r="B1289" t="str">
        <f>TEXT(Tabla24[[#This Row],[Fecha]],"dddd")</f>
        <v>viernes</v>
      </c>
      <c r="C1289" t="str">
        <f>TEXT(Tabla24[[#This Row],[Fecha]],"mmmm")</f>
        <v>marzo</v>
      </c>
      <c r="D1289" t="str">
        <f>TEXT(Tabla24[[#This Row],[Fecha]],"aaaa")</f>
        <v>2024</v>
      </c>
      <c r="E1289" t="s">
        <v>11</v>
      </c>
      <c r="F1289" t="s">
        <v>34</v>
      </c>
      <c r="G1289" t="s">
        <v>39</v>
      </c>
      <c r="H1289" t="s">
        <v>35</v>
      </c>
      <c r="I1289" t="s">
        <v>40</v>
      </c>
      <c r="J1289">
        <v>17</v>
      </c>
      <c r="K1289">
        <v>53846</v>
      </c>
      <c r="L1289">
        <f>Tabla24[[#This Row],[Precio_Unitario]]*Tabla24[[#This Row],[Unidades_Vendidas]]</f>
        <v>915382</v>
      </c>
      <c r="M1289" t="s">
        <v>27</v>
      </c>
    </row>
    <row r="1290" spans="1:13" x14ac:dyDescent="0.25">
      <c r="A1290" t="s">
        <v>343</v>
      </c>
      <c r="B1290" t="str">
        <f>TEXT(Tabla24[[#This Row],[Fecha]],"dddd")</f>
        <v>lunes</v>
      </c>
      <c r="C1290" t="str">
        <f>TEXT(Tabla24[[#This Row],[Fecha]],"mmmm")</f>
        <v>diciembre</v>
      </c>
      <c r="D1290" t="str">
        <f>TEXT(Tabla24[[#This Row],[Fecha]],"aaaa")</f>
        <v>2024</v>
      </c>
      <c r="E1290" t="s">
        <v>22</v>
      </c>
      <c r="F1290" t="s">
        <v>12</v>
      </c>
      <c r="G1290" t="s">
        <v>13</v>
      </c>
      <c r="H1290" t="s">
        <v>19</v>
      </c>
      <c r="I1290" t="s">
        <v>40</v>
      </c>
      <c r="J1290">
        <v>16</v>
      </c>
      <c r="K1290">
        <v>52016</v>
      </c>
      <c r="L1290">
        <f>Tabla24[[#This Row],[Precio_Unitario]]*Tabla24[[#This Row],[Unidades_Vendidas]]</f>
        <v>832256</v>
      </c>
      <c r="M1290" t="s">
        <v>27</v>
      </c>
    </row>
    <row r="1291" spans="1:13" x14ac:dyDescent="0.25">
      <c r="A1291" t="s">
        <v>389</v>
      </c>
      <c r="B1291" t="str">
        <f>TEXT(Tabla24[[#This Row],[Fecha]],"dddd")</f>
        <v>viernes</v>
      </c>
      <c r="C1291" t="str">
        <f>TEXT(Tabla24[[#This Row],[Fecha]],"mmmm")</f>
        <v>abril</v>
      </c>
      <c r="D1291" t="str">
        <f>TEXT(Tabla24[[#This Row],[Fecha]],"aaaa")</f>
        <v>2024</v>
      </c>
      <c r="E1291" t="s">
        <v>33</v>
      </c>
      <c r="F1291" t="s">
        <v>29</v>
      </c>
      <c r="G1291" t="s">
        <v>39</v>
      </c>
      <c r="H1291" t="s">
        <v>30</v>
      </c>
      <c r="I1291" t="s">
        <v>26</v>
      </c>
      <c r="J1291">
        <v>8</v>
      </c>
      <c r="K1291">
        <v>59794</v>
      </c>
      <c r="L1291">
        <f>Tabla24[[#This Row],[Precio_Unitario]]*Tabla24[[#This Row],[Unidades_Vendidas]]</f>
        <v>478352</v>
      </c>
      <c r="M1291" t="s">
        <v>36</v>
      </c>
    </row>
    <row r="1292" spans="1:13" x14ac:dyDescent="0.25">
      <c r="A1292" t="s">
        <v>110</v>
      </c>
      <c r="B1292" t="str">
        <f>TEXT(Tabla24[[#This Row],[Fecha]],"dddd")</f>
        <v>martes</v>
      </c>
      <c r="C1292" t="str">
        <f>TEXT(Tabla24[[#This Row],[Fecha]],"mmmm")</f>
        <v>enero</v>
      </c>
      <c r="D1292" t="str">
        <f>TEXT(Tabla24[[#This Row],[Fecha]],"aaaa")</f>
        <v>2024</v>
      </c>
      <c r="E1292" t="s">
        <v>18</v>
      </c>
      <c r="F1292" t="s">
        <v>34</v>
      </c>
      <c r="G1292" t="s">
        <v>39</v>
      </c>
      <c r="H1292" t="s">
        <v>30</v>
      </c>
      <c r="I1292" t="s">
        <v>40</v>
      </c>
      <c r="J1292">
        <v>1</v>
      </c>
      <c r="K1292">
        <v>16854</v>
      </c>
      <c r="L1292">
        <f>Tabla24[[#This Row],[Precio_Unitario]]*Tabla24[[#This Row],[Unidades_Vendidas]]</f>
        <v>16854</v>
      </c>
      <c r="M1292" t="s">
        <v>16</v>
      </c>
    </row>
    <row r="1293" spans="1:13" x14ac:dyDescent="0.25">
      <c r="A1293" t="s">
        <v>317</v>
      </c>
      <c r="B1293" t="str">
        <f>TEXT(Tabla24[[#This Row],[Fecha]],"dddd")</f>
        <v>viernes</v>
      </c>
      <c r="C1293" t="str">
        <f>TEXT(Tabla24[[#This Row],[Fecha]],"mmmm")</f>
        <v>febrero</v>
      </c>
      <c r="D1293" t="str">
        <f>TEXT(Tabla24[[#This Row],[Fecha]],"aaaa")</f>
        <v>2024</v>
      </c>
      <c r="E1293" t="s">
        <v>11</v>
      </c>
      <c r="F1293" t="s">
        <v>23</v>
      </c>
      <c r="G1293" t="s">
        <v>24</v>
      </c>
      <c r="H1293" t="s">
        <v>30</v>
      </c>
      <c r="I1293" t="s">
        <v>26</v>
      </c>
      <c r="J1293">
        <v>3</v>
      </c>
      <c r="K1293">
        <v>26919</v>
      </c>
      <c r="L1293">
        <f>Tabla24[[#This Row],[Precio_Unitario]]*Tabla24[[#This Row],[Unidades_Vendidas]]</f>
        <v>80757</v>
      </c>
      <c r="M1293" t="s">
        <v>20</v>
      </c>
    </row>
    <row r="1294" spans="1:13" x14ac:dyDescent="0.25">
      <c r="A1294" t="s">
        <v>157</v>
      </c>
      <c r="B1294" t="str">
        <f>TEXT(Tabla24[[#This Row],[Fecha]],"dddd")</f>
        <v>viernes</v>
      </c>
      <c r="C1294" t="str">
        <f>TEXT(Tabla24[[#This Row],[Fecha]],"mmmm")</f>
        <v>septiembre</v>
      </c>
      <c r="D1294" t="str">
        <f>TEXT(Tabla24[[#This Row],[Fecha]],"aaaa")</f>
        <v>2024</v>
      </c>
      <c r="E1294" t="s">
        <v>22</v>
      </c>
      <c r="F1294" t="s">
        <v>12</v>
      </c>
      <c r="G1294" t="s">
        <v>44</v>
      </c>
      <c r="H1294" t="s">
        <v>14</v>
      </c>
      <c r="I1294" t="s">
        <v>26</v>
      </c>
      <c r="J1294">
        <v>13</v>
      </c>
      <c r="K1294">
        <v>43811</v>
      </c>
      <c r="L1294">
        <f>Tabla24[[#This Row],[Precio_Unitario]]*Tabla24[[#This Row],[Unidades_Vendidas]]</f>
        <v>569543</v>
      </c>
      <c r="M1294" t="s">
        <v>16</v>
      </c>
    </row>
    <row r="1295" spans="1:13" x14ac:dyDescent="0.25">
      <c r="A1295" t="s">
        <v>224</v>
      </c>
      <c r="B1295" t="str">
        <f>TEXT(Tabla24[[#This Row],[Fecha]],"dddd")</f>
        <v>lunes</v>
      </c>
      <c r="C1295" t="str">
        <f>TEXT(Tabla24[[#This Row],[Fecha]],"mmmm")</f>
        <v>agosto</v>
      </c>
      <c r="D1295" t="str">
        <f>TEXT(Tabla24[[#This Row],[Fecha]],"aaaa")</f>
        <v>2024</v>
      </c>
      <c r="E1295" t="s">
        <v>42</v>
      </c>
      <c r="F1295" t="s">
        <v>34</v>
      </c>
      <c r="G1295" t="s">
        <v>24</v>
      </c>
      <c r="H1295" t="s">
        <v>35</v>
      </c>
      <c r="I1295" t="s">
        <v>26</v>
      </c>
      <c r="J1295">
        <v>17</v>
      </c>
      <c r="K1295">
        <v>42383</v>
      </c>
      <c r="L1295">
        <f>Tabla24[[#This Row],[Precio_Unitario]]*Tabla24[[#This Row],[Unidades_Vendidas]]</f>
        <v>720511</v>
      </c>
      <c r="M1295" t="s">
        <v>20</v>
      </c>
    </row>
    <row r="1296" spans="1:13" x14ac:dyDescent="0.25">
      <c r="A1296" t="s">
        <v>32</v>
      </c>
      <c r="B1296" t="str">
        <f>TEXT(Tabla24[[#This Row],[Fecha]],"dddd")</f>
        <v>viernes</v>
      </c>
      <c r="C1296" t="str">
        <f>TEXT(Tabla24[[#This Row],[Fecha]],"mmmm")</f>
        <v>mayo</v>
      </c>
      <c r="D1296" t="str">
        <f>TEXT(Tabla24[[#This Row],[Fecha]],"aaaa")</f>
        <v>2024</v>
      </c>
      <c r="E1296" t="s">
        <v>33</v>
      </c>
      <c r="F1296" t="s">
        <v>29</v>
      </c>
      <c r="G1296" t="s">
        <v>44</v>
      </c>
      <c r="H1296" t="s">
        <v>25</v>
      </c>
      <c r="I1296" t="s">
        <v>15</v>
      </c>
      <c r="J1296">
        <v>9</v>
      </c>
      <c r="K1296">
        <v>44089</v>
      </c>
      <c r="L1296">
        <f>Tabla24[[#This Row],[Precio_Unitario]]*Tabla24[[#This Row],[Unidades_Vendidas]]</f>
        <v>396801</v>
      </c>
      <c r="M1296" t="s">
        <v>20</v>
      </c>
    </row>
    <row r="1297" spans="1:13" x14ac:dyDescent="0.25">
      <c r="A1297" t="s">
        <v>103</v>
      </c>
      <c r="B1297" t="str">
        <f>TEXT(Tabla24[[#This Row],[Fecha]],"dddd")</f>
        <v>martes</v>
      </c>
      <c r="C1297" t="str">
        <f>TEXT(Tabla24[[#This Row],[Fecha]],"mmmm")</f>
        <v>febrero</v>
      </c>
      <c r="D1297" t="str">
        <f>TEXT(Tabla24[[#This Row],[Fecha]],"aaaa")</f>
        <v>2024</v>
      </c>
      <c r="E1297" t="s">
        <v>22</v>
      </c>
      <c r="F1297" t="s">
        <v>34</v>
      </c>
      <c r="G1297" t="s">
        <v>48</v>
      </c>
      <c r="H1297" t="s">
        <v>30</v>
      </c>
      <c r="I1297" t="s">
        <v>26</v>
      </c>
      <c r="J1297">
        <v>1</v>
      </c>
      <c r="K1297">
        <v>29613</v>
      </c>
      <c r="L1297">
        <f>Tabla24[[#This Row],[Precio_Unitario]]*Tabla24[[#This Row],[Unidades_Vendidas]]</f>
        <v>29613</v>
      </c>
      <c r="M1297" t="s">
        <v>20</v>
      </c>
    </row>
    <row r="1298" spans="1:13" x14ac:dyDescent="0.25">
      <c r="A1298" t="s">
        <v>284</v>
      </c>
      <c r="B1298" t="str">
        <f>TEXT(Tabla24[[#This Row],[Fecha]],"dddd")</f>
        <v>martes</v>
      </c>
      <c r="C1298" t="str">
        <f>TEXT(Tabla24[[#This Row],[Fecha]],"mmmm")</f>
        <v>noviembre</v>
      </c>
      <c r="D1298" t="str">
        <f>TEXT(Tabla24[[#This Row],[Fecha]],"aaaa")</f>
        <v>2024</v>
      </c>
      <c r="E1298" t="s">
        <v>18</v>
      </c>
      <c r="F1298" t="s">
        <v>23</v>
      </c>
      <c r="G1298" t="s">
        <v>13</v>
      </c>
      <c r="H1298" t="s">
        <v>19</v>
      </c>
      <c r="I1298" t="s">
        <v>15</v>
      </c>
      <c r="J1298">
        <v>11</v>
      </c>
      <c r="K1298">
        <v>48331</v>
      </c>
      <c r="L1298">
        <f>Tabla24[[#This Row],[Precio_Unitario]]*Tabla24[[#This Row],[Unidades_Vendidas]]</f>
        <v>531641</v>
      </c>
      <c r="M1298" t="s">
        <v>27</v>
      </c>
    </row>
    <row r="1299" spans="1:13" x14ac:dyDescent="0.25">
      <c r="A1299" t="s">
        <v>159</v>
      </c>
      <c r="B1299" t="str">
        <f>TEXT(Tabla24[[#This Row],[Fecha]],"dddd")</f>
        <v>jueves</v>
      </c>
      <c r="C1299" t="str">
        <f>TEXT(Tabla24[[#This Row],[Fecha]],"mmmm")</f>
        <v>febrero</v>
      </c>
      <c r="D1299" t="str">
        <f>TEXT(Tabla24[[#This Row],[Fecha]],"aaaa")</f>
        <v>2024</v>
      </c>
      <c r="E1299" t="s">
        <v>33</v>
      </c>
      <c r="F1299" t="s">
        <v>34</v>
      </c>
      <c r="G1299" t="s">
        <v>24</v>
      </c>
      <c r="H1299" t="s">
        <v>35</v>
      </c>
      <c r="I1299" t="s">
        <v>40</v>
      </c>
      <c r="J1299">
        <v>10</v>
      </c>
      <c r="K1299">
        <v>39283</v>
      </c>
      <c r="L1299">
        <f>Tabla24[[#This Row],[Precio_Unitario]]*Tabla24[[#This Row],[Unidades_Vendidas]]</f>
        <v>392830</v>
      </c>
      <c r="M1299" t="s">
        <v>36</v>
      </c>
    </row>
    <row r="1300" spans="1:13" x14ac:dyDescent="0.25">
      <c r="A1300" t="s">
        <v>361</v>
      </c>
      <c r="B1300" t="str">
        <f>TEXT(Tabla24[[#This Row],[Fecha]],"dddd")</f>
        <v>martes</v>
      </c>
      <c r="C1300" t="str">
        <f>TEXT(Tabla24[[#This Row],[Fecha]],"mmmm")</f>
        <v>junio</v>
      </c>
      <c r="D1300" t="str">
        <f>TEXT(Tabla24[[#This Row],[Fecha]],"aaaa")</f>
        <v>2024</v>
      </c>
      <c r="E1300" t="s">
        <v>22</v>
      </c>
      <c r="F1300" t="s">
        <v>29</v>
      </c>
      <c r="G1300" t="s">
        <v>39</v>
      </c>
      <c r="H1300" t="s">
        <v>19</v>
      </c>
      <c r="I1300" t="s">
        <v>40</v>
      </c>
      <c r="J1300">
        <v>11</v>
      </c>
      <c r="K1300">
        <v>50360</v>
      </c>
      <c r="L1300">
        <f>Tabla24[[#This Row],[Precio_Unitario]]*Tabla24[[#This Row],[Unidades_Vendidas]]</f>
        <v>553960</v>
      </c>
      <c r="M1300" t="s">
        <v>27</v>
      </c>
    </row>
    <row r="1301" spans="1:13" x14ac:dyDescent="0.25">
      <c r="A1301" t="s">
        <v>204</v>
      </c>
      <c r="B1301" t="str">
        <f>TEXT(Tabla24[[#This Row],[Fecha]],"dddd")</f>
        <v>lunes</v>
      </c>
      <c r="C1301" t="str">
        <f>TEXT(Tabla24[[#This Row],[Fecha]],"mmmm")</f>
        <v>enero</v>
      </c>
      <c r="D1301" t="str">
        <f>TEXT(Tabla24[[#This Row],[Fecha]],"aaaa")</f>
        <v>2024</v>
      </c>
      <c r="E1301" t="s">
        <v>18</v>
      </c>
      <c r="F1301" t="s">
        <v>12</v>
      </c>
      <c r="G1301" t="s">
        <v>24</v>
      </c>
      <c r="H1301" t="s">
        <v>25</v>
      </c>
      <c r="I1301" t="s">
        <v>15</v>
      </c>
      <c r="J1301">
        <v>3</v>
      </c>
      <c r="K1301">
        <v>32747</v>
      </c>
      <c r="L1301">
        <f>Tabla24[[#This Row],[Precio_Unitario]]*Tabla24[[#This Row],[Unidades_Vendidas]]</f>
        <v>98241</v>
      </c>
      <c r="M1301" t="s">
        <v>20</v>
      </c>
    </row>
    <row r="1302" spans="1:13" x14ac:dyDescent="0.25">
      <c r="A1302" t="s">
        <v>329</v>
      </c>
      <c r="B1302" t="str">
        <f>TEXT(Tabla24[[#This Row],[Fecha]],"dddd")</f>
        <v>sábado</v>
      </c>
      <c r="C1302" t="str">
        <f>TEXT(Tabla24[[#This Row],[Fecha]],"mmmm")</f>
        <v>agosto</v>
      </c>
      <c r="D1302" t="str">
        <f>TEXT(Tabla24[[#This Row],[Fecha]],"aaaa")</f>
        <v>2024</v>
      </c>
      <c r="E1302" t="s">
        <v>33</v>
      </c>
      <c r="F1302" t="s">
        <v>12</v>
      </c>
      <c r="G1302" t="s">
        <v>13</v>
      </c>
      <c r="H1302" t="s">
        <v>30</v>
      </c>
      <c r="I1302" t="s">
        <v>26</v>
      </c>
      <c r="J1302">
        <v>13</v>
      </c>
      <c r="K1302">
        <v>49134</v>
      </c>
      <c r="L1302">
        <f>Tabla24[[#This Row],[Precio_Unitario]]*Tabla24[[#This Row],[Unidades_Vendidas]]</f>
        <v>638742</v>
      </c>
      <c r="M1302" t="s">
        <v>16</v>
      </c>
    </row>
    <row r="1303" spans="1:13" x14ac:dyDescent="0.25">
      <c r="A1303" t="s">
        <v>315</v>
      </c>
      <c r="B1303" t="str">
        <f>TEXT(Tabla24[[#This Row],[Fecha]],"dddd")</f>
        <v>domingo</v>
      </c>
      <c r="C1303" t="str">
        <f>TEXT(Tabla24[[#This Row],[Fecha]],"mmmm")</f>
        <v>diciembre</v>
      </c>
      <c r="D1303" t="str">
        <f>TEXT(Tabla24[[#This Row],[Fecha]],"aaaa")</f>
        <v>2024</v>
      </c>
      <c r="E1303" t="s">
        <v>22</v>
      </c>
      <c r="F1303" t="s">
        <v>34</v>
      </c>
      <c r="G1303" t="s">
        <v>44</v>
      </c>
      <c r="H1303" t="s">
        <v>30</v>
      </c>
      <c r="I1303" t="s">
        <v>40</v>
      </c>
      <c r="J1303">
        <v>20</v>
      </c>
      <c r="K1303">
        <v>40352</v>
      </c>
      <c r="L1303">
        <f>Tabla24[[#This Row],[Precio_Unitario]]*Tabla24[[#This Row],[Unidades_Vendidas]]</f>
        <v>807040</v>
      </c>
      <c r="M1303" t="s">
        <v>20</v>
      </c>
    </row>
    <row r="1304" spans="1:13" x14ac:dyDescent="0.25">
      <c r="A1304" t="s">
        <v>182</v>
      </c>
      <c r="B1304" t="str">
        <f>TEXT(Tabla24[[#This Row],[Fecha]],"dddd")</f>
        <v>martes</v>
      </c>
      <c r="C1304" t="str">
        <f>TEXT(Tabla24[[#This Row],[Fecha]],"mmmm")</f>
        <v>diciembre</v>
      </c>
      <c r="D1304" t="str">
        <f>TEXT(Tabla24[[#This Row],[Fecha]],"aaaa")</f>
        <v>2024</v>
      </c>
      <c r="E1304" t="s">
        <v>33</v>
      </c>
      <c r="F1304" t="s">
        <v>12</v>
      </c>
      <c r="G1304" t="s">
        <v>44</v>
      </c>
      <c r="H1304" t="s">
        <v>35</v>
      </c>
      <c r="I1304" t="s">
        <v>15</v>
      </c>
      <c r="J1304">
        <v>14</v>
      </c>
      <c r="K1304">
        <v>50479</v>
      </c>
      <c r="L1304">
        <f>Tabla24[[#This Row],[Precio_Unitario]]*Tabla24[[#This Row],[Unidades_Vendidas]]</f>
        <v>706706</v>
      </c>
      <c r="M1304" t="s">
        <v>16</v>
      </c>
    </row>
    <row r="1305" spans="1:13" x14ac:dyDescent="0.25">
      <c r="A1305" t="s">
        <v>362</v>
      </c>
      <c r="B1305" t="str">
        <f>TEXT(Tabla24[[#This Row],[Fecha]],"dddd")</f>
        <v>jueves</v>
      </c>
      <c r="C1305" t="str">
        <f>TEXT(Tabla24[[#This Row],[Fecha]],"mmmm")</f>
        <v>septiembre</v>
      </c>
      <c r="D1305" t="str">
        <f>TEXT(Tabla24[[#This Row],[Fecha]],"aaaa")</f>
        <v>2024</v>
      </c>
      <c r="E1305" t="s">
        <v>11</v>
      </c>
      <c r="F1305" t="s">
        <v>29</v>
      </c>
      <c r="G1305" t="s">
        <v>44</v>
      </c>
      <c r="H1305" t="s">
        <v>35</v>
      </c>
      <c r="I1305" t="s">
        <v>15</v>
      </c>
      <c r="J1305">
        <v>17</v>
      </c>
      <c r="K1305">
        <v>23265</v>
      </c>
      <c r="L1305">
        <f>Tabla24[[#This Row],[Precio_Unitario]]*Tabla24[[#This Row],[Unidades_Vendidas]]</f>
        <v>395505</v>
      </c>
      <c r="M1305" t="s">
        <v>20</v>
      </c>
    </row>
    <row r="1306" spans="1:13" x14ac:dyDescent="0.25">
      <c r="A1306" t="s">
        <v>348</v>
      </c>
      <c r="B1306" t="str">
        <f>TEXT(Tabla24[[#This Row],[Fecha]],"dddd")</f>
        <v>lunes</v>
      </c>
      <c r="C1306" t="str">
        <f>TEXT(Tabla24[[#This Row],[Fecha]],"mmmm")</f>
        <v>julio</v>
      </c>
      <c r="D1306" t="str">
        <f>TEXT(Tabla24[[#This Row],[Fecha]],"aaaa")</f>
        <v>2024</v>
      </c>
      <c r="E1306" t="s">
        <v>11</v>
      </c>
      <c r="F1306" t="s">
        <v>29</v>
      </c>
      <c r="G1306" t="s">
        <v>44</v>
      </c>
      <c r="H1306" t="s">
        <v>30</v>
      </c>
      <c r="I1306" t="s">
        <v>40</v>
      </c>
      <c r="J1306">
        <v>3</v>
      </c>
      <c r="K1306">
        <v>35934</v>
      </c>
      <c r="L1306">
        <f>Tabla24[[#This Row],[Precio_Unitario]]*Tabla24[[#This Row],[Unidades_Vendidas]]</f>
        <v>107802</v>
      </c>
      <c r="M1306" t="s">
        <v>20</v>
      </c>
    </row>
    <row r="1307" spans="1:13" x14ac:dyDescent="0.25">
      <c r="A1307" t="s">
        <v>103</v>
      </c>
      <c r="B1307" t="str">
        <f>TEXT(Tabla24[[#This Row],[Fecha]],"dddd")</f>
        <v>martes</v>
      </c>
      <c r="C1307" t="str">
        <f>TEXT(Tabla24[[#This Row],[Fecha]],"mmmm")</f>
        <v>febrero</v>
      </c>
      <c r="D1307" t="str">
        <f>TEXT(Tabla24[[#This Row],[Fecha]],"aaaa")</f>
        <v>2024</v>
      </c>
      <c r="E1307" t="s">
        <v>33</v>
      </c>
      <c r="F1307" t="s">
        <v>23</v>
      </c>
      <c r="G1307" t="s">
        <v>44</v>
      </c>
      <c r="H1307" t="s">
        <v>25</v>
      </c>
      <c r="I1307" t="s">
        <v>15</v>
      </c>
      <c r="J1307">
        <v>9</v>
      </c>
      <c r="K1307">
        <v>49841</v>
      </c>
      <c r="L1307">
        <f>Tabla24[[#This Row],[Precio_Unitario]]*Tabla24[[#This Row],[Unidades_Vendidas]]</f>
        <v>448569</v>
      </c>
      <c r="M1307" t="s">
        <v>20</v>
      </c>
    </row>
    <row r="1308" spans="1:13" x14ac:dyDescent="0.25">
      <c r="A1308" t="s">
        <v>391</v>
      </c>
      <c r="B1308" t="str">
        <f>TEXT(Tabla24[[#This Row],[Fecha]],"dddd")</f>
        <v>jueves</v>
      </c>
      <c r="C1308" t="str">
        <f>TEXT(Tabla24[[#This Row],[Fecha]],"mmmm")</f>
        <v>mayo</v>
      </c>
      <c r="D1308" t="str">
        <f>TEXT(Tabla24[[#This Row],[Fecha]],"aaaa")</f>
        <v>2024</v>
      </c>
      <c r="E1308" t="s">
        <v>33</v>
      </c>
      <c r="F1308" t="s">
        <v>23</v>
      </c>
      <c r="G1308" t="s">
        <v>13</v>
      </c>
      <c r="H1308" t="s">
        <v>25</v>
      </c>
      <c r="I1308" t="s">
        <v>40</v>
      </c>
      <c r="J1308">
        <v>17</v>
      </c>
      <c r="K1308">
        <v>27241</v>
      </c>
      <c r="L1308">
        <f>Tabla24[[#This Row],[Precio_Unitario]]*Tabla24[[#This Row],[Unidades_Vendidas]]</f>
        <v>463097</v>
      </c>
      <c r="M1308" t="s">
        <v>16</v>
      </c>
    </row>
    <row r="1309" spans="1:13" x14ac:dyDescent="0.25">
      <c r="A1309" t="s">
        <v>108</v>
      </c>
      <c r="B1309" t="str">
        <f>TEXT(Tabla24[[#This Row],[Fecha]],"dddd")</f>
        <v>viernes</v>
      </c>
      <c r="C1309" t="str">
        <f>TEXT(Tabla24[[#This Row],[Fecha]],"mmmm")</f>
        <v>marzo</v>
      </c>
      <c r="D1309" t="str">
        <f>TEXT(Tabla24[[#This Row],[Fecha]],"aaaa")</f>
        <v>2024</v>
      </c>
      <c r="E1309" t="s">
        <v>18</v>
      </c>
      <c r="F1309" t="s">
        <v>34</v>
      </c>
      <c r="G1309" t="s">
        <v>39</v>
      </c>
      <c r="H1309" t="s">
        <v>30</v>
      </c>
      <c r="I1309" t="s">
        <v>15</v>
      </c>
      <c r="J1309">
        <v>14</v>
      </c>
      <c r="K1309">
        <v>58753</v>
      </c>
      <c r="L1309">
        <f>Tabla24[[#This Row],[Precio_Unitario]]*Tabla24[[#This Row],[Unidades_Vendidas]]</f>
        <v>822542</v>
      </c>
      <c r="M1309" t="s">
        <v>16</v>
      </c>
    </row>
    <row r="1310" spans="1:13" x14ac:dyDescent="0.25">
      <c r="A1310" t="s">
        <v>96</v>
      </c>
      <c r="B1310" t="str">
        <f>TEXT(Tabla24[[#This Row],[Fecha]],"dddd")</f>
        <v>domingo</v>
      </c>
      <c r="C1310" t="str">
        <f>TEXT(Tabla24[[#This Row],[Fecha]],"mmmm")</f>
        <v>agosto</v>
      </c>
      <c r="D1310" t="str">
        <f>TEXT(Tabla24[[#This Row],[Fecha]],"aaaa")</f>
        <v>2024</v>
      </c>
      <c r="E1310" t="s">
        <v>42</v>
      </c>
      <c r="F1310" t="s">
        <v>38</v>
      </c>
      <c r="G1310" t="s">
        <v>39</v>
      </c>
      <c r="H1310" t="s">
        <v>35</v>
      </c>
      <c r="I1310" t="s">
        <v>15</v>
      </c>
      <c r="J1310">
        <v>7</v>
      </c>
      <c r="K1310">
        <v>51726</v>
      </c>
      <c r="L1310">
        <f>Tabla24[[#This Row],[Precio_Unitario]]*Tabla24[[#This Row],[Unidades_Vendidas]]</f>
        <v>362082</v>
      </c>
      <c r="M1310" t="s">
        <v>20</v>
      </c>
    </row>
    <row r="1311" spans="1:13" x14ac:dyDescent="0.25">
      <c r="A1311" t="s">
        <v>124</v>
      </c>
      <c r="B1311" t="str">
        <f>TEXT(Tabla24[[#This Row],[Fecha]],"dddd")</f>
        <v>sábado</v>
      </c>
      <c r="C1311" t="str">
        <f>TEXT(Tabla24[[#This Row],[Fecha]],"mmmm")</f>
        <v>junio</v>
      </c>
      <c r="D1311" t="str">
        <f>TEXT(Tabla24[[#This Row],[Fecha]],"aaaa")</f>
        <v>2024</v>
      </c>
      <c r="E1311" t="s">
        <v>11</v>
      </c>
      <c r="F1311" t="s">
        <v>29</v>
      </c>
      <c r="G1311" t="s">
        <v>44</v>
      </c>
      <c r="H1311" t="s">
        <v>25</v>
      </c>
      <c r="I1311" t="s">
        <v>26</v>
      </c>
      <c r="J1311">
        <v>11</v>
      </c>
      <c r="K1311">
        <v>15097</v>
      </c>
      <c r="L1311">
        <f>Tabla24[[#This Row],[Precio_Unitario]]*Tabla24[[#This Row],[Unidades_Vendidas]]</f>
        <v>166067</v>
      </c>
      <c r="M1311" t="s">
        <v>16</v>
      </c>
    </row>
    <row r="1312" spans="1:13" x14ac:dyDescent="0.25">
      <c r="A1312" t="s">
        <v>235</v>
      </c>
      <c r="B1312" t="str">
        <f>TEXT(Tabla24[[#This Row],[Fecha]],"dddd")</f>
        <v>jueves</v>
      </c>
      <c r="C1312" t="str">
        <f>TEXT(Tabla24[[#This Row],[Fecha]],"mmmm")</f>
        <v>diciembre</v>
      </c>
      <c r="D1312" t="str">
        <f>TEXT(Tabla24[[#This Row],[Fecha]],"aaaa")</f>
        <v>2024</v>
      </c>
      <c r="E1312" t="s">
        <v>22</v>
      </c>
      <c r="F1312" t="s">
        <v>29</v>
      </c>
      <c r="G1312" t="s">
        <v>48</v>
      </c>
      <c r="H1312" t="s">
        <v>25</v>
      </c>
      <c r="I1312" t="s">
        <v>26</v>
      </c>
      <c r="J1312">
        <v>14</v>
      </c>
      <c r="K1312">
        <v>18879</v>
      </c>
      <c r="L1312">
        <f>Tabla24[[#This Row],[Precio_Unitario]]*Tabla24[[#This Row],[Unidades_Vendidas]]</f>
        <v>264306</v>
      </c>
      <c r="M1312" t="s">
        <v>16</v>
      </c>
    </row>
    <row r="1313" spans="1:13" x14ac:dyDescent="0.25">
      <c r="A1313" t="s">
        <v>71</v>
      </c>
      <c r="B1313" t="str">
        <f>TEXT(Tabla24[[#This Row],[Fecha]],"dddd")</f>
        <v>martes</v>
      </c>
      <c r="C1313" t="str">
        <f>TEXT(Tabla24[[#This Row],[Fecha]],"mmmm")</f>
        <v>julio</v>
      </c>
      <c r="D1313" t="str">
        <f>TEXT(Tabla24[[#This Row],[Fecha]],"aaaa")</f>
        <v>2024</v>
      </c>
      <c r="E1313" t="s">
        <v>22</v>
      </c>
      <c r="F1313" t="s">
        <v>23</v>
      </c>
      <c r="G1313" t="s">
        <v>13</v>
      </c>
      <c r="H1313" t="s">
        <v>30</v>
      </c>
      <c r="I1313" t="s">
        <v>26</v>
      </c>
      <c r="J1313">
        <v>13</v>
      </c>
      <c r="K1313">
        <v>51948</v>
      </c>
      <c r="L1313">
        <f>Tabla24[[#This Row],[Precio_Unitario]]*Tabla24[[#This Row],[Unidades_Vendidas]]</f>
        <v>675324</v>
      </c>
      <c r="M1313" t="s">
        <v>20</v>
      </c>
    </row>
    <row r="1314" spans="1:13" x14ac:dyDescent="0.25">
      <c r="A1314" t="s">
        <v>133</v>
      </c>
      <c r="B1314" t="str">
        <f>TEXT(Tabla24[[#This Row],[Fecha]],"dddd")</f>
        <v>viernes</v>
      </c>
      <c r="C1314" t="str">
        <f>TEXT(Tabla24[[#This Row],[Fecha]],"mmmm")</f>
        <v>junio</v>
      </c>
      <c r="D1314" t="str">
        <f>TEXT(Tabla24[[#This Row],[Fecha]],"aaaa")</f>
        <v>2024</v>
      </c>
      <c r="E1314" t="s">
        <v>11</v>
      </c>
      <c r="F1314" t="s">
        <v>23</v>
      </c>
      <c r="G1314" t="s">
        <v>24</v>
      </c>
      <c r="H1314" t="s">
        <v>35</v>
      </c>
      <c r="I1314" t="s">
        <v>40</v>
      </c>
      <c r="J1314">
        <v>9</v>
      </c>
      <c r="K1314">
        <v>26417</v>
      </c>
      <c r="L1314">
        <f>Tabla24[[#This Row],[Precio_Unitario]]*Tabla24[[#This Row],[Unidades_Vendidas]]</f>
        <v>237753</v>
      </c>
      <c r="M1314" t="s">
        <v>20</v>
      </c>
    </row>
    <row r="1315" spans="1:13" x14ac:dyDescent="0.25">
      <c r="A1315" t="s">
        <v>187</v>
      </c>
      <c r="B1315" t="str">
        <f>TEXT(Tabla24[[#This Row],[Fecha]],"dddd")</f>
        <v>jueves</v>
      </c>
      <c r="C1315" t="str">
        <f>TEXT(Tabla24[[#This Row],[Fecha]],"mmmm")</f>
        <v>mayo</v>
      </c>
      <c r="D1315" t="str">
        <f>TEXT(Tabla24[[#This Row],[Fecha]],"aaaa")</f>
        <v>2024</v>
      </c>
      <c r="E1315" t="s">
        <v>33</v>
      </c>
      <c r="F1315" t="s">
        <v>34</v>
      </c>
      <c r="G1315" t="s">
        <v>39</v>
      </c>
      <c r="H1315" t="s">
        <v>30</v>
      </c>
      <c r="I1315" t="s">
        <v>15</v>
      </c>
      <c r="J1315">
        <v>20</v>
      </c>
      <c r="K1315">
        <v>35882</v>
      </c>
      <c r="L1315">
        <f>Tabla24[[#This Row],[Precio_Unitario]]*Tabla24[[#This Row],[Unidades_Vendidas]]</f>
        <v>717640</v>
      </c>
      <c r="M1315" t="s">
        <v>20</v>
      </c>
    </row>
    <row r="1316" spans="1:13" x14ac:dyDescent="0.25">
      <c r="A1316" t="s">
        <v>247</v>
      </c>
      <c r="B1316" t="str">
        <f>TEXT(Tabla24[[#This Row],[Fecha]],"dddd")</f>
        <v>miércoles</v>
      </c>
      <c r="C1316" t="str">
        <f>TEXT(Tabla24[[#This Row],[Fecha]],"mmmm")</f>
        <v>febrero</v>
      </c>
      <c r="D1316" t="str">
        <f>TEXT(Tabla24[[#This Row],[Fecha]],"aaaa")</f>
        <v>2024</v>
      </c>
      <c r="E1316" t="s">
        <v>33</v>
      </c>
      <c r="F1316" t="s">
        <v>12</v>
      </c>
      <c r="G1316" t="s">
        <v>48</v>
      </c>
      <c r="H1316" t="s">
        <v>35</v>
      </c>
      <c r="I1316" t="s">
        <v>15</v>
      </c>
      <c r="J1316">
        <v>2</v>
      </c>
      <c r="K1316">
        <v>29181</v>
      </c>
      <c r="L1316">
        <f>Tabla24[[#This Row],[Precio_Unitario]]*Tabla24[[#This Row],[Unidades_Vendidas]]</f>
        <v>58362</v>
      </c>
      <c r="M1316" t="s">
        <v>20</v>
      </c>
    </row>
    <row r="1317" spans="1:13" x14ac:dyDescent="0.25">
      <c r="A1317" t="s">
        <v>285</v>
      </c>
      <c r="B1317" t="str">
        <f>TEXT(Tabla24[[#This Row],[Fecha]],"dddd")</f>
        <v>miércoles</v>
      </c>
      <c r="C1317" t="str">
        <f>TEXT(Tabla24[[#This Row],[Fecha]],"mmmm")</f>
        <v>octubre</v>
      </c>
      <c r="D1317" t="str">
        <f>TEXT(Tabla24[[#This Row],[Fecha]],"aaaa")</f>
        <v>2024</v>
      </c>
      <c r="E1317" t="s">
        <v>22</v>
      </c>
      <c r="F1317" t="s">
        <v>38</v>
      </c>
      <c r="G1317" t="s">
        <v>44</v>
      </c>
      <c r="H1317" t="s">
        <v>19</v>
      </c>
      <c r="I1317" t="s">
        <v>15</v>
      </c>
      <c r="J1317">
        <v>15</v>
      </c>
      <c r="K1317">
        <v>27744</v>
      </c>
      <c r="L1317">
        <f>Tabla24[[#This Row],[Precio_Unitario]]*Tabla24[[#This Row],[Unidades_Vendidas]]</f>
        <v>416160</v>
      </c>
      <c r="M1317" t="s">
        <v>36</v>
      </c>
    </row>
    <row r="1318" spans="1:13" x14ac:dyDescent="0.25">
      <c r="A1318" t="s">
        <v>373</v>
      </c>
      <c r="B1318" t="str">
        <f>TEXT(Tabla24[[#This Row],[Fecha]],"dddd")</f>
        <v>jueves</v>
      </c>
      <c r="C1318" t="str">
        <f>TEXT(Tabla24[[#This Row],[Fecha]],"mmmm")</f>
        <v>febrero</v>
      </c>
      <c r="D1318" t="str">
        <f>TEXT(Tabla24[[#This Row],[Fecha]],"aaaa")</f>
        <v>2024</v>
      </c>
      <c r="E1318" t="s">
        <v>33</v>
      </c>
      <c r="F1318" t="s">
        <v>38</v>
      </c>
      <c r="G1318" t="s">
        <v>44</v>
      </c>
      <c r="H1318" t="s">
        <v>19</v>
      </c>
      <c r="I1318" t="s">
        <v>26</v>
      </c>
      <c r="J1318">
        <v>19</v>
      </c>
      <c r="K1318">
        <v>48116</v>
      </c>
      <c r="L1318">
        <f>Tabla24[[#This Row],[Precio_Unitario]]*Tabla24[[#This Row],[Unidades_Vendidas]]</f>
        <v>914204</v>
      </c>
      <c r="M1318" t="s">
        <v>27</v>
      </c>
    </row>
    <row r="1319" spans="1:13" x14ac:dyDescent="0.25">
      <c r="A1319" t="s">
        <v>304</v>
      </c>
      <c r="B1319" t="str">
        <f>TEXT(Tabla24[[#This Row],[Fecha]],"dddd")</f>
        <v>martes</v>
      </c>
      <c r="C1319" t="str">
        <f>TEXT(Tabla24[[#This Row],[Fecha]],"mmmm")</f>
        <v>agosto</v>
      </c>
      <c r="D1319" t="str">
        <f>TEXT(Tabla24[[#This Row],[Fecha]],"aaaa")</f>
        <v>2024</v>
      </c>
      <c r="E1319" t="s">
        <v>22</v>
      </c>
      <c r="F1319" t="s">
        <v>29</v>
      </c>
      <c r="G1319" t="s">
        <v>39</v>
      </c>
      <c r="H1319" t="s">
        <v>30</v>
      </c>
      <c r="I1319" t="s">
        <v>26</v>
      </c>
      <c r="J1319">
        <v>17</v>
      </c>
      <c r="K1319">
        <v>34833</v>
      </c>
      <c r="L1319">
        <f>Tabla24[[#This Row],[Precio_Unitario]]*Tabla24[[#This Row],[Unidades_Vendidas]]</f>
        <v>592161</v>
      </c>
      <c r="M1319" t="s">
        <v>36</v>
      </c>
    </row>
    <row r="1320" spans="1:13" x14ac:dyDescent="0.25">
      <c r="A1320" t="s">
        <v>114</v>
      </c>
      <c r="B1320" t="str">
        <f>TEXT(Tabla24[[#This Row],[Fecha]],"dddd")</f>
        <v>domingo</v>
      </c>
      <c r="C1320" t="str">
        <f>TEXT(Tabla24[[#This Row],[Fecha]],"mmmm")</f>
        <v>junio</v>
      </c>
      <c r="D1320" t="str">
        <f>TEXT(Tabla24[[#This Row],[Fecha]],"aaaa")</f>
        <v>2024</v>
      </c>
      <c r="E1320" t="s">
        <v>22</v>
      </c>
      <c r="F1320" t="s">
        <v>38</v>
      </c>
      <c r="G1320" t="s">
        <v>13</v>
      </c>
      <c r="H1320" t="s">
        <v>25</v>
      </c>
      <c r="I1320" t="s">
        <v>40</v>
      </c>
      <c r="J1320">
        <v>7</v>
      </c>
      <c r="K1320">
        <v>45128</v>
      </c>
      <c r="L1320">
        <f>Tabla24[[#This Row],[Precio_Unitario]]*Tabla24[[#This Row],[Unidades_Vendidas]]</f>
        <v>315896</v>
      </c>
      <c r="M1320" t="s">
        <v>20</v>
      </c>
    </row>
    <row r="1321" spans="1:13" x14ac:dyDescent="0.25">
      <c r="A1321" t="s">
        <v>197</v>
      </c>
      <c r="B1321" t="str">
        <f>TEXT(Tabla24[[#This Row],[Fecha]],"dddd")</f>
        <v>miércoles</v>
      </c>
      <c r="C1321" t="str">
        <f>TEXT(Tabla24[[#This Row],[Fecha]],"mmmm")</f>
        <v>junio</v>
      </c>
      <c r="D1321" t="str">
        <f>TEXT(Tabla24[[#This Row],[Fecha]],"aaaa")</f>
        <v>2024</v>
      </c>
      <c r="E1321" t="s">
        <v>42</v>
      </c>
      <c r="F1321" t="s">
        <v>38</v>
      </c>
      <c r="G1321" t="s">
        <v>39</v>
      </c>
      <c r="H1321" t="s">
        <v>25</v>
      </c>
      <c r="I1321" t="s">
        <v>40</v>
      </c>
      <c r="J1321">
        <v>2</v>
      </c>
      <c r="K1321">
        <v>48939</v>
      </c>
      <c r="L1321">
        <f>Tabla24[[#This Row],[Precio_Unitario]]*Tabla24[[#This Row],[Unidades_Vendidas]]</f>
        <v>97878</v>
      </c>
      <c r="M1321" t="s">
        <v>20</v>
      </c>
    </row>
    <row r="1322" spans="1:13" x14ac:dyDescent="0.25">
      <c r="A1322" t="s">
        <v>84</v>
      </c>
      <c r="B1322" t="str">
        <f>TEXT(Tabla24[[#This Row],[Fecha]],"dddd")</f>
        <v>miércoles</v>
      </c>
      <c r="C1322" t="str">
        <f>TEXT(Tabla24[[#This Row],[Fecha]],"mmmm")</f>
        <v>febrero</v>
      </c>
      <c r="D1322" t="str">
        <f>TEXT(Tabla24[[#This Row],[Fecha]],"aaaa")</f>
        <v>2024</v>
      </c>
      <c r="E1322" t="s">
        <v>22</v>
      </c>
      <c r="F1322" t="s">
        <v>38</v>
      </c>
      <c r="G1322" t="s">
        <v>39</v>
      </c>
      <c r="H1322" t="s">
        <v>30</v>
      </c>
      <c r="I1322" t="s">
        <v>15</v>
      </c>
      <c r="J1322">
        <v>3</v>
      </c>
      <c r="K1322">
        <v>58351</v>
      </c>
      <c r="L1322">
        <f>Tabla24[[#This Row],[Precio_Unitario]]*Tabla24[[#This Row],[Unidades_Vendidas]]</f>
        <v>175053</v>
      </c>
      <c r="M1322" t="s">
        <v>16</v>
      </c>
    </row>
    <row r="1323" spans="1:13" x14ac:dyDescent="0.25">
      <c r="A1323" t="s">
        <v>47</v>
      </c>
      <c r="B1323" t="str">
        <f>TEXT(Tabla24[[#This Row],[Fecha]],"dddd")</f>
        <v>miércoles</v>
      </c>
      <c r="C1323" t="str">
        <f>TEXT(Tabla24[[#This Row],[Fecha]],"mmmm")</f>
        <v>septiembre</v>
      </c>
      <c r="D1323" t="str">
        <f>TEXT(Tabla24[[#This Row],[Fecha]],"aaaa")</f>
        <v>2024</v>
      </c>
      <c r="E1323" t="s">
        <v>33</v>
      </c>
      <c r="F1323" t="s">
        <v>34</v>
      </c>
      <c r="G1323" t="s">
        <v>44</v>
      </c>
      <c r="H1323" t="s">
        <v>30</v>
      </c>
      <c r="I1323" t="s">
        <v>26</v>
      </c>
      <c r="J1323">
        <v>19</v>
      </c>
      <c r="K1323">
        <v>48610</v>
      </c>
      <c r="L1323">
        <f>Tabla24[[#This Row],[Precio_Unitario]]*Tabla24[[#This Row],[Unidades_Vendidas]]</f>
        <v>923590</v>
      </c>
      <c r="M1323" t="s">
        <v>16</v>
      </c>
    </row>
    <row r="1324" spans="1:13" x14ac:dyDescent="0.25">
      <c r="A1324" t="s">
        <v>332</v>
      </c>
      <c r="B1324" t="str">
        <f>TEXT(Tabla24[[#This Row],[Fecha]],"dddd")</f>
        <v>martes</v>
      </c>
      <c r="C1324" t="str">
        <f>TEXT(Tabla24[[#This Row],[Fecha]],"mmmm")</f>
        <v>julio</v>
      </c>
      <c r="D1324" t="str">
        <f>TEXT(Tabla24[[#This Row],[Fecha]],"aaaa")</f>
        <v>2024</v>
      </c>
      <c r="E1324" t="s">
        <v>33</v>
      </c>
      <c r="F1324" t="s">
        <v>34</v>
      </c>
      <c r="G1324" t="s">
        <v>39</v>
      </c>
      <c r="H1324" t="s">
        <v>19</v>
      </c>
      <c r="I1324" t="s">
        <v>26</v>
      </c>
      <c r="J1324">
        <v>12</v>
      </c>
      <c r="K1324">
        <v>52204</v>
      </c>
      <c r="L1324">
        <f>Tabla24[[#This Row],[Precio_Unitario]]*Tabla24[[#This Row],[Unidades_Vendidas]]</f>
        <v>626448</v>
      </c>
      <c r="M1324" t="s">
        <v>16</v>
      </c>
    </row>
    <row r="1325" spans="1:13" x14ac:dyDescent="0.25">
      <c r="A1325" t="s">
        <v>378</v>
      </c>
      <c r="B1325" t="str">
        <f>TEXT(Tabla24[[#This Row],[Fecha]],"dddd")</f>
        <v>domingo</v>
      </c>
      <c r="C1325" t="str">
        <f>TEXT(Tabla24[[#This Row],[Fecha]],"mmmm")</f>
        <v>agosto</v>
      </c>
      <c r="D1325" t="str">
        <f>TEXT(Tabla24[[#This Row],[Fecha]],"aaaa")</f>
        <v>2024</v>
      </c>
      <c r="E1325" t="s">
        <v>42</v>
      </c>
      <c r="F1325" t="s">
        <v>38</v>
      </c>
      <c r="G1325" t="s">
        <v>24</v>
      </c>
      <c r="H1325" t="s">
        <v>30</v>
      </c>
      <c r="I1325" t="s">
        <v>15</v>
      </c>
      <c r="J1325">
        <v>12</v>
      </c>
      <c r="K1325">
        <v>51803</v>
      </c>
      <c r="L1325">
        <f>Tabla24[[#This Row],[Precio_Unitario]]*Tabla24[[#This Row],[Unidades_Vendidas]]</f>
        <v>621636</v>
      </c>
      <c r="M1325" t="s">
        <v>36</v>
      </c>
    </row>
    <row r="1326" spans="1:13" x14ac:dyDescent="0.25">
      <c r="A1326" t="s">
        <v>255</v>
      </c>
      <c r="B1326" t="str">
        <f>TEXT(Tabla24[[#This Row],[Fecha]],"dddd")</f>
        <v>domingo</v>
      </c>
      <c r="C1326" t="str">
        <f>TEXT(Tabla24[[#This Row],[Fecha]],"mmmm")</f>
        <v>enero</v>
      </c>
      <c r="D1326" t="str">
        <f>TEXT(Tabla24[[#This Row],[Fecha]],"aaaa")</f>
        <v>2024</v>
      </c>
      <c r="E1326" t="s">
        <v>22</v>
      </c>
      <c r="F1326" t="s">
        <v>38</v>
      </c>
      <c r="G1326" t="s">
        <v>24</v>
      </c>
      <c r="H1326" t="s">
        <v>30</v>
      </c>
      <c r="I1326" t="s">
        <v>15</v>
      </c>
      <c r="J1326">
        <v>7</v>
      </c>
      <c r="K1326">
        <v>17363</v>
      </c>
      <c r="L1326">
        <f>Tabla24[[#This Row],[Precio_Unitario]]*Tabla24[[#This Row],[Unidades_Vendidas]]</f>
        <v>121541</v>
      </c>
      <c r="M1326" t="s">
        <v>27</v>
      </c>
    </row>
    <row r="1327" spans="1:13" x14ac:dyDescent="0.25">
      <c r="A1327" t="s">
        <v>249</v>
      </c>
      <c r="B1327" t="str">
        <f>TEXT(Tabla24[[#This Row],[Fecha]],"dddd")</f>
        <v>sábado</v>
      </c>
      <c r="C1327" t="str">
        <f>TEXT(Tabla24[[#This Row],[Fecha]],"mmmm")</f>
        <v>mayo</v>
      </c>
      <c r="D1327" t="str">
        <f>TEXT(Tabla24[[#This Row],[Fecha]],"aaaa")</f>
        <v>2024</v>
      </c>
      <c r="E1327" t="s">
        <v>22</v>
      </c>
      <c r="F1327" t="s">
        <v>38</v>
      </c>
      <c r="G1327" t="s">
        <v>48</v>
      </c>
      <c r="H1327" t="s">
        <v>14</v>
      </c>
      <c r="I1327" t="s">
        <v>40</v>
      </c>
      <c r="J1327">
        <v>13</v>
      </c>
      <c r="K1327">
        <v>45190</v>
      </c>
      <c r="L1327">
        <f>Tabla24[[#This Row],[Precio_Unitario]]*Tabla24[[#This Row],[Unidades_Vendidas]]</f>
        <v>587470</v>
      </c>
      <c r="M1327" t="s">
        <v>16</v>
      </c>
    </row>
    <row r="1328" spans="1:13" x14ac:dyDescent="0.25">
      <c r="A1328" t="s">
        <v>242</v>
      </c>
      <c r="B1328" t="str">
        <f>TEXT(Tabla24[[#This Row],[Fecha]],"dddd")</f>
        <v>sábado</v>
      </c>
      <c r="C1328" t="str">
        <f>TEXT(Tabla24[[#This Row],[Fecha]],"mmmm")</f>
        <v>julio</v>
      </c>
      <c r="D1328" t="str">
        <f>TEXT(Tabla24[[#This Row],[Fecha]],"aaaa")</f>
        <v>2024</v>
      </c>
      <c r="E1328" t="s">
        <v>18</v>
      </c>
      <c r="F1328" t="s">
        <v>34</v>
      </c>
      <c r="G1328" t="s">
        <v>39</v>
      </c>
      <c r="H1328" t="s">
        <v>19</v>
      </c>
      <c r="I1328" t="s">
        <v>15</v>
      </c>
      <c r="J1328">
        <v>9</v>
      </c>
      <c r="K1328">
        <v>21367</v>
      </c>
      <c r="L1328">
        <f>Tabla24[[#This Row],[Precio_Unitario]]*Tabla24[[#This Row],[Unidades_Vendidas]]</f>
        <v>192303</v>
      </c>
      <c r="M1328" t="s">
        <v>16</v>
      </c>
    </row>
    <row r="1329" spans="1:13" x14ac:dyDescent="0.25">
      <c r="A1329" t="s">
        <v>160</v>
      </c>
      <c r="B1329" t="str">
        <f>TEXT(Tabla24[[#This Row],[Fecha]],"dddd")</f>
        <v>jueves</v>
      </c>
      <c r="C1329" t="str">
        <f>TEXT(Tabla24[[#This Row],[Fecha]],"mmmm")</f>
        <v>febrero</v>
      </c>
      <c r="D1329" t="str">
        <f>TEXT(Tabla24[[#This Row],[Fecha]],"aaaa")</f>
        <v>2024</v>
      </c>
      <c r="E1329" t="s">
        <v>11</v>
      </c>
      <c r="F1329" t="s">
        <v>29</v>
      </c>
      <c r="G1329" t="s">
        <v>24</v>
      </c>
      <c r="H1329" t="s">
        <v>14</v>
      </c>
      <c r="I1329" t="s">
        <v>40</v>
      </c>
      <c r="J1329">
        <v>13</v>
      </c>
      <c r="K1329">
        <v>58828</v>
      </c>
      <c r="L1329">
        <f>Tabla24[[#This Row],[Precio_Unitario]]*Tabla24[[#This Row],[Unidades_Vendidas]]</f>
        <v>764764</v>
      </c>
      <c r="M1329" t="s">
        <v>36</v>
      </c>
    </row>
    <row r="1330" spans="1:13" x14ac:dyDescent="0.25">
      <c r="A1330" t="s">
        <v>306</v>
      </c>
      <c r="B1330" t="str">
        <f>TEXT(Tabla24[[#This Row],[Fecha]],"dddd")</f>
        <v>domingo</v>
      </c>
      <c r="C1330" t="str">
        <f>TEXT(Tabla24[[#This Row],[Fecha]],"mmmm")</f>
        <v>junio</v>
      </c>
      <c r="D1330" t="str">
        <f>TEXT(Tabla24[[#This Row],[Fecha]],"aaaa")</f>
        <v>2024</v>
      </c>
      <c r="E1330" t="s">
        <v>22</v>
      </c>
      <c r="F1330" t="s">
        <v>12</v>
      </c>
      <c r="G1330" t="s">
        <v>44</v>
      </c>
      <c r="H1330" t="s">
        <v>35</v>
      </c>
      <c r="I1330" t="s">
        <v>26</v>
      </c>
      <c r="J1330">
        <v>10</v>
      </c>
      <c r="K1330">
        <v>34107</v>
      </c>
      <c r="L1330">
        <f>Tabla24[[#This Row],[Precio_Unitario]]*Tabla24[[#This Row],[Unidades_Vendidas]]</f>
        <v>341070</v>
      </c>
      <c r="M1330" t="s">
        <v>20</v>
      </c>
    </row>
    <row r="1331" spans="1:13" x14ac:dyDescent="0.25">
      <c r="A1331" t="s">
        <v>226</v>
      </c>
      <c r="B1331" t="str">
        <f>TEXT(Tabla24[[#This Row],[Fecha]],"dddd")</f>
        <v>lunes</v>
      </c>
      <c r="C1331" t="str">
        <f>TEXT(Tabla24[[#This Row],[Fecha]],"mmmm")</f>
        <v>mayo</v>
      </c>
      <c r="D1331" t="str">
        <f>TEXT(Tabla24[[#This Row],[Fecha]],"aaaa")</f>
        <v>2024</v>
      </c>
      <c r="E1331" t="s">
        <v>22</v>
      </c>
      <c r="F1331" t="s">
        <v>12</v>
      </c>
      <c r="G1331" t="s">
        <v>13</v>
      </c>
      <c r="H1331" t="s">
        <v>19</v>
      </c>
      <c r="I1331" t="s">
        <v>26</v>
      </c>
      <c r="J1331">
        <v>18</v>
      </c>
      <c r="K1331">
        <v>39158</v>
      </c>
      <c r="L1331">
        <f>Tabla24[[#This Row],[Precio_Unitario]]*Tabla24[[#This Row],[Unidades_Vendidas]]</f>
        <v>704844</v>
      </c>
      <c r="M1331" t="s">
        <v>20</v>
      </c>
    </row>
    <row r="1332" spans="1:13" x14ac:dyDescent="0.25">
      <c r="A1332" t="s">
        <v>149</v>
      </c>
      <c r="B1332" t="str">
        <f>TEXT(Tabla24[[#This Row],[Fecha]],"dddd")</f>
        <v>lunes</v>
      </c>
      <c r="C1332" t="str">
        <f>TEXT(Tabla24[[#This Row],[Fecha]],"mmmm")</f>
        <v>julio</v>
      </c>
      <c r="D1332" t="str">
        <f>TEXT(Tabla24[[#This Row],[Fecha]],"aaaa")</f>
        <v>2024</v>
      </c>
      <c r="E1332" t="s">
        <v>33</v>
      </c>
      <c r="F1332" t="s">
        <v>34</v>
      </c>
      <c r="G1332" t="s">
        <v>24</v>
      </c>
      <c r="H1332" t="s">
        <v>35</v>
      </c>
      <c r="I1332" t="s">
        <v>26</v>
      </c>
      <c r="J1332">
        <v>6</v>
      </c>
      <c r="K1332">
        <v>25611</v>
      </c>
      <c r="L1332">
        <f>Tabla24[[#This Row],[Precio_Unitario]]*Tabla24[[#This Row],[Unidades_Vendidas]]</f>
        <v>153666</v>
      </c>
      <c r="M1332" t="s">
        <v>16</v>
      </c>
    </row>
    <row r="1333" spans="1:13" x14ac:dyDescent="0.25">
      <c r="A1333" t="s">
        <v>62</v>
      </c>
      <c r="B1333" t="str">
        <f>TEXT(Tabla24[[#This Row],[Fecha]],"dddd")</f>
        <v>sábado</v>
      </c>
      <c r="C1333" t="str">
        <f>TEXT(Tabla24[[#This Row],[Fecha]],"mmmm")</f>
        <v>mayo</v>
      </c>
      <c r="D1333" t="str">
        <f>TEXT(Tabla24[[#This Row],[Fecha]],"aaaa")</f>
        <v>2024</v>
      </c>
      <c r="E1333" t="s">
        <v>11</v>
      </c>
      <c r="F1333" t="s">
        <v>29</v>
      </c>
      <c r="G1333" t="s">
        <v>13</v>
      </c>
      <c r="H1333" t="s">
        <v>14</v>
      </c>
      <c r="I1333" t="s">
        <v>26</v>
      </c>
      <c r="J1333">
        <v>14</v>
      </c>
      <c r="K1333">
        <v>22041</v>
      </c>
      <c r="L1333">
        <f>Tabla24[[#This Row],[Precio_Unitario]]*Tabla24[[#This Row],[Unidades_Vendidas]]</f>
        <v>308574</v>
      </c>
      <c r="M1333" t="s">
        <v>27</v>
      </c>
    </row>
    <row r="1334" spans="1:13" x14ac:dyDescent="0.25">
      <c r="A1334" t="s">
        <v>197</v>
      </c>
      <c r="B1334" t="str">
        <f>TEXT(Tabla24[[#This Row],[Fecha]],"dddd")</f>
        <v>miércoles</v>
      </c>
      <c r="C1334" t="str">
        <f>TEXT(Tabla24[[#This Row],[Fecha]],"mmmm")</f>
        <v>junio</v>
      </c>
      <c r="D1334" t="str">
        <f>TEXT(Tabla24[[#This Row],[Fecha]],"aaaa")</f>
        <v>2024</v>
      </c>
      <c r="E1334" t="s">
        <v>18</v>
      </c>
      <c r="F1334" t="s">
        <v>29</v>
      </c>
      <c r="G1334" t="s">
        <v>13</v>
      </c>
      <c r="H1334" t="s">
        <v>30</v>
      </c>
      <c r="I1334" t="s">
        <v>40</v>
      </c>
      <c r="J1334">
        <v>11</v>
      </c>
      <c r="K1334">
        <v>53316</v>
      </c>
      <c r="L1334">
        <f>Tabla24[[#This Row],[Precio_Unitario]]*Tabla24[[#This Row],[Unidades_Vendidas]]</f>
        <v>586476</v>
      </c>
      <c r="M1334" t="s">
        <v>20</v>
      </c>
    </row>
    <row r="1335" spans="1:13" x14ac:dyDescent="0.25">
      <c r="A1335" t="s">
        <v>143</v>
      </c>
      <c r="B1335" t="str">
        <f>TEXT(Tabla24[[#This Row],[Fecha]],"dddd")</f>
        <v>domingo</v>
      </c>
      <c r="C1335" t="str">
        <f>TEXT(Tabla24[[#This Row],[Fecha]],"mmmm")</f>
        <v>enero</v>
      </c>
      <c r="D1335" t="str">
        <f>TEXT(Tabla24[[#This Row],[Fecha]],"aaaa")</f>
        <v>2024</v>
      </c>
      <c r="E1335" t="s">
        <v>11</v>
      </c>
      <c r="F1335" t="s">
        <v>29</v>
      </c>
      <c r="G1335" t="s">
        <v>44</v>
      </c>
      <c r="H1335" t="s">
        <v>14</v>
      </c>
      <c r="I1335" t="s">
        <v>15</v>
      </c>
      <c r="J1335">
        <v>13</v>
      </c>
      <c r="K1335">
        <v>52359</v>
      </c>
      <c r="L1335">
        <f>Tabla24[[#This Row],[Precio_Unitario]]*Tabla24[[#This Row],[Unidades_Vendidas]]</f>
        <v>680667</v>
      </c>
      <c r="M1335" t="s">
        <v>36</v>
      </c>
    </row>
    <row r="1336" spans="1:13" x14ac:dyDescent="0.25">
      <c r="A1336" t="s">
        <v>334</v>
      </c>
      <c r="B1336" t="str">
        <f>TEXT(Tabla24[[#This Row],[Fecha]],"dddd")</f>
        <v>sábado</v>
      </c>
      <c r="C1336" t="str">
        <f>TEXT(Tabla24[[#This Row],[Fecha]],"mmmm")</f>
        <v>diciembre</v>
      </c>
      <c r="D1336" t="str">
        <f>TEXT(Tabla24[[#This Row],[Fecha]],"aaaa")</f>
        <v>2024</v>
      </c>
      <c r="E1336" t="s">
        <v>42</v>
      </c>
      <c r="F1336" t="s">
        <v>29</v>
      </c>
      <c r="G1336" t="s">
        <v>44</v>
      </c>
      <c r="H1336" t="s">
        <v>35</v>
      </c>
      <c r="I1336" t="s">
        <v>15</v>
      </c>
      <c r="J1336">
        <v>14</v>
      </c>
      <c r="K1336">
        <v>58314</v>
      </c>
      <c r="L1336">
        <f>Tabla24[[#This Row],[Precio_Unitario]]*Tabla24[[#This Row],[Unidades_Vendidas]]</f>
        <v>816396</v>
      </c>
      <c r="M1336" t="s">
        <v>16</v>
      </c>
    </row>
    <row r="1337" spans="1:13" x14ac:dyDescent="0.25">
      <c r="A1337" t="s">
        <v>123</v>
      </c>
      <c r="B1337" t="str">
        <f>TEXT(Tabla24[[#This Row],[Fecha]],"dddd")</f>
        <v>lunes</v>
      </c>
      <c r="C1337" t="str">
        <f>TEXT(Tabla24[[#This Row],[Fecha]],"mmmm")</f>
        <v>abril</v>
      </c>
      <c r="D1337" t="str">
        <f>TEXT(Tabla24[[#This Row],[Fecha]],"aaaa")</f>
        <v>2024</v>
      </c>
      <c r="E1337" t="s">
        <v>22</v>
      </c>
      <c r="F1337" t="s">
        <v>38</v>
      </c>
      <c r="G1337" t="s">
        <v>13</v>
      </c>
      <c r="H1337" t="s">
        <v>14</v>
      </c>
      <c r="I1337" t="s">
        <v>40</v>
      </c>
      <c r="J1337">
        <v>20</v>
      </c>
      <c r="K1337">
        <v>18281</v>
      </c>
      <c r="L1337">
        <f>Tabla24[[#This Row],[Precio_Unitario]]*Tabla24[[#This Row],[Unidades_Vendidas]]</f>
        <v>365620</v>
      </c>
      <c r="M1337" t="s">
        <v>16</v>
      </c>
    </row>
    <row r="1338" spans="1:13" x14ac:dyDescent="0.25">
      <c r="A1338" t="s">
        <v>289</v>
      </c>
      <c r="B1338" t="str">
        <f>TEXT(Tabla24[[#This Row],[Fecha]],"dddd")</f>
        <v>miércoles</v>
      </c>
      <c r="C1338" t="str">
        <f>TEXT(Tabla24[[#This Row],[Fecha]],"mmmm")</f>
        <v>diciembre</v>
      </c>
      <c r="D1338" t="str">
        <f>TEXT(Tabla24[[#This Row],[Fecha]],"aaaa")</f>
        <v>2024</v>
      </c>
      <c r="E1338" t="s">
        <v>11</v>
      </c>
      <c r="F1338" t="s">
        <v>23</v>
      </c>
      <c r="G1338" t="s">
        <v>39</v>
      </c>
      <c r="H1338" t="s">
        <v>30</v>
      </c>
      <c r="I1338" t="s">
        <v>40</v>
      </c>
      <c r="J1338">
        <v>6</v>
      </c>
      <c r="K1338">
        <v>18790</v>
      </c>
      <c r="L1338">
        <f>Tabla24[[#This Row],[Precio_Unitario]]*Tabla24[[#This Row],[Unidades_Vendidas]]</f>
        <v>112740</v>
      </c>
      <c r="M1338" t="s">
        <v>16</v>
      </c>
    </row>
    <row r="1339" spans="1:13" x14ac:dyDescent="0.25">
      <c r="A1339" t="s">
        <v>72</v>
      </c>
      <c r="B1339" t="str">
        <f>TEXT(Tabla24[[#This Row],[Fecha]],"dddd")</f>
        <v>sábado</v>
      </c>
      <c r="C1339" t="str">
        <f>TEXT(Tabla24[[#This Row],[Fecha]],"mmmm")</f>
        <v>septiembre</v>
      </c>
      <c r="D1339" t="str">
        <f>TEXT(Tabla24[[#This Row],[Fecha]],"aaaa")</f>
        <v>2024</v>
      </c>
      <c r="E1339" t="s">
        <v>22</v>
      </c>
      <c r="F1339" t="s">
        <v>23</v>
      </c>
      <c r="G1339" t="s">
        <v>24</v>
      </c>
      <c r="H1339" t="s">
        <v>35</v>
      </c>
      <c r="I1339" t="s">
        <v>15</v>
      </c>
      <c r="J1339">
        <v>17</v>
      </c>
      <c r="K1339">
        <v>47132</v>
      </c>
      <c r="L1339">
        <f>Tabla24[[#This Row],[Precio_Unitario]]*Tabla24[[#This Row],[Unidades_Vendidas]]</f>
        <v>801244</v>
      </c>
      <c r="M1339" t="s">
        <v>36</v>
      </c>
    </row>
    <row r="1340" spans="1:13" x14ac:dyDescent="0.25">
      <c r="A1340" t="s">
        <v>252</v>
      </c>
      <c r="B1340" t="str">
        <f>TEXT(Tabla24[[#This Row],[Fecha]],"dddd")</f>
        <v>viernes</v>
      </c>
      <c r="C1340" t="str">
        <f>TEXT(Tabla24[[#This Row],[Fecha]],"mmmm")</f>
        <v>mayo</v>
      </c>
      <c r="D1340" t="str">
        <f>TEXT(Tabla24[[#This Row],[Fecha]],"aaaa")</f>
        <v>2024</v>
      </c>
      <c r="E1340" t="s">
        <v>22</v>
      </c>
      <c r="F1340" t="s">
        <v>29</v>
      </c>
      <c r="G1340" t="s">
        <v>44</v>
      </c>
      <c r="H1340" t="s">
        <v>19</v>
      </c>
      <c r="I1340" t="s">
        <v>15</v>
      </c>
      <c r="J1340">
        <v>4</v>
      </c>
      <c r="K1340">
        <v>24568</v>
      </c>
      <c r="L1340">
        <f>Tabla24[[#This Row],[Precio_Unitario]]*Tabla24[[#This Row],[Unidades_Vendidas]]</f>
        <v>98272</v>
      </c>
      <c r="M1340" t="s">
        <v>16</v>
      </c>
    </row>
    <row r="1341" spans="1:13" x14ac:dyDescent="0.25">
      <c r="A1341" t="s">
        <v>308</v>
      </c>
      <c r="B1341" t="str">
        <f>TEXT(Tabla24[[#This Row],[Fecha]],"dddd")</f>
        <v>martes</v>
      </c>
      <c r="C1341" t="str">
        <f>TEXT(Tabla24[[#This Row],[Fecha]],"mmmm")</f>
        <v>agosto</v>
      </c>
      <c r="D1341" t="str">
        <f>TEXT(Tabla24[[#This Row],[Fecha]],"aaaa")</f>
        <v>2024</v>
      </c>
      <c r="E1341" t="s">
        <v>33</v>
      </c>
      <c r="F1341" t="s">
        <v>38</v>
      </c>
      <c r="G1341" t="s">
        <v>39</v>
      </c>
      <c r="H1341" t="s">
        <v>25</v>
      </c>
      <c r="I1341" t="s">
        <v>40</v>
      </c>
      <c r="J1341">
        <v>8</v>
      </c>
      <c r="K1341">
        <v>33148</v>
      </c>
      <c r="L1341">
        <f>Tabla24[[#This Row],[Precio_Unitario]]*Tabla24[[#This Row],[Unidades_Vendidas]]</f>
        <v>265184</v>
      </c>
      <c r="M1341" t="s">
        <v>36</v>
      </c>
    </row>
    <row r="1342" spans="1:13" x14ac:dyDescent="0.25">
      <c r="A1342" t="s">
        <v>106</v>
      </c>
      <c r="B1342" t="str">
        <f>TEXT(Tabla24[[#This Row],[Fecha]],"dddd")</f>
        <v>domingo</v>
      </c>
      <c r="C1342" t="str">
        <f>TEXT(Tabla24[[#This Row],[Fecha]],"mmmm")</f>
        <v>diciembre</v>
      </c>
      <c r="D1342" t="str">
        <f>TEXT(Tabla24[[#This Row],[Fecha]],"aaaa")</f>
        <v>2024</v>
      </c>
      <c r="E1342" t="s">
        <v>22</v>
      </c>
      <c r="F1342" t="s">
        <v>12</v>
      </c>
      <c r="G1342" t="s">
        <v>24</v>
      </c>
      <c r="H1342" t="s">
        <v>30</v>
      </c>
      <c r="I1342" t="s">
        <v>26</v>
      </c>
      <c r="J1342">
        <v>8</v>
      </c>
      <c r="K1342">
        <v>53249</v>
      </c>
      <c r="L1342">
        <f>Tabla24[[#This Row],[Precio_Unitario]]*Tabla24[[#This Row],[Unidades_Vendidas]]</f>
        <v>425992</v>
      </c>
      <c r="M1342" t="s">
        <v>16</v>
      </c>
    </row>
    <row r="1343" spans="1:13" x14ac:dyDescent="0.25">
      <c r="A1343" t="s">
        <v>41</v>
      </c>
      <c r="B1343" t="str">
        <f>TEXT(Tabla24[[#This Row],[Fecha]],"dddd")</f>
        <v>miércoles</v>
      </c>
      <c r="C1343" t="str">
        <f>TEXT(Tabla24[[#This Row],[Fecha]],"mmmm")</f>
        <v>marzo</v>
      </c>
      <c r="D1343" t="str">
        <f>TEXT(Tabla24[[#This Row],[Fecha]],"aaaa")</f>
        <v>2024</v>
      </c>
      <c r="E1343" t="s">
        <v>18</v>
      </c>
      <c r="F1343" t="s">
        <v>12</v>
      </c>
      <c r="G1343" t="s">
        <v>24</v>
      </c>
      <c r="H1343" t="s">
        <v>19</v>
      </c>
      <c r="I1343" t="s">
        <v>26</v>
      </c>
      <c r="J1343">
        <v>16</v>
      </c>
      <c r="K1343">
        <v>17149</v>
      </c>
      <c r="L1343">
        <f>Tabla24[[#This Row],[Precio_Unitario]]*Tabla24[[#This Row],[Unidades_Vendidas]]</f>
        <v>274384</v>
      </c>
      <c r="M1343" t="s">
        <v>20</v>
      </c>
    </row>
    <row r="1344" spans="1:13" x14ac:dyDescent="0.25">
      <c r="A1344" t="s">
        <v>113</v>
      </c>
      <c r="B1344" t="str">
        <f>TEXT(Tabla24[[#This Row],[Fecha]],"dddd")</f>
        <v>viernes</v>
      </c>
      <c r="C1344" t="str">
        <f>TEXT(Tabla24[[#This Row],[Fecha]],"mmmm")</f>
        <v>marzo</v>
      </c>
      <c r="D1344" t="str">
        <f>TEXT(Tabla24[[#This Row],[Fecha]],"aaaa")</f>
        <v>2024</v>
      </c>
      <c r="E1344" t="s">
        <v>22</v>
      </c>
      <c r="F1344" t="s">
        <v>29</v>
      </c>
      <c r="G1344" t="s">
        <v>44</v>
      </c>
      <c r="H1344" t="s">
        <v>19</v>
      </c>
      <c r="I1344" t="s">
        <v>40</v>
      </c>
      <c r="J1344">
        <v>15</v>
      </c>
      <c r="K1344">
        <v>55860</v>
      </c>
      <c r="L1344">
        <f>Tabla24[[#This Row],[Precio_Unitario]]*Tabla24[[#This Row],[Unidades_Vendidas]]</f>
        <v>837900</v>
      </c>
      <c r="M1344" t="s">
        <v>20</v>
      </c>
    </row>
    <row r="1345" spans="1:13" x14ac:dyDescent="0.25">
      <c r="A1345" t="s">
        <v>247</v>
      </c>
      <c r="B1345" t="str">
        <f>TEXT(Tabla24[[#This Row],[Fecha]],"dddd")</f>
        <v>miércoles</v>
      </c>
      <c r="C1345" t="str">
        <f>TEXT(Tabla24[[#This Row],[Fecha]],"mmmm")</f>
        <v>febrero</v>
      </c>
      <c r="D1345" t="str">
        <f>TEXT(Tabla24[[#This Row],[Fecha]],"aaaa")</f>
        <v>2024</v>
      </c>
      <c r="E1345" t="s">
        <v>42</v>
      </c>
      <c r="F1345" t="s">
        <v>23</v>
      </c>
      <c r="G1345" t="s">
        <v>13</v>
      </c>
      <c r="H1345" t="s">
        <v>19</v>
      </c>
      <c r="I1345" t="s">
        <v>15</v>
      </c>
      <c r="J1345">
        <v>13</v>
      </c>
      <c r="K1345">
        <v>50480</v>
      </c>
      <c r="L1345">
        <f>Tabla24[[#This Row],[Precio_Unitario]]*Tabla24[[#This Row],[Unidades_Vendidas]]</f>
        <v>656240</v>
      </c>
      <c r="M1345" t="s">
        <v>27</v>
      </c>
    </row>
    <row r="1346" spans="1:13" x14ac:dyDescent="0.25">
      <c r="A1346" t="s">
        <v>300</v>
      </c>
      <c r="B1346" t="str">
        <f>TEXT(Tabla24[[#This Row],[Fecha]],"dddd")</f>
        <v>martes</v>
      </c>
      <c r="C1346" t="str">
        <f>TEXT(Tabla24[[#This Row],[Fecha]],"mmmm")</f>
        <v>febrero</v>
      </c>
      <c r="D1346" t="str">
        <f>TEXT(Tabla24[[#This Row],[Fecha]],"aaaa")</f>
        <v>2024</v>
      </c>
      <c r="E1346" t="s">
        <v>22</v>
      </c>
      <c r="F1346" t="s">
        <v>12</v>
      </c>
      <c r="G1346" t="s">
        <v>48</v>
      </c>
      <c r="H1346" t="s">
        <v>35</v>
      </c>
      <c r="I1346" t="s">
        <v>15</v>
      </c>
      <c r="J1346">
        <v>8</v>
      </c>
      <c r="K1346">
        <v>27548</v>
      </c>
      <c r="L1346">
        <f>Tabla24[[#This Row],[Precio_Unitario]]*Tabla24[[#This Row],[Unidades_Vendidas]]</f>
        <v>220384</v>
      </c>
      <c r="M1346" t="s">
        <v>20</v>
      </c>
    </row>
    <row r="1347" spans="1:13" x14ac:dyDescent="0.25">
      <c r="A1347" t="s">
        <v>268</v>
      </c>
      <c r="B1347" t="str">
        <f>TEXT(Tabla24[[#This Row],[Fecha]],"dddd")</f>
        <v>viernes</v>
      </c>
      <c r="C1347" t="str">
        <f>TEXT(Tabla24[[#This Row],[Fecha]],"mmmm")</f>
        <v>octubre</v>
      </c>
      <c r="D1347" t="str">
        <f>TEXT(Tabla24[[#This Row],[Fecha]],"aaaa")</f>
        <v>2024</v>
      </c>
      <c r="E1347" t="s">
        <v>11</v>
      </c>
      <c r="F1347" t="s">
        <v>12</v>
      </c>
      <c r="G1347" t="s">
        <v>48</v>
      </c>
      <c r="H1347" t="s">
        <v>35</v>
      </c>
      <c r="I1347" t="s">
        <v>15</v>
      </c>
      <c r="J1347">
        <v>17</v>
      </c>
      <c r="K1347">
        <v>20652</v>
      </c>
      <c r="L1347">
        <f>Tabla24[[#This Row],[Precio_Unitario]]*Tabla24[[#This Row],[Unidades_Vendidas]]</f>
        <v>351084</v>
      </c>
      <c r="M1347" t="s">
        <v>36</v>
      </c>
    </row>
    <row r="1348" spans="1:13" x14ac:dyDescent="0.25">
      <c r="A1348" t="s">
        <v>261</v>
      </c>
      <c r="B1348" t="str">
        <f>TEXT(Tabla24[[#This Row],[Fecha]],"dddd")</f>
        <v>domingo</v>
      </c>
      <c r="C1348" t="str">
        <f>TEXT(Tabla24[[#This Row],[Fecha]],"mmmm")</f>
        <v>diciembre</v>
      </c>
      <c r="D1348" t="str">
        <f>TEXT(Tabla24[[#This Row],[Fecha]],"aaaa")</f>
        <v>2024</v>
      </c>
      <c r="E1348" t="s">
        <v>22</v>
      </c>
      <c r="F1348" t="s">
        <v>38</v>
      </c>
      <c r="G1348" t="s">
        <v>24</v>
      </c>
      <c r="H1348" t="s">
        <v>25</v>
      </c>
      <c r="I1348" t="s">
        <v>26</v>
      </c>
      <c r="J1348">
        <v>12</v>
      </c>
      <c r="K1348">
        <v>31610</v>
      </c>
      <c r="L1348">
        <f>Tabla24[[#This Row],[Precio_Unitario]]*Tabla24[[#This Row],[Unidades_Vendidas]]</f>
        <v>379320</v>
      </c>
      <c r="M1348" t="s">
        <v>27</v>
      </c>
    </row>
    <row r="1349" spans="1:13" x14ac:dyDescent="0.25">
      <c r="A1349" t="s">
        <v>79</v>
      </c>
      <c r="B1349" t="str">
        <f>TEXT(Tabla24[[#This Row],[Fecha]],"dddd")</f>
        <v>lunes</v>
      </c>
      <c r="C1349" t="str">
        <f>TEXT(Tabla24[[#This Row],[Fecha]],"mmmm")</f>
        <v>diciembre</v>
      </c>
      <c r="D1349" t="str">
        <f>TEXT(Tabla24[[#This Row],[Fecha]],"aaaa")</f>
        <v>2024</v>
      </c>
      <c r="E1349" t="s">
        <v>42</v>
      </c>
      <c r="F1349" t="s">
        <v>12</v>
      </c>
      <c r="G1349" t="s">
        <v>44</v>
      </c>
      <c r="H1349" t="s">
        <v>30</v>
      </c>
      <c r="I1349" t="s">
        <v>26</v>
      </c>
      <c r="J1349">
        <v>1</v>
      </c>
      <c r="K1349">
        <v>20292</v>
      </c>
      <c r="L1349">
        <f>Tabla24[[#This Row],[Precio_Unitario]]*Tabla24[[#This Row],[Unidades_Vendidas]]</f>
        <v>20292</v>
      </c>
      <c r="M1349" t="s">
        <v>27</v>
      </c>
    </row>
    <row r="1350" spans="1:13" x14ac:dyDescent="0.25">
      <c r="A1350" t="s">
        <v>282</v>
      </c>
      <c r="B1350" t="str">
        <f>TEXT(Tabla24[[#This Row],[Fecha]],"dddd")</f>
        <v>domingo</v>
      </c>
      <c r="C1350" t="str">
        <f>TEXT(Tabla24[[#This Row],[Fecha]],"mmmm")</f>
        <v>junio</v>
      </c>
      <c r="D1350" t="str">
        <f>TEXT(Tabla24[[#This Row],[Fecha]],"aaaa")</f>
        <v>2024</v>
      </c>
      <c r="E1350" t="s">
        <v>42</v>
      </c>
      <c r="F1350" t="s">
        <v>38</v>
      </c>
      <c r="G1350" t="s">
        <v>48</v>
      </c>
      <c r="H1350" t="s">
        <v>19</v>
      </c>
      <c r="I1350" t="s">
        <v>26</v>
      </c>
      <c r="J1350">
        <v>2</v>
      </c>
      <c r="K1350">
        <v>36577</v>
      </c>
      <c r="L1350">
        <f>Tabla24[[#This Row],[Precio_Unitario]]*Tabla24[[#This Row],[Unidades_Vendidas]]</f>
        <v>73154</v>
      </c>
      <c r="M1350" t="s">
        <v>36</v>
      </c>
    </row>
    <row r="1351" spans="1:13" x14ac:dyDescent="0.25">
      <c r="A1351" t="s">
        <v>224</v>
      </c>
      <c r="B1351" t="str">
        <f>TEXT(Tabla24[[#This Row],[Fecha]],"dddd")</f>
        <v>lunes</v>
      </c>
      <c r="C1351" t="str">
        <f>TEXT(Tabla24[[#This Row],[Fecha]],"mmmm")</f>
        <v>agosto</v>
      </c>
      <c r="D1351" t="str">
        <f>TEXT(Tabla24[[#This Row],[Fecha]],"aaaa")</f>
        <v>2024</v>
      </c>
      <c r="E1351" t="s">
        <v>18</v>
      </c>
      <c r="F1351" t="s">
        <v>12</v>
      </c>
      <c r="G1351" t="s">
        <v>48</v>
      </c>
      <c r="H1351" t="s">
        <v>14</v>
      </c>
      <c r="I1351" t="s">
        <v>40</v>
      </c>
      <c r="J1351">
        <v>5</v>
      </c>
      <c r="K1351">
        <v>15590</v>
      </c>
      <c r="L1351">
        <f>Tabla24[[#This Row],[Precio_Unitario]]*Tabla24[[#This Row],[Unidades_Vendidas]]</f>
        <v>77950</v>
      </c>
      <c r="M1351" t="s">
        <v>36</v>
      </c>
    </row>
    <row r="1352" spans="1:13" x14ac:dyDescent="0.25">
      <c r="A1352" t="s">
        <v>353</v>
      </c>
      <c r="B1352" t="str">
        <f>TEXT(Tabla24[[#This Row],[Fecha]],"dddd")</f>
        <v>martes</v>
      </c>
      <c r="C1352" t="str">
        <f>TEXT(Tabla24[[#This Row],[Fecha]],"mmmm")</f>
        <v>junio</v>
      </c>
      <c r="D1352" t="str">
        <f>TEXT(Tabla24[[#This Row],[Fecha]],"aaaa")</f>
        <v>2024</v>
      </c>
      <c r="E1352" t="s">
        <v>33</v>
      </c>
      <c r="F1352" t="s">
        <v>29</v>
      </c>
      <c r="G1352" t="s">
        <v>44</v>
      </c>
      <c r="H1352" t="s">
        <v>14</v>
      </c>
      <c r="I1352" t="s">
        <v>40</v>
      </c>
      <c r="J1352">
        <v>1</v>
      </c>
      <c r="K1352">
        <v>35057</v>
      </c>
      <c r="L1352">
        <f>Tabla24[[#This Row],[Precio_Unitario]]*Tabla24[[#This Row],[Unidades_Vendidas]]</f>
        <v>35057</v>
      </c>
      <c r="M1352" t="s">
        <v>20</v>
      </c>
    </row>
    <row r="1353" spans="1:13" x14ac:dyDescent="0.25">
      <c r="A1353" t="s">
        <v>217</v>
      </c>
      <c r="B1353" t="str">
        <f>TEXT(Tabla24[[#This Row],[Fecha]],"dddd")</f>
        <v>sábado</v>
      </c>
      <c r="C1353" t="str">
        <f>TEXT(Tabla24[[#This Row],[Fecha]],"mmmm")</f>
        <v>diciembre</v>
      </c>
      <c r="D1353" t="str">
        <f>TEXT(Tabla24[[#This Row],[Fecha]],"aaaa")</f>
        <v>2024</v>
      </c>
      <c r="E1353" t="s">
        <v>22</v>
      </c>
      <c r="F1353" t="s">
        <v>29</v>
      </c>
      <c r="G1353" t="s">
        <v>39</v>
      </c>
      <c r="H1353" t="s">
        <v>19</v>
      </c>
      <c r="I1353" t="s">
        <v>40</v>
      </c>
      <c r="J1353">
        <v>6</v>
      </c>
      <c r="K1353">
        <v>28686</v>
      </c>
      <c r="L1353">
        <f>Tabla24[[#This Row],[Precio_Unitario]]*Tabla24[[#This Row],[Unidades_Vendidas]]</f>
        <v>172116</v>
      </c>
      <c r="M1353" t="s">
        <v>16</v>
      </c>
    </row>
    <row r="1354" spans="1:13" x14ac:dyDescent="0.25">
      <c r="A1354" t="s">
        <v>372</v>
      </c>
      <c r="B1354" t="str">
        <f>TEXT(Tabla24[[#This Row],[Fecha]],"dddd")</f>
        <v>viernes</v>
      </c>
      <c r="C1354" t="str">
        <f>TEXT(Tabla24[[#This Row],[Fecha]],"mmmm")</f>
        <v>diciembre</v>
      </c>
      <c r="D1354" t="str">
        <f>TEXT(Tabla24[[#This Row],[Fecha]],"aaaa")</f>
        <v>2024</v>
      </c>
      <c r="E1354" t="s">
        <v>42</v>
      </c>
      <c r="F1354" t="s">
        <v>34</v>
      </c>
      <c r="G1354" t="s">
        <v>24</v>
      </c>
      <c r="H1354" t="s">
        <v>25</v>
      </c>
      <c r="I1354" t="s">
        <v>15</v>
      </c>
      <c r="J1354">
        <v>15</v>
      </c>
      <c r="K1354">
        <v>39742</v>
      </c>
      <c r="L1354">
        <f>Tabla24[[#This Row],[Precio_Unitario]]*Tabla24[[#This Row],[Unidades_Vendidas]]</f>
        <v>596130</v>
      </c>
      <c r="M1354" t="s">
        <v>36</v>
      </c>
    </row>
    <row r="1355" spans="1:13" x14ac:dyDescent="0.25">
      <c r="A1355" t="s">
        <v>370</v>
      </c>
      <c r="B1355" t="str">
        <f>TEXT(Tabla24[[#This Row],[Fecha]],"dddd")</f>
        <v>viernes</v>
      </c>
      <c r="C1355" t="str">
        <f>TEXT(Tabla24[[#This Row],[Fecha]],"mmmm")</f>
        <v>julio</v>
      </c>
      <c r="D1355" t="str">
        <f>TEXT(Tabla24[[#This Row],[Fecha]],"aaaa")</f>
        <v>2024</v>
      </c>
      <c r="E1355" t="s">
        <v>42</v>
      </c>
      <c r="F1355" t="s">
        <v>34</v>
      </c>
      <c r="G1355" t="s">
        <v>24</v>
      </c>
      <c r="H1355" t="s">
        <v>25</v>
      </c>
      <c r="I1355" t="s">
        <v>40</v>
      </c>
      <c r="J1355">
        <v>5</v>
      </c>
      <c r="K1355">
        <v>16744</v>
      </c>
      <c r="L1355">
        <f>Tabla24[[#This Row],[Precio_Unitario]]*Tabla24[[#This Row],[Unidades_Vendidas]]</f>
        <v>83720</v>
      </c>
      <c r="M1355" t="s">
        <v>20</v>
      </c>
    </row>
    <row r="1356" spans="1:13" x14ac:dyDescent="0.25">
      <c r="A1356" t="s">
        <v>296</v>
      </c>
      <c r="B1356" t="str">
        <f>TEXT(Tabla24[[#This Row],[Fecha]],"dddd")</f>
        <v>miércoles</v>
      </c>
      <c r="C1356" t="str">
        <f>TEXT(Tabla24[[#This Row],[Fecha]],"mmmm")</f>
        <v>abril</v>
      </c>
      <c r="D1356" t="str">
        <f>TEXT(Tabla24[[#This Row],[Fecha]],"aaaa")</f>
        <v>2024</v>
      </c>
      <c r="E1356" t="s">
        <v>11</v>
      </c>
      <c r="F1356" t="s">
        <v>38</v>
      </c>
      <c r="G1356" t="s">
        <v>13</v>
      </c>
      <c r="H1356" t="s">
        <v>19</v>
      </c>
      <c r="I1356" t="s">
        <v>15</v>
      </c>
      <c r="J1356">
        <v>20</v>
      </c>
      <c r="K1356">
        <v>39928</v>
      </c>
      <c r="L1356">
        <f>Tabla24[[#This Row],[Precio_Unitario]]*Tabla24[[#This Row],[Unidades_Vendidas]]</f>
        <v>798560</v>
      </c>
      <c r="M1356" t="s">
        <v>36</v>
      </c>
    </row>
    <row r="1357" spans="1:13" x14ac:dyDescent="0.25">
      <c r="A1357" t="s">
        <v>184</v>
      </c>
      <c r="B1357" t="str">
        <f>TEXT(Tabla24[[#This Row],[Fecha]],"dddd")</f>
        <v>domingo</v>
      </c>
      <c r="C1357" t="str">
        <f>TEXT(Tabla24[[#This Row],[Fecha]],"mmmm")</f>
        <v>septiembre</v>
      </c>
      <c r="D1357" t="str">
        <f>TEXT(Tabla24[[#This Row],[Fecha]],"aaaa")</f>
        <v>2024</v>
      </c>
      <c r="E1357" t="s">
        <v>22</v>
      </c>
      <c r="F1357" t="s">
        <v>29</v>
      </c>
      <c r="G1357" t="s">
        <v>24</v>
      </c>
      <c r="H1357" t="s">
        <v>30</v>
      </c>
      <c r="I1357" t="s">
        <v>15</v>
      </c>
      <c r="J1357">
        <v>13</v>
      </c>
      <c r="K1357">
        <v>29276</v>
      </c>
      <c r="L1357">
        <f>Tabla24[[#This Row],[Precio_Unitario]]*Tabla24[[#This Row],[Unidades_Vendidas]]</f>
        <v>380588</v>
      </c>
      <c r="M1357" t="s">
        <v>27</v>
      </c>
    </row>
    <row r="1358" spans="1:13" x14ac:dyDescent="0.25">
      <c r="A1358" t="s">
        <v>285</v>
      </c>
      <c r="B1358" t="str">
        <f>TEXT(Tabla24[[#This Row],[Fecha]],"dddd")</f>
        <v>miércoles</v>
      </c>
      <c r="C1358" t="str">
        <f>TEXT(Tabla24[[#This Row],[Fecha]],"mmmm")</f>
        <v>octubre</v>
      </c>
      <c r="D1358" t="str">
        <f>TEXT(Tabla24[[#This Row],[Fecha]],"aaaa")</f>
        <v>2024</v>
      </c>
      <c r="E1358" t="s">
        <v>22</v>
      </c>
      <c r="F1358" t="s">
        <v>38</v>
      </c>
      <c r="G1358" t="s">
        <v>24</v>
      </c>
      <c r="H1358" t="s">
        <v>14</v>
      </c>
      <c r="I1358" t="s">
        <v>40</v>
      </c>
      <c r="J1358">
        <v>9</v>
      </c>
      <c r="K1358">
        <v>35303</v>
      </c>
      <c r="L1358">
        <f>Tabla24[[#This Row],[Precio_Unitario]]*Tabla24[[#This Row],[Unidades_Vendidas]]</f>
        <v>317727</v>
      </c>
      <c r="M1358" t="s">
        <v>27</v>
      </c>
    </row>
    <row r="1359" spans="1:13" x14ac:dyDescent="0.25">
      <c r="A1359" t="s">
        <v>235</v>
      </c>
      <c r="B1359" t="str">
        <f>TEXT(Tabla24[[#This Row],[Fecha]],"dddd")</f>
        <v>jueves</v>
      </c>
      <c r="C1359" t="str">
        <f>TEXT(Tabla24[[#This Row],[Fecha]],"mmmm")</f>
        <v>diciembre</v>
      </c>
      <c r="D1359" t="str">
        <f>TEXT(Tabla24[[#This Row],[Fecha]],"aaaa")</f>
        <v>2024</v>
      </c>
      <c r="E1359" t="s">
        <v>18</v>
      </c>
      <c r="F1359" t="s">
        <v>23</v>
      </c>
      <c r="G1359" t="s">
        <v>48</v>
      </c>
      <c r="H1359" t="s">
        <v>14</v>
      </c>
      <c r="I1359" t="s">
        <v>40</v>
      </c>
      <c r="J1359">
        <v>13</v>
      </c>
      <c r="K1359">
        <v>36291</v>
      </c>
      <c r="L1359">
        <f>Tabla24[[#This Row],[Precio_Unitario]]*Tabla24[[#This Row],[Unidades_Vendidas]]</f>
        <v>471783</v>
      </c>
      <c r="M1359" t="s">
        <v>16</v>
      </c>
    </row>
    <row r="1360" spans="1:13" x14ac:dyDescent="0.25">
      <c r="A1360" t="s">
        <v>339</v>
      </c>
      <c r="B1360" t="str">
        <f>TEXT(Tabla24[[#This Row],[Fecha]],"dddd")</f>
        <v>martes</v>
      </c>
      <c r="C1360" t="str">
        <f>TEXT(Tabla24[[#This Row],[Fecha]],"mmmm")</f>
        <v>mayo</v>
      </c>
      <c r="D1360" t="str">
        <f>TEXT(Tabla24[[#This Row],[Fecha]],"aaaa")</f>
        <v>2024</v>
      </c>
      <c r="E1360" t="s">
        <v>22</v>
      </c>
      <c r="F1360" t="s">
        <v>34</v>
      </c>
      <c r="G1360" t="s">
        <v>48</v>
      </c>
      <c r="H1360" t="s">
        <v>35</v>
      </c>
      <c r="I1360" t="s">
        <v>15</v>
      </c>
      <c r="J1360">
        <v>15</v>
      </c>
      <c r="K1360">
        <v>30972</v>
      </c>
      <c r="L1360">
        <f>Tabla24[[#This Row],[Precio_Unitario]]*Tabla24[[#This Row],[Unidades_Vendidas]]</f>
        <v>464580</v>
      </c>
      <c r="M1360" t="s">
        <v>16</v>
      </c>
    </row>
    <row r="1361" spans="1:13" x14ac:dyDescent="0.25">
      <c r="A1361" t="s">
        <v>242</v>
      </c>
      <c r="B1361" t="str">
        <f>TEXT(Tabla24[[#This Row],[Fecha]],"dddd")</f>
        <v>sábado</v>
      </c>
      <c r="C1361" t="str">
        <f>TEXT(Tabla24[[#This Row],[Fecha]],"mmmm")</f>
        <v>julio</v>
      </c>
      <c r="D1361" t="str">
        <f>TEXT(Tabla24[[#This Row],[Fecha]],"aaaa")</f>
        <v>2024</v>
      </c>
      <c r="E1361" t="s">
        <v>11</v>
      </c>
      <c r="F1361" t="s">
        <v>29</v>
      </c>
      <c r="G1361" t="s">
        <v>39</v>
      </c>
      <c r="H1361" t="s">
        <v>35</v>
      </c>
      <c r="I1361" t="s">
        <v>26</v>
      </c>
      <c r="J1361">
        <v>1</v>
      </c>
      <c r="K1361">
        <v>27817</v>
      </c>
      <c r="L1361">
        <f>Tabla24[[#This Row],[Precio_Unitario]]*Tabla24[[#This Row],[Unidades_Vendidas]]</f>
        <v>27817</v>
      </c>
      <c r="M1361" t="s">
        <v>27</v>
      </c>
    </row>
    <row r="1362" spans="1:13" x14ac:dyDescent="0.25">
      <c r="A1362" t="s">
        <v>311</v>
      </c>
      <c r="B1362" t="str">
        <f>TEXT(Tabla24[[#This Row],[Fecha]],"dddd")</f>
        <v>miércoles</v>
      </c>
      <c r="C1362" t="str">
        <f>TEXT(Tabla24[[#This Row],[Fecha]],"mmmm")</f>
        <v>abril</v>
      </c>
      <c r="D1362" t="str">
        <f>TEXT(Tabla24[[#This Row],[Fecha]],"aaaa")</f>
        <v>2024</v>
      </c>
      <c r="E1362" t="s">
        <v>33</v>
      </c>
      <c r="F1362" t="s">
        <v>12</v>
      </c>
      <c r="G1362" t="s">
        <v>44</v>
      </c>
      <c r="H1362" t="s">
        <v>19</v>
      </c>
      <c r="I1362" t="s">
        <v>26</v>
      </c>
      <c r="J1362">
        <v>18</v>
      </c>
      <c r="K1362">
        <v>34152</v>
      </c>
      <c r="L1362">
        <f>Tabla24[[#This Row],[Precio_Unitario]]*Tabla24[[#This Row],[Unidades_Vendidas]]</f>
        <v>614736</v>
      </c>
      <c r="M1362" t="s">
        <v>20</v>
      </c>
    </row>
    <row r="1363" spans="1:13" x14ac:dyDescent="0.25">
      <c r="A1363" t="s">
        <v>235</v>
      </c>
      <c r="B1363" t="str">
        <f>TEXT(Tabla24[[#This Row],[Fecha]],"dddd")</f>
        <v>jueves</v>
      </c>
      <c r="C1363" t="str">
        <f>TEXT(Tabla24[[#This Row],[Fecha]],"mmmm")</f>
        <v>diciembre</v>
      </c>
      <c r="D1363" t="str">
        <f>TEXT(Tabla24[[#This Row],[Fecha]],"aaaa")</f>
        <v>2024</v>
      </c>
      <c r="E1363" t="s">
        <v>42</v>
      </c>
      <c r="F1363" t="s">
        <v>23</v>
      </c>
      <c r="G1363" t="s">
        <v>39</v>
      </c>
      <c r="H1363" t="s">
        <v>19</v>
      </c>
      <c r="I1363" t="s">
        <v>40</v>
      </c>
      <c r="J1363">
        <v>17</v>
      </c>
      <c r="K1363">
        <v>19057</v>
      </c>
      <c r="L1363">
        <f>Tabla24[[#This Row],[Precio_Unitario]]*Tabla24[[#This Row],[Unidades_Vendidas]]</f>
        <v>323969</v>
      </c>
      <c r="M1363" t="s">
        <v>36</v>
      </c>
    </row>
    <row r="1364" spans="1:13" x14ac:dyDescent="0.25">
      <c r="A1364" t="s">
        <v>328</v>
      </c>
      <c r="B1364" t="str">
        <f>TEXT(Tabla24[[#This Row],[Fecha]],"dddd")</f>
        <v>viernes</v>
      </c>
      <c r="C1364" t="str">
        <f>TEXT(Tabla24[[#This Row],[Fecha]],"mmmm")</f>
        <v>diciembre</v>
      </c>
      <c r="D1364" t="str">
        <f>TEXT(Tabla24[[#This Row],[Fecha]],"aaaa")</f>
        <v>2024</v>
      </c>
      <c r="E1364" t="s">
        <v>18</v>
      </c>
      <c r="F1364" t="s">
        <v>38</v>
      </c>
      <c r="G1364" t="s">
        <v>48</v>
      </c>
      <c r="H1364" t="s">
        <v>30</v>
      </c>
      <c r="I1364" t="s">
        <v>26</v>
      </c>
      <c r="J1364">
        <v>6</v>
      </c>
      <c r="K1364">
        <v>48798</v>
      </c>
      <c r="L1364">
        <f>Tabla24[[#This Row],[Precio_Unitario]]*Tabla24[[#This Row],[Unidades_Vendidas]]</f>
        <v>292788</v>
      </c>
      <c r="M1364" t="s">
        <v>36</v>
      </c>
    </row>
    <row r="1365" spans="1:13" x14ac:dyDescent="0.25">
      <c r="A1365" t="s">
        <v>170</v>
      </c>
      <c r="B1365" t="str">
        <f>TEXT(Tabla24[[#This Row],[Fecha]],"dddd")</f>
        <v>viernes</v>
      </c>
      <c r="C1365" t="str">
        <f>TEXT(Tabla24[[#This Row],[Fecha]],"mmmm")</f>
        <v>agosto</v>
      </c>
      <c r="D1365" t="str">
        <f>TEXT(Tabla24[[#This Row],[Fecha]],"aaaa")</f>
        <v>2024</v>
      </c>
      <c r="E1365" t="s">
        <v>22</v>
      </c>
      <c r="F1365" t="s">
        <v>29</v>
      </c>
      <c r="G1365" t="s">
        <v>48</v>
      </c>
      <c r="H1365" t="s">
        <v>19</v>
      </c>
      <c r="I1365" t="s">
        <v>15</v>
      </c>
      <c r="J1365">
        <v>4</v>
      </c>
      <c r="K1365">
        <v>51097</v>
      </c>
      <c r="L1365">
        <f>Tabla24[[#This Row],[Precio_Unitario]]*Tabla24[[#This Row],[Unidades_Vendidas]]</f>
        <v>204388</v>
      </c>
      <c r="M1365" t="s">
        <v>16</v>
      </c>
    </row>
    <row r="1366" spans="1:13" x14ac:dyDescent="0.25">
      <c r="A1366" t="s">
        <v>151</v>
      </c>
      <c r="B1366" t="str">
        <f>TEXT(Tabla24[[#This Row],[Fecha]],"dddd")</f>
        <v>domingo</v>
      </c>
      <c r="C1366" t="str">
        <f>TEXT(Tabla24[[#This Row],[Fecha]],"mmmm")</f>
        <v>mayo</v>
      </c>
      <c r="D1366" t="str">
        <f>TEXT(Tabla24[[#This Row],[Fecha]],"aaaa")</f>
        <v>2024</v>
      </c>
      <c r="E1366" t="s">
        <v>18</v>
      </c>
      <c r="F1366" t="s">
        <v>38</v>
      </c>
      <c r="G1366" t="s">
        <v>44</v>
      </c>
      <c r="H1366" t="s">
        <v>25</v>
      </c>
      <c r="I1366" t="s">
        <v>26</v>
      </c>
      <c r="J1366">
        <v>17</v>
      </c>
      <c r="K1366">
        <v>43430</v>
      </c>
      <c r="L1366">
        <f>Tabla24[[#This Row],[Precio_Unitario]]*Tabla24[[#This Row],[Unidades_Vendidas]]</f>
        <v>738310</v>
      </c>
      <c r="M1366" t="s">
        <v>16</v>
      </c>
    </row>
    <row r="1367" spans="1:13" x14ac:dyDescent="0.25">
      <c r="A1367" t="s">
        <v>193</v>
      </c>
      <c r="B1367" t="str">
        <f>TEXT(Tabla24[[#This Row],[Fecha]],"dddd")</f>
        <v>miércoles</v>
      </c>
      <c r="C1367" t="str">
        <f>TEXT(Tabla24[[#This Row],[Fecha]],"mmmm")</f>
        <v>junio</v>
      </c>
      <c r="D1367" t="str">
        <f>TEXT(Tabla24[[#This Row],[Fecha]],"aaaa")</f>
        <v>2024</v>
      </c>
      <c r="E1367" t="s">
        <v>11</v>
      </c>
      <c r="F1367" t="s">
        <v>29</v>
      </c>
      <c r="G1367" t="s">
        <v>13</v>
      </c>
      <c r="H1367" t="s">
        <v>25</v>
      </c>
      <c r="I1367" t="s">
        <v>26</v>
      </c>
      <c r="J1367">
        <v>10</v>
      </c>
      <c r="K1367">
        <v>37585</v>
      </c>
      <c r="L1367">
        <f>Tabla24[[#This Row],[Precio_Unitario]]*Tabla24[[#This Row],[Unidades_Vendidas]]</f>
        <v>375850</v>
      </c>
      <c r="M1367" t="s">
        <v>20</v>
      </c>
    </row>
    <row r="1368" spans="1:13" x14ac:dyDescent="0.25">
      <c r="A1368" t="s">
        <v>145</v>
      </c>
      <c r="B1368" t="str">
        <f>TEXT(Tabla24[[#This Row],[Fecha]],"dddd")</f>
        <v>jueves</v>
      </c>
      <c r="C1368" t="str">
        <f>TEXT(Tabla24[[#This Row],[Fecha]],"mmmm")</f>
        <v>diciembre</v>
      </c>
      <c r="D1368" t="str">
        <f>TEXT(Tabla24[[#This Row],[Fecha]],"aaaa")</f>
        <v>2024</v>
      </c>
      <c r="E1368" t="s">
        <v>22</v>
      </c>
      <c r="F1368" t="s">
        <v>29</v>
      </c>
      <c r="G1368" t="s">
        <v>48</v>
      </c>
      <c r="H1368" t="s">
        <v>19</v>
      </c>
      <c r="I1368" t="s">
        <v>40</v>
      </c>
      <c r="J1368">
        <v>15</v>
      </c>
      <c r="K1368">
        <v>55907</v>
      </c>
      <c r="L1368">
        <f>Tabla24[[#This Row],[Precio_Unitario]]*Tabla24[[#This Row],[Unidades_Vendidas]]</f>
        <v>838605</v>
      </c>
      <c r="M1368" t="s">
        <v>36</v>
      </c>
    </row>
    <row r="1369" spans="1:13" x14ac:dyDescent="0.25">
      <c r="A1369" t="s">
        <v>191</v>
      </c>
      <c r="B1369" t="str">
        <f>TEXT(Tabla24[[#This Row],[Fecha]],"dddd")</f>
        <v>sábado</v>
      </c>
      <c r="C1369" t="str">
        <f>TEXT(Tabla24[[#This Row],[Fecha]],"mmmm")</f>
        <v>marzo</v>
      </c>
      <c r="D1369" t="str">
        <f>TEXT(Tabla24[[#This Row],[Fecha]],"aaaa")</f>
        <v>2024</v>
      </c>
      <c r="E1369" t="s">
        <v>18</v>
      </c>
      <c r="F1369" t="s">
        <v>34</v>
      </c>
      <c r="G1369" t="s">
        <v>13</v>
      </c>
      <c r="H1369" t="s">
        <v>25</v>
      </c>
      <c r="I1369" t="s">
        <v>40</v>
      </c>
      <c r="J1369">
        <v>6</v>
      </c>
      <c r="K1369">
        <v>57788</v>
      </c>
      <c r="L1369">
        <f>Tabla24[[#This Row],[Precio_Unitario]]*Tabla24[[#This Row],[Unidades_Vendidas]]</f>
        <v>346728</v>
      </c>
      <c r="M1369" t="s">
        <v>27</v>
      </c>
    </row>
    <row r="1370" spans="1:13" x14ac:dyDescent="0.25">
      <c r="A1370" t="s">
        <v>163</v>
      </c>
      <c r="B1370" t="str">
        <f>TEXT(Tabla24[[#This Row],[Fecha]],"dddd")</f>
        <v>miércoles</v>
      </c>
      <c r="C1370" t="str">
        <f>TEXT(Tabla24[[#This Row],[Fecha]],"mmmm")</f>
        <v>octubre</v>
      </c>
      <c r="D1370" t="str">
        <f>TEXT(Tabla24[[#This Row],[Fecha]],"aaaa")</f>
        <v>2024</v>
      </c>
      <c r="E1370" t="s">
        <v>11</v>
      </c>
      <c r="F1370" t="s">
        <v>12</v>
      </c>
      <c r="G1370" t="s">
        <v>24</v>
      </c>
      <c r="H1370" t="s">
        <v>35</v>
      </c>
      <c r="I1370" t="s">
        <v>26</v>
      </c>
      <c r="J1370">
        <v>6</v>
      </c>
      <c r="K1370">
        <v>54963</v>
      </c>
      <c r="L1370">
        <f>Tabla24[[#This Row],[Precio_Unitario]]*Tabla24[[#This Row],[Unidades_Vendidas]]</f>
        <v>329778</v>
      </c>
      <c r="M1370" t="s">
        <v>36</v>
      </c>
    </row>
    <row r="1371" spans="1:13" x14ac:dyDescent="0.25">
      <c r="A1371" t="s">
        <v>231</v>
      </c>
      <c r="B1371" t="str">
        <f>TEXT(Tabla24[[#This Row],[Fecha]],"dddd")</f>
        <v>sábado</v>
      </c>
      <c r="C1371" t="str">
        <f>TEXT(Tabla24[[#This Row],[Fecha]],"mmmm")</f>
        <v>mayo</v>
      </c>
      <c r="D1371" t="str">
        <f>TEXT(Tabla24[[#This Row],[Fecha]],"aaaa")</f>
        <v>2024</v>
      </c>
      <c r="E1371" t="s">
        <v>22</v>
      </c>
      <c r="F1371" t="s">
        <v>38</v>
      </c>
      <c r="G1371" t="s">
        <v>48</v>
      </c>
      <c r="H1371" t="s">
        <v>14</v>
      </c>
      <c r="I1371" t="s">
        <v>26</v>
      </c>
      <c r="J1371">
        <v>20</v>
      </c>
      <c r="K1371">
        <v>47338</v>
      </c>
      <c r="L1371">
        <f>Tabla24[[#This Row],[Precio_Unitario]]*Tabla24[[#This Row],[Unidades_Vendidas]]</f>
        <v>946760</v>
      </c>
      <c r="M1371" t="s">
        <v>20</v>
      </c>
    </row>
    <row r="1372" spans="1:13" x14ac:dyDescent="0.25">
      <c r="A1372" t="s">
        <v>393</v>
      </c>
      <c r="B1372" t="str">
        <f>TEXT(Tabla24[[#This Row],[Fecha]],"dddd")</f>
        <v>domingo</v>
      </c>
      <c r="C1372" t="str">
        <f>TEXT(Tabla24[[#This Row],[Fecha]],"mmmm")</f>
        <v>abril</v>
      </c>
      <c r="D1372" t="str">
        <f>TEXT(Tabla24[[#This Row],[Fecha]],"aaaa")</f>
        <v>2024</v>
      </c>
      <c r="E1372" t="s">
        <v>11</v>
      </c>
      <c r="F1372" t="s">
        <v>23</v>
      </c>
      <c r="G1372" t="s">
        <v>44</v>
      </c>
      <c r="H1372" t="s">
        <v>19</v>
      </c>
      <c r="I1372" t="s">
        <v>15</v>
      </c>
      <c r="J1372">
        <v>18</v>
      </c>
      <c r="K1372">
        <v>42485</v>
      </c>
      <c r="L1372">
        <f>Tabla24[[#This Row],[Precio_Unitario]]*Tabla24[[#This Row],[Unidades_Vendidas]]</f>
        <v>764730</v>
      </c>
      <c r="M1372" t="s">
        <v>36</v>
      </c>
    </row>
    <row r="1373" spans="1:13" x14ac:dyDescent="0.25">
      <c r="A1373" t="s">
        <v>311</v>
      </c>
      <c r="B1373" t="str">
        <f>TEXT(Tabla24[[#This Row],[Fecha]],"dddd")</f>
        <v>miércoles</v>
      </c>
      <c r="C1373" t="str">
        <f>TEXT(Tabla24[[#This Row],[Fecha]],"mmmm")</f>
        <v>abril</v>
      </c>
      <c r="D1373" t="str">
        <f>TEXT(Tabla24[[#This Row],[Fecha]],"aaaa")</f>
        <v>2024</v>
      </c>
      <c r="E1373" t="s">
        <v>22</v>
      </c>
      <c r="F1373" t="s">
        <v>38</v>
      </c>
      <c r="G1373" t="s">
        <v>39</v>
      </c>
      <c r="H1373" t="s">
        <v>19</v>
      </c>
      <c r="I1373" t="s">
        <v>15</v>
      </c>
      <c r="J1373">
        <v>20</v>
      </c>
      <c r="K1373">
        <v>58871</v>
      </c>
      <c r="L1373">
        <f>Tabla24[[#This Row],[Precio_Unitario]]*Tabla24[[#This Row],[Unidades_Vendidas]]</f>
        <v>1177420</v>
      </c>
      <c r="M1373" t="s">
        <v>27</v>
      </c>
    </row>
    <row r="1374" spans="1:13" x14ac:dyDescent="0.25">
      <c r="A1374" t="s">
        <v>73</v>
      </c>
      <c r="B1374" t="str">
        <f>TEXT(Tabla24[[#This Row],[Fecha]],"dddd")</f>
        <v>jueves</v>
      </c>
      <c r="C1374" t="str">
        <f>TEXT(Tabla24[[#This Row],[Fecha]],"mmmm")</f>
        <v>febrero</v>
      </c>
      <c r="D1374" t="str">
        <f>TEXT(Tabla24[[#This Row],[Fecha]],"aaaa")</f>
        <v>2024</v>
      </c>
      <c r="E1374" t="s">
        <v>18</v>
      </c>
      <c r="F1374" t="s">
        <v>23</v>
      </c>
      <c r="G1374" t="s">
        <v>48</v>
      </c>
      <c r="H1374" t="s">
        <v>25</v>
      </c>
      <c r="I1374" t="s">
        <v>26</v>
      </c>
      <c r="J1374">
        <v>10</v>
      </c>
      <c r="K1374">
        <v>28769</v>
      </c>
      <c r="L1374">
        <f>Tabla24[[#This Row],[Precio_Unitario]]*Tabla24[[#This Row],[Unidades_Vendidas]]</f>
        <v>287690</v>
      </c>
      <c r="M1374" t="s">
        <v>16</v>
      </c>
    </row>
    <row r="1375" spans="1:13" x14ac:dyDescent="0.25">
      <c r="A1375" t="s">
        <v>371</v>
      </c>
      <c r="B1375" t="str">
        <f>TEXT(Tabla24[[#This Row],[Fecha]],"dddd")</f>
        <v>jueves</v>
      </c>
      <c r="C1375" t="str">
        <f>TEXT(Tabla24[[#This Row],[Fecha]],"mmmm")</f>
        <v>abril</v>
      </c>
      <c r="D1375" t="str">
        <f>TEXT(Tabla24[[#This Row],[Fecha]],"aaaa")</f>
        <v>2024</v>
      </c>
      <c r="E1375" t="s">
        <v>33</v>
      </c>
      <c r="F1375" t="s">
        <v>23</v>
      </c>
      <c r="G1375" t="s">
        <v>48</v>
      </c>
      <c r="H1375" t="s">
        <v>25</v>
      </c>
      <c r="I1375" t="s">
        <v>26</v>
      </c>
      <c r="J1375">
        <v>3</v>
      </c>
      <c r="K1375">
        <v>15956</v>
      </c>
      <c r="L1375">
        <f>Tabla24[[#This Row],[Precio_Unitario]]*Tabla24[[#This Row],[Unidades_Vendidas]]</f>
        <v>47868</v>
      </c>
      <c r="M1375" t="s">
        <v>16</v>
      </c>
    </row>
    <row r="1376" spans="1:13" x14ac:dyDescent="0.25">
      <c r="A1376" t="s">
        <v>302</v>
      </c>
      <c r="B1376" t="str">
        <f>TEXT(Tabla24[[#This Row],[Fecha]],"dddd")</f>
        <v>viernes</v>
      </c>
      <c r="C1376" t="str">
        <f>TEXT(Tabla24[[#This Row],[Fecha]],"mmmm")</f>
        <v>diciembre</v>
      </c>
      <c r="D1376" t="str">
        <f>TEXT(Tabla24[[#This Row],[Fecha]],"aaaa")</f>
        <v>2024</v>
      </c>
      <c r="E1376" t="s">
        <v>22</v>
      </c>
      <c r="F1376" t="s">
        <v>38</v>
      </c>
      <c r="G1376" t="s">
        <v>44</v>
      </c>
      <c r="H1376" t="s">
        <v>19</v>
      </c>
      <c r="I1376" t="s">
        <v>40</v>
      </c>
      <c r="J1376">
        <v>13</v>
      </c>
      <c r="K1376">
        <v>17779</v>
      </c>
      <c r="L1376">
        <f>Tabla24[[#This Row],[Precio_Unitario]]*Tabla24[[#This Row],[Unidades_Vendidas]]</f>
        <v>231127</v>
      </c>
      <c r="M1376" t="s">
        <v>20</v>
      </c>
    </row>
    <row r="1377" spans="1:13" x14ac:dyDescent="0.25">
      <c r="A1377" t="s">
        <v>127</v>
      </c>
      <c r="B1377" t="str">
        <f>TEXT(Tabla24[[#This Row],[Fecha]],"dddd")</f>
        <v>sábado</v>
      </c>
      <c r="C1377" t="str">
        <f>TEXT(Tabla24[[#This Row],[Fecha]],"mmmm")</f>
        <v>septiembre</v>
      </c>
      <c r="D1377" t="str">
        <f>TEXT(Tabla24[[#This Row],[Fecha]],"aaaa")</f>
        <v>2024</v>
      </c>
      <c r="E1377" t="s">
        <v>22</v>
      </c>
      <c r="F1377" t="s">
        <v>29</v>
      </c>
      <c r="G1377" t="s">
        <v>44</v>
      </c>
      <c r="H1377" t="s">
        <v>30</v>
      </c>
      <c r="I1377" t="s">
        <v>15</v>
      </c>
      <c r="J1377">
        <v>8</v>
      </c>
      <c r="K1377">
        <v>20778</v>
      </c>
      <c r="L1377">
        <f>Tabla24[[#This Row],[Precio_Unitario]]*Tabla24[[#This Row],[Unidades_Vendidas]]</f>
        <v>166224</v>
      </c>
      <c r="M1377" t="s">
        <v>36</v>
      </c>
    </row>
    <row r="1378" spans="1:13" x14ac:dyDescent="0.25">
      <c r="A1378" t="s">
        <v>70</v>
      </c>
      <c r="B1378" t="str">
        <f>TEXT(Tabla24[[#This Row],[Fecha]],"dddd")</f>
        <v>martes</v>
      </c>
      <c r="C1378" t="str">
        <f>TEXT(Tabla24[[#This Row],[Fecha]],"mmmm")</f>
        <v>julio</v>
      </c>
      <c r="D1378" t="str">
        <f>TEXT(Tabla24[[#This Row],[Fecha]],"aaaa")</f>
        <v>2024</v>
      </c>
      <c r="E1378" t="s">
        <v>22</v>
      </c>
      <c r="F1378" t="s">
        <v>38</v>
      </c>
      <c r="G1378" t="s">
        <v>44</v>
      </c>
      <c r="H1378" t="s">
        <v>14</v>
      </c>
      <c r="I1378" t="s">
        <v>40</v>
      </c>
      <c r="J1378">
        <v>1</v>
      </c>
      <c r="K1378">
        <v>44436</v>
      </c>
      <c r="L1378">
        <f>Tabla24[[#This Row],[Precio_Unitario]]*Tabla24[[#This Row],[Unidades_Vendidas]]</f>
        <v>44436</v>
      </c>
      <c r="M1378" t="s">
        <v>16</v>
      </c>
    </row>
    <row r="1379" spans="1:13" x14ac:dyDescent="0.25">
      <c r="A1379" t="s">
        <v>359</v>
      </c>
      <c r="B1379" t="str">
        <f>TEXT(Tabla24[[#This Row],[Fecha]],"dddd")</f>
        <v>domingo</v>
      </c>
      <c r="C1379" t="str">
        <f>TEXT(Tabla24[[#This Row],[Fecha]],"mmmm")</f>
        <v>marzo</v>
      </c>
      <c r="D1379" t="str">
        <f>TEXT(Tabla24[[#This Row],[Fecha]],"aaaa")</f>
        <v>2024</v>
      </c>
      <c r="E1379" t="s">
        <v>18</v>
      </c>
      <c r="F1379" t="s">
        <v>38</v>
      </c>
      <c r="G1379" t="s">
        <v>48</v>
      </c>
      <c r="H1379" t="s">
        <v>14</v>
      </c>
      <c r="I1379" t="s">
        <v>40</v>
      </c>
      <c r="J1379">
        <v>15</v>
      </c>
      <c r="K1379">
        <v>27237</v>
      </c>
      <c r="L1379">
        <f>Tabla24[[#This Row],[Precio_Unitario]]*Tabla24[[#This Row],[Unidades_Vendidas]]</f>
        <v>408555</v>
      </c>
      <c r="M1379" t="s">
        <v>20</v>
      </c>
    </row>
    <row r="1380" spans="1:13" x14ac:dyDescent="0.25">
      <c r="A1380" t="s">
        <v>93</v>
      </c>
      <c r="B1380" t="str">
        <f>TEXT(Tabla24[[#This Row],[Fecha]],"dddd")</f>
        <v>sábado</v>
      </c>
      <c r="C1380" t="str">
        <f>TEXT(Tabla24[[#This Row],[Fecha]],"mmmm")</f>
        <v>marzo</v>
      </c>
      <c r="D1380" t="str">
        <f>TEXT(Tabla24[[#This Row],[Fecha]],"aaaa")</f>
        <v>2024</v>
      </c>
      <c r="E1380" t="s">
        <v>33</v>
      </c>
      <c r="F1380" t="s">
        <v>38</v>
      </c>
      <c r="G1380" t="s">
        <v>39</v>
      </c>
      <c r="H1380" t="s">
        <v>14</v>
      </c>
      <c r="I1380" t="s">
        <v>15</v>
      </c>
      <c r="J1380">
        <v>9</v>
      </c>
      <c r="K1380">
        <v>46921</v>
      </c>
      <c r="L1380">
        <f>Tabla24[[#This Row],[Precio_Unitario]]*Tabla24[[#This Row],[Unidades_Vendidas]]</f>
        <v>422289</v>
      </c>
      <c r="M1380" t="s">
        <v>36</v>
      </c>
    </row>
    <row r="1381" spans="1:13" x14ac:dyDescent="0.25">
      <c r="A1381" t="s">
        <v>106</v>
      </c>
      <c r="B1381" t="str">
        <f>TEXT(Tabla24[[#This Row],[Fecha]],"dddd")</f>
        <v>domingo</v>
      </c>
      <c r="C1381" t="str">
        <f>TEXT(Tabla24[[#This Row],[Fecha]],"mmmm")</f>
        <v>diciembre</v>
      </c>
      <c r="D1381" t="str">
        <f>TEXT(Tabla24[[#This Row],[Fecha]],"aaaa")</f>
        <v>2024</v>
      </c>
      <c r="E1381" t="s">
        <v>33</v>
      </c>
      <c r="F1381" t="s">
        <v>12</v>
      </c>
      <c r="G1381" t="s">
        <v>24</v>
      </c>
      <c r="H1381" t="s">
        <v>19</v>
      </c>
      <c r="I1381" t="s">
        <v>15</v>
      </c>
      <c r="J1381">
        <v>13</v>
      </c>
      <c r="K1381">
        <v>58744</v>
      </c>
      <c r="L1381">
        <f>Tabla24[[#This Row],[Precio_Unitario]]*Tabla24[[#This Row],[Unidades_Vendidas]]</f>
        <v>763672</v>
      </c>
      <c r="M1381" t="s">
        <v>20</v>
      </c>
    </row>
    <row r="1382" spans="1:13" x14ac:dyDescent="0.25">
      <c r="A1382" t="s">
        <v>130</v>
      </c>
      <c r="B1382" t="str">
        <f>TEXT(Tabla24[[#This Row],[Fecha]],"dddd")</f>
        <v>jueves</v>
      </c>
      <c r="C1382" t="str">
        <f>TEXT(Tabla24[[#This Row],[Fecha]],"mmmm")</f>
        <v>agosto</v>
      </c>
      <c r="D1382" t="str">
        <f>TEXT(Tabla24[[#This Row],[Fecha]],"aaaa")</f>
        <v>2024</v>
      </c>
      <c r="E1382" t="s">
        <v>11</v>
      </c>
      <c r="F1382" t="s">
        <v>12</v>
      </c>
      <c r="G1382" t="s">
        <v>13</v>
      </c>
      <c r="H1382" t="s">
        <v>30</v>
      </c>
      <c r="I1382" t="s">
        <v>40</v>
      </c>
      <c r="J1382">
        <v>6</v>
      </c>
      <c r="K1382">
        <v>24847</v>
      </c>
      <c r="L1382">
        <f>Tabla24[[#This Row],[Precio_Unitario]]*Tabla24[[#This Row],[Unidades_Vendidas]]</f>
        <v>149082</v>
      </c>
      <c r="M1382" t="s">
        <v>20</v>
      </c>
    </row>
    <row r="1383" spans="1:13" x14ac:dyDescent="0.25">
      <c r="A1383" t="s">
        <v>241</v>
      </c>
      <c r="B1383" t="str">
        <f>TEXT(Tabla24[[#This Row],[Fecha]],"dddd")</f>
        <v>domingo</v>
      </c>
      <c r="C1383" t="str">
        <f>TEXT(Tabla24[[#This Row],[Fecha]],"mmmm")</f>
        <v>febrero</v>
      </c>
      <c r="D1383" t="str">
        <f>TEXT(Tabla24[[#This Row],[Fecha]],"aaaa")</f>
        <v>2024</v>
      </c>
      <c r="E1383" t="s">
        <v>42</v>
      </c>
      <c r="F1383" t="s">
        <v>34</v>
      </c>
      <c r="G1383" t="s">
        <v>44</v>
      </c>
      <c r="H1383" t="s">
        <v>14</v>
      </c>
      <c r="I1383" t="s">
        <v>15</v>
      </c>
      <c r="J1383">
        <v>15</v>
      </c>
      <c r="K1383">
        <v>22656</v>
      </c>
      <c r="L1383">
        <f>Tabla24[[#This Row],[Precio_Unitario]]*Tabla24[[#This Row],[Unidades_Vendidas]]</f>
        <v>339840</v>
      </c>
      <c r="M1383" t="s">
        <v>20</v>
      </c>
    </row>
    <row r="1384" spans="1:13" x14ac:dyDescent="0.25">
      <c r="A1384" t="s">
        <v>231</v>
      </c>
      <c r="B1384" t="str">
        <f>TEXT(Tabla24[[#This Row],[Fecha]],"dddd")</f>
        <v>sábado</v>
      </c>
      <c r="C1384" t="str">
        <f>TEXT(Tabla24[[#This Row],[Fecha]],"mmmm")</f>
        <v>mayo</v>
      </c>
      <c r="D1384" t="str">
        <f>TEXT(Tabla24[[#This Row],[Fecha]],"aaaa")</f>
        <v>2024</v>
      </c>
      <c r="E1384" t="s">
        <v>33</v>
      </c>
      <c r="F1384" t="s">
        <v>12</v>
      </c>
      <c r="G1384" t="s">
        <v>48</v>
      </c>
      <c r="H1384" t="s">
        <v>19</v>
      </c>
      <c r="I1384" t="s">
        <v>40</v>
      </c>
      <c r="J1384">
        <v>17</v>
      </c>
      <c r="K1384">
        <v>20009</v>
      </c>
      <c r="L1384">
        <f>Tabla24[[#This Row],[Precio_Unitario]]*Tabla24[[#This Row],[Unidades_Vendidas]]</f>
        <v>340153</v>
      </c>
      <c r="M1384" t="s">
        <v>20</v>
      </c>
    </row>
    <row r="1385" spans="1:13" x14ac:dyDescent="0.25">
      <c r="A1385" t="s">
        <v>51</v>
      </c>
      <c r="B1385" t="str">
        <f>TEXT(Tabla24[[#This Row],[Fecha]],"dddd")</f>
        <v>miércoles</v>
      </c>
      <c r="C1385" t="str">
        <f>TEXT(Tabla24[[#This Row],[Fecha]],"mmmm")</f>
        <v>octubre</v>
      </c>
      <c r="D1385" t="str">
        <f>TEXT(Tabla24[[#This Row],[Fecha]],"aaaa")</f>
        <v>2024</v>
      </c>
      <c r="E1385" t="s">
        <v>11</v>
      </c>
      <c r="F1385" t="s">
        <v>34</v>
      </c>
      <c r="G1385" t="s">
        <v>48</v>
      </c>
      <c r="H1385" t="s">
        <v>35</v>
      </c>
      <c r="I1385" t="s">
        <v>26</v>
      </c>
      <c r="J1385">
        <v>16</v>
      </c>
      <c r="K1385">
        <v>22654</v>
      </c>
      <c r="L1385">
        <f>Tabla24[[#This Row],[Precio_Unitario]]*Tabla24[[#This Row],[Unidades_Vendidas]]</f>
        <v>362464</v>
      </c>
      <c r="M1385" t="s">
        <v>27</v>
      </c>
    </row>
    <row r="1386" spans="1:13" x14ac:dyDescent="0.25">
      <c r="A1386" t="s">
        <v>304</v>
      </c>
      <c r="B1386" t="str">
        <f>TEXT(Tabla24[[#This Row],[Fecha]],"dddd")</f>
        <v>martes</v>
      </c>
      <c r="C1386" t="str">
        <f>TEXT(Tabla24[[#This Row],[Fecha]],"mmmm")</f>
        <v>agosto</v>
      </c>
      <c r="D1386" t="str">
        <f>TEXT(Tabla24[[#This Row],[Fecha]],"aaaa")</f>
        <v>2024</v>
      </c>
      <c r="E1386" t="s">
        <v>22</v>
      </c>
      <c r="F1386" t="s">
        <v>23</v>
      </c>
      <c r="G1386" t="s">
        <v>39</v>
      </c>
      <c r="H1386" t="s">
        <v>25</v>
      </c>
      <c r="I1386" t="s">
        <v>40</v>
      </c>
      <c r="J1386">
        <v>20</v>
      </c>
      <c r="K1386">
        <v>46419</v>
      </c>
      <c r="L1386">
        <f>Tabla24[[#This Row],[Precio_Unitario]]*Tabla24[[#This Row],[Unidades_Vendidas]]</f>
        <v>928380</v>
      </c>
      <c r="M1386" t="s">
        <v>20</v>
      </c>
    </row>
    <row r="1387" spans="1:13" x14ac:dyDescent="0.25">
      <c r="A1387" t="s">
        <v>354</v>
      </c>
      <c r="B1387" t="str">
        <f>TEXT(Tabla24[[#This Row],[Fecha]],"dddd")</f>
        <v>domingo</v>
      </c>
      <c r="C1387" t="str">
        <f>TEXT(Tabla24[[#This Row],[Fecha]],"mmmm")</f>
        <v>abril</v>
      </c>
      <c r="D1387" t="str">
        <f>TEXT(Tabla24[[#This Row],[Fecha]],"aaaa")</f>
        <v>2024</v>
      </c>
      <c r="E1387" t="s">
        <v>11</v>
      </c>
      <c r="F1387" t="s">
        <v>38</v>
      </c>
      <c r="G1387" t="s">
        <v>44</v>
      </c>
      <c r="H1387" t="s">
        <v>30</v>
      </c>
      <c r="I1387" t="s">
        <v>15</v>
      </c>
      <c r="J1387">
        <v>5</v>
      </c>
      <c r="K1387">
        <v>34875</v>
      </c>
      <c r="L1387">
        <f>Tabla24[[#This Row],[Precio_Unitario]]*Tabla24[[#This Row],[Unidades_Vendidas]]</f>
        <v>174375</v>
      </c>
      <c r="M1387" t="s">
        <v>20</v>
      </c>
    </row>
    <row r="1388" spans="1:13" x14ac:dyDescent="0.25">
      <c r="A1388" t="s">
        <v>103</v>
      </c>
      <c r="B1388" t="str">
        <f>TEXT(Tabla24[[#This Row],[Fecha]],"dddd")</f>
        <v>martes</v>
      </c>
      <c r="C1388" t="str">
        <f>TEXT(Tabla24[[#This Row],[Fecha]],"mmmm")</f>
        <v>febrero</v>
      </c>
      <c r="D1388" t="str">
        <f>TEXT(Tabla24[[#This Row],[Fecha]],"aaaa")</f>
        <v>2024</v>
      </c>
      <c r="E1388" t="s">
        <v>33</v>
      </c>
      <c r="F1388" t="s">
        <v>34</v>
      </c>
      <c r="G1388" t="s">
        <v>39</v>
      </c>
      <c r="H1388" t="s">
        <v>25</v>
      </c>
      <c r="I1388" t="s">
        <v>26</v>
      </c>
      <c r="J1388">
        <v>1</v>
      </c>
      <c r="K1388">
        <v>38293</v>
      </c>
      <c r="L1388">
        <f>Tabla24[[#This Row],[Precio_Unitario]]*Tabla24[[#This Row],[Unidades_Vendidas]]</f>
        <v>38293</v>
      </c>
      <c r="M1388" t="s">
        <v>27</v>
      </c>
    </row>
    <row r="1389" spans="1:13" x14ac:dyDescent="0.25">
      <c r="A1389" t="s">
        <v>323</v>
      </c>
      <c r="B1389" t="str">
        <f>TEXT(Tabla24[[#This Row],[Fecha]],"dddd")</f>
        <v>domingo</v>
      </c>
      <c r="C1389" t="str">
        <f>TEXT(Tabla24[[#This Row],[Fecha]],"mmmm")</f>
        <v>julio</v>
      </c>
      <c r="D1389" t="str">
        <f>TEXT(Tabla24[[#This Row],[Fecha]],"aaaa")</f>
        <v>2024</v>
      </c>
      <c r="E1389" t="s">
        <v>42</v>
      </c>
      <c r="F1389" t="s">
        <v>29</v>
      </c>
      <c r="G1389" t="s">
        <v>13</v>
      </c>
      <c r="H1389" t="s">
        <v>30</v>
      </c>
      <c r="I1389" t="s">
        <v>15</v>
      </c>
      <c r="J1389">
        <v>15</v>
      </c>
      <c r="K1389">
        <v>54023</v>
      </c>
      <c r="L1389">
        <f>Tabla24[[#This Row],[Precio_Unitario]]*Tabla24[[#This Row],[Unidades_Vendidas]]</f>
        <v>810345</v>
      </c>
      <c r="M1389" t="s">
        <v>27</v>
      </c>
    </row>
    <row r="1390" spans="1:13" x14ac:dyDescent="0.25">
      <c r="A1390" t="s">
        <v>84</v>
      </c>
      <c r="B1390" t="str">
        <f>TEXT(Tabla24[[#This Row],[Fecha]],"dddd")</f>
        <v>miércoles</v>
      </c>
      <c r="C1390" t="str">
        <f>TEXT(Tabla24[[#This Row],[Fecha]],"mmmm")</f>
        <v>febrero</v>
      </c>
      <c r="D1390" t="str">
        <f>TEXT(Tabla24[[#This Row],[Fecha]],"aaaa")</f>
        <v>2024</v>
      </c>
      <c r="E1390" t="s">
        <v>22</v>
      </c>
      <c r="F1390" t="s">
        <v>34</v>
      </c>
      <c r="G1390" t="s">
        <v>24</v>
      </c>
      <c r="H1390" t="s">
        <v>35</v>
      </c>
      <c r="I1390" t="s">
        <v>26</v>
      </c>
      <c r="J1390">
        <v>3</v>
      </c>
      <c r="K1390">
        <v>56806</v>
      </c>
      <c r="L1390">
        <f>Tabla24[[#This Row],[Precio_Unitario]]*Tabla24[[#This Row],[Unidades_Vendidas]]</f>
        <v>170418</v>
      </c>
      <c r="M1390" t="s">
        <v>20</v>
      </c>
    </row>
    <row r="1391" spans="1:13" x14ac:dyDescent="0.25">
      <c r="A1391" t="s">
        <v>52</v>
      </c>
      <c r="B1391" t="str">
        <f>TEXT(Tabla24[[#This Row],[Fecha]],"dddd")</f>
        <v>jueves</v>
      </c>
      <c r="C1391" t="str">
        <f>TEXT(Tabla24[[#This Row],[Fecha]],"mmmm")</f>
        <v>diciembre</v>
      </c>
      <c r="D1391" t="str">
        <f>TEXT(Tabla24[[#This Row],[Fecha]],"aaaa")</f>
        <v>2024</v>
      </c>
      <c r="E1391" t="s">
        <v>18</v>
      </c>
      <c r="F1391" t="s">
        <v>34</v>
      </c>
      <c r="G1391" t="s">
        <v>24</v>
      </c>
      <c r="H1391" t="s">
        <v>35</v>
      </c>
      <c r="I1391" t="s">
        <v>40</v>
      </c>
      <c r="J1391">
        <v>11</v>
      </c>
      <c r="K1391">
        <v>37318</v>
      </c>
      <c r="L1391">
        <f>Tabla24[[#This Row],[Precio_Unitario]]*Tabla24[[#This Row],[Unidades_Vendidas]]</f>
        <v>410498</v>
      </c>
      <c r="M1391" t="s">
        <v>16</v>
      </c>
    </row>
    <row r="1392" spans="1:13" x14ac:dyDescent="0.25">
      <c r="A1392" t="s">
        <v>257</v>
      </c>
      <c r="B1392" t="str">
        <f>TEXT(Tabla24[[#This Row],[Fecha]],"dddd")</f>
        <v>viernes</v>
      </c>
      <c r="C1392" t="str">
        <f>TEXT(Tabla24[[#This Row],[Fecha]],"mmmm")</f>
        <v>marzo</v>
      </c>
      <c r="D1392" t="str">
        <f>TEXT(Tabla24[[#This Row],[Fecha]],"aaaa")</f>
        <v>2024</v>
      </c>
      <c r="E1392" t="s">
        <v>33</v>
      </c>
      <c r="F1392" t="s">
        <v>23</v>
      </c>
      <c r="G1392" t="s">
        <v>13</v>
      </c>
      <c r="H1392" t="s">
        <v>19</v>
      </c>
      <c r="I1392" t="s">
        <v>26</v>
      </c>
      <c r="J1392">
        <v>20</v>
      </c>
      <c r="K1392">
        <v>35312</v>
      </c>
      <c r="L1392">
        <f>Tabla24[[#This Row],[Precio_Unitario]]*Tabla24[[#This Row],[Unidades_Vendidas]]</f>
        <v>706240</v>
      </c>
      <c r="M1392" t="s">
        <v>27</v>
      </c>
    </row>
    <row r="1393" spans="1:13" x14ac:dyDescent="0.25">
      <c r="A1393" t="s">
        <v>269</v>
      </c>
      <c r="B1393" t="str">
        <f>TEXT(Tabla24[[#This Row],[Fecha]],"dddd")</f>
        <v>martes</v>
      </c>
      <c r="C1393" t="str">
        <f>TEXT(Tabla24[[#This Row],[Fecha]],"mmmm")</f>
        <v>marzo</v>
      </c>
      <c r="D1393" t="str">
        <f>TEXT(Tabla24[[#This Row],[Fecha]],"aaaa")</f>
        <v>2024</v>
      </c>
      <c r="E1393" t="s">
        <v>11</v>
      </c>
      <c r="F1393" t="s">
        <v>29</v>
      </c>
      <c r="G1393" t="s">
        <v>13</v>
      </c>
      <c r="H1393" t="s">
        <v>25</v>
      </c>
      <c r="I1393" t="s">
        <v>40</v>
      </c>
      <c r="J1393">
        <v>10</v>
      </c>
      <c r="K1393">
        <v>32754</v>
      </c>
      <c r="L1393">
        <f>Tabla24[[#This Row],[Precio_Unitario]]*Tabla24[[#This Row],[Unidades_Vendidas]]</f>
        <v>327540</v>
      </c>
      <c r="M1393" t="s">
        <v>16</v>
      </c>
    </row>
    <row r="1394" spans="1:13" x14ac:dyDescent="0.25">
      <c r="A1394" t="s">
        <v>154</v>
      </c>
      <c r="B1394" t="str">
        <f>TEXT(Tabla24[[#This Row],[Fecha]],"dddd")</f>
        <v>sábado</v>
      </c>
      <c r="C1394" t="str">
        <f>TEXT(Tabla24[[#This Row],[Fecha]],"mmmm")</f>
        <v>noviembre</v>
      </c>
      <c r="D1394" t="str">
        <f>TEXT(Tabla24[[#This Row],[Fecha]],"aaaa")</f>
        <v>2024</v>
      </c>
      <c r="E1394" t="s">
        <v>42</v>
      </c>
      <c r="F1394" t="s">
        <v>38</v>
      </c>
      <c r="G1394" t="s">
        <v>48</v>
      </c>
      <c r="H1394" t="s">
        <v>19</v>
      </c>
      <c r="I1394" t="s">
        <v>40</v>
      </c>
      <c r="J1394">
        <v>16</v>
      </c>
      <c r="K1394">
        <v>22602</v>
      </c>
      <c r="L1394">
        <f>Tabla24[[#This Row],[Precio_Unitario]]*Tabla24[[#This Row],[Unidades_Vendidas]]</f>
        <v>361632</v>
      </c>
      <c r="M1394" t="s">
        <v>27</v>
      </c>
    </row>
    <row r="1395" spans="1:13" x14ac:dyDescent="0.25">
      <c r="A1395" t="s">
        <v>273</v>
      </c>
      <c r="B1395" t="str">
        <f>TEXT(Tabla24[[#This Row],[Fecha]],"dddd")</f>
        <v>lunes</v>
      </c>
      <c r="C1395" t="str">
        <f>TEXT(Tabla24[[#This Row],[Fecha]],"mmmm")</f>
        <v>julio</v>
      </c>
      <c r="D1395" t="str">
        <f>TEXT(Tabla24[[#This Row],[Fecha]],"aaaa")</f>
        <v>2024</v>
      </c>
      <c r="E1395" t="s">
        <v>11</v>
      </c>
      <c r="F1395" t="s">
        <v>12</v>
      </c>
      <c r="G1395" t="s">
        <v>13</v>
      </c>
      <c r="H1395" t="s">
        <v>19</v>
      </c>
      <c r="I1395" t="s">
        <v>15</v>
      </c>
      <c r="J1395">
        <v>7</v>
      </c>
      <c r="K1395">
        <v>45982</v>
      </c>
      <c r="L1395">
        <f>Tabla24[[#This Row],[Precio_Unitario]]*Tabla24[[#This Row],[Unidades_Vendidas]]</f>
        <v>321874</v>
      </c>
      <c r="M1395" t="s">
        <v>27</v>
      </c>
    </row>
    <row r="1396" spans="1:13" x14ac:dyDescent="0.25">
      <c r="A1396" t="s">
        <v>81</v>
      </c>
      <c r="B1396" t="str">
        <f>TEXT(Tabla24[[#This Row],[Fecha]],"dddd")</f>
        <v>sábado</v>
      </c>
      <c r="C1396" t="str">
        <f>TEXT(Tabla24[[#This Row],[Fecha]],"mmmm")</f>
        <v>diciembre</v>
      </c>
      <c r="D1396" t="str">
        <f>TEXT(Tabla24[[#This Row],[Fecha]],"aaaa")</f>
        <v>2024</v>
      </c>
      <c r="E1396" t="s">
        <v>42</v>
      </c>
      <c r="F1396" t="s">
        <v>12</v>
      </c>
      <c r="G1396" t="s">
        <v>44</v>
      </c>
      <c r="H1396" t="s">
        <v>30</v>
      </c>
      <c r="I1396" t="s">
        <v>40</v>
      </c>
      <c r="J1396">
        <v>14</v>
      </c>
      <c r="K1396">
        <v>25071</v>
      </c>
      <c r="L1396">
        <f>Tabla24[[#This Row],[Precio_Unitario]]*Tabla24[[#This Row],[Unidades_Vendidas]]</f>
        <v>350994</v>
      </c>
      <c r="M1396" t="s">
        <v>16</v>
      </c>
    </row>
    <row r="1397" spans="1:13" x14ac:dyDescent="0.25">
      <c r="A1397" t="s">
        <v>154</v>
      </c>
      <c r="B1397" t="str">
        <f>TEXT(Tabla24[[#This Row],[Fecha]],"dddd")</f>
        <v>sábado</v>
      </c>
      <c r="C1397" t="str">
        <f>TEXT(Tabla24[[#This Row],[Fecha]],"mmmm")</f>
        <v>noviembre</v>
      </c>
      <c r="D1397" t="str">
        <f>TEXT(Tabla24[[#This Row],[Fecha]],"aaaa")</f>
        <v>2024</v>
      </c>
      <c r="E1397" t="s">
        <v>11</v>
      </c>
      <c r="F1397" t="s">
        <v>12</v>
      </c>
      <c r="G1397" t="s">
        <v>39</v>
      </c>
      <c r="H1397" t="s">
        <v>30</v>
      </c>
      <c r="I1397" t="s">
        <v>26</v>
      </c>
      <c r="J1397">
        <v>18</v>
      </c>
      <c r="K1397">
        <v>15606</v>
      </c>
      <c r="L1397">
        <f>Tabla24[[#This Row],[Precio_Unitario]]*Tabla24[[#This Row],[Unidades_Vendidas]]</f>
        <v>280908</v>
      </c>
      <c r="M1397" t="s">
        <v>27</v>
      </c>
    </row>
    <row r="1398" spans="1:13" x14ac:dyDescent="0.25">
      <c r="A1398" t="s">
        <v>130</v>
      </c>
      <c r="B1398" t="str">
        <f>TEXT(Tabla24[[#This Row],[Fecha]],"dddd")</f>
        <v>jueves</v>
      </c>
      <c r="C1398" t="str">
        <f>TEXT(Tabla24[[#This Row],[Fecha]],"mmmm")</f>
        <v>agosto</v>
      </c>
      <c r="D1398" t="str">
        <f>TEXT(Tabla24[[#This Row],[Fecha]],"aaaa")</f>
        <v>2024</v>
      </c>
      <c r="E1398" t="s">
        <v>33</v>
      </c>
      <c r="F1398" t="s">
        <v>38</v>
      </c>
      <c r="G1398" t="s">
        <v>48</v>
      </c>
      <c r="H1398" t="s">
        <v>30</v>
      </c>
      <c r="I1398" t="s">
        <v>15</v>
      </c>
      <c r="J1398">
        <v>10</v>
      </c>
      <c r="K1398">
        <v>43603</v>
      </c>
      <c r="L1398">
        <f>Tabla24[[#This Row],[Precio_Unitario]]*Tabla24[[#This Row],[Unidades_Vendidas]]</f>
        <v>436030</v>
      </c>
      <c r="M1398" t="s">
        <v>20</v>
      </c>
    </row>
    <row r="1399" spans="1:13" x14ac:dyDescent="0.25">
      <c r="A1399" t="s">
        <v>142</v>
      </c>
      <c r="B1399" t="str">
        <f>TEXT(Tabla24[[#This Row],[Fecha]],"dddd")</f>
        <v>jueves</v>
      </c>
      <c r="C1399" t="str">
        <f>TEXT(Tabla24[[#This Row],[Fecha]],"mmmm")</f>
        <v>julio</v>
      </c>
      <c r="D1399" t="str">
        <f>TEXT(Tabla24[[#This Row],[Fecha]],"aaaa")</f>
        <v>2024</v>
      </c>
      <c r="E1399" t="s">
        <v>33</v>
      </c>
      <c r="F1399" t="s">
        <v>23</v>
      </c>
      <c r="G1399" t="s">
        <v>39</v>
      </c>
      <c r="H1399" t="s">
        <v>25</v>
      </c>
      <c r="I1399" t="s">
        <v>15</v>
      </c>
      <c r="J1399">
        <v>11</v>
      </c>
      <c r="K1399">
        <v>49112</v>
      </c>
      <c r="L1399">
        <f>Tabla24[[#This Row],[Precio_Unitario]]*Tabla24[[#This Row],[Unidades_Vendidas]]</f>
        <v>540232</v>
      </c>
      <c r="M1399" t="s">
        <v>36</v>
      </c>
    </row>
    <row r="1400" spans="1:13" x14ac:dyDescent="0.25">
      <c r="A1400" t="s">
        <v>89</v>
      </c>
      <c r="B1400" t="str">
        <f>TEXT(Tabla24[[#This Row],[Fecha]],"dddd")</f>
        <v>lunes</v>
      </c>
      <c r="C1400" t="str">
        <f>TEXT(Tabla24[[#This Row],[Fecha]],"mmmm")</f>
        <v>agosto</v>
      </c>
      <c r="D1400" t="str">
        <f>TEXT(Tabla24[[#This Row],[Fecha]],"aaaa")</f>
        <v>2024</v>
      </c>
      <c r="E1400" t="s">
        <v>18</v>
      </c>
      <c r="F1400" t="s">
        <v>12</v>
      </c>
      <c r="G1400" t="s">
        <v>13</v>
      </c>
      <c r="H1400" t="s">
        <v>25</v>
      </c>
      <c r="I1400" t="s">
        <v>26</v>
      </c>
      <c r="J1400">
        <v>12</v>
      </c>
      <c r="K1400">
        <v>37841</v>
      </c>
      <c r="L1400">
        <f>Tabla24[[#This Row],[Precio_Unitario]]*Tabla24[[#This Row],[Unidades_Vendidas]]</f>
        <v>454092</v>
      </c>
      <c r="M1400" t="s">
        <v>20</v>
      </c>
    </row>
    <row r="1401" spans="1:13" x14ac:dyDescent="0.25">
      <c r="A1401" t="s">
        <v>299</v>
      </c>
      <c r="B1401" t="str">
        <f>TEXT(Tabla24[[#This Row],[Fecha]],"dddd")</f>
        <v>viernes</v>
      </c>
      <c r="C1401" t="str">
        <f>TEXT(Tabla24[[#This Row],[Fecha]],"mmmm")</f>
        <v>febrero</v>
      </c>
      <c r="D1401" t="str">
        <f>TEXT(Tabla24[[#This Row],[Fecha]],"aaaa")</f>
        <v>2024</v>
      </c>
      <c r="E1401" t="s">
        <v>42</v>
      </c>
      <c r="F1401" t="s">
        <v>34</v>
      </c>
      <c r="G1401" t="s">
        <v>24</v>
      </c>
      <c r="H1401" t="s">
        <v>35</v>
      </c>
      <c r="I1401" t="s">
        <v>15</v>
      </c>
      <c r="J1401">
        <v>15</v>
      </c>
      <c r="K1401">
        <v>43251</v>
      </c>
      <c r="L1401">
        <f>Tabla24[[#This Row],[Precio_Unitario]]*Tabla24[[#This Row],[Unidades_Vendidas]]</f>
        <v>648765</v>
      </c>
      <c r="M1401" t="s">
        <v>27</v>
      </c>
    </row>
    <row r="1402" spans="1:13" x14ac:dyDescent="0.25">
      <c r="A1402" t="s">
        <v>180</v>
      </c>
      <c r="B1402" t="str">
        <f>TEXT(Tabla24[[#This Row],[Fecha]],"dddd")</f>
        <v>viernes</v>
      </c>
      <c r="C1402" t="str">
        <f>TEXT(Tabla24[[#This Row],[Fecha]],"mmmm")</f>
        <v>marzo</v>
      </c>
      <c r="D1402" t="str">
        <f>TEXT(Tabla24[[#This Row],[Fecha]],"aaaa")</f>
        <v>2024</v>
      </c>
      <c r="E1402" t="s">
        <v>33</v>
      </c>
      <c r="F1402" t="s">
        <v>12</v>
      </c>
      <c r="G1402" t="s">
        <v>24</v>
      </c>
      <c r="H1402" t="s">
        <v>19</v>
      </c>
      <c r="I1402" t="s">
        <v>40</v>
      </c>
      <c r="J1402">
        <v>6</v>
      </c>
      <c r="K1402">
        <v>46094</v>
      </c>
      <c r="L1402">
        <f>Tabla24[[#This Row],[Precio_Unitario]]*Tabla24[[#This Row],[Unidades_Vendidas]]</f>
        <v>276564</v>
      </c>
      <c r="M1402" t="s">
        <v>16</v>
      </c>
    </row>
    <row r="1403" spans="1:13" x14ac:dyDescent="0.25">
      <c r="A1403" t="s">
        <v>150</v>
      </c>
      <c r="B1403" t="str">
        <f>TEXT(Tabla24[[#This Row],[Fecha]],"dddd")</f>
        <v>sábado</v>
      </c>
      <c r="C1403" t="str">
        <f>TEXT(Tabla24[[#This Row],[Fecha]],"mmmm")</f>
        <v>agosto</v>
      </c>
      <c r="D1403" t="str">
        <f>TEXT(Tabla24[[#This Row],[Fecha]],"aaaa")</f>
        <v>2024</v>
      </c>
      <c r="E1403" t="s">
        <v>18</v>
      </c>
      <c r="F1403" t="s">
        <v>23</v>
      </c>
      <c r="G1403" t="s">
        <v>44</v>
      </c>
      <c r="H1403" t="s">
        <v>35</v>
      </c>
      <c r="I1403" t="s">
        <v>15</v>
      </c>
      <c r="J1403">
        <v>19</v>
      </c>
      <c r="K1403">
        <v>16798</v>
      </c>
      <c r="L1403">
        <f>Tabla24[[#This Row],[Precio_Unitario]]*Tabla24[[#This Row],[Unidades_Vendidas]]</f>
        <v>319162</v>
      </c>
      <c r="M1403" t="s">
        <v>36</v>
      </c>
    </row>
    <row r="1404" spans="1:13" x14ac:dyDescent="0.25">
      <c r="A1404" t="s">
        <v>237</v>
      </c>
      <c r="B1404" t="str">
        <f>TEXT(Tabla24[[#This Row],[Fecha]],"dddd")</f>
        <v>domingo</v>
      </c>
      <c r="C1404" t="str">
        <f>TEXT(Tabla24[[#This Row],[Fecha]],"mmmm")</f>
        <v>noviembre</v>
      </c>
      <c r="D1404" t="str">
        <f>TEXT(Tabla24[[#This Row],[Fecha]],"aaaa")</f>
        <v>2024</v>
      </c>
      <c r="E1404" t="s">
        <v>42</v>
      </c>
      <c r="F1404" t="s">
        <v>23</v>
      </c>
      <c r="G1404" t="s">
        <v>24</v>
      </c>
      <c r="H1404" t="s">
        <v>14</v>
      </c>
      <c r="I1404" t="s">
        <v>15</v>
      </c>
      <c r="J1404">
        <v>10</v>
      </c>
      <c r="K1404">
        <v>53793</v>
      </c>
      <c r="L1404">
        <f>Tabla24[[#This Row],[Precio_Unitario]]*Tabla24[[#This Row],[Unidades_Vendidas]]</f>
        <v>537930</v>
      </c>
      <c r="M1404" t="s">
        <v>36</v>
      </c>
    </row>
    <row r="1405" spans="1:13" x14ac:dyDescent="0.25">
      <c r="A1405" t="s">
        <v>209</v>
      </c>
      <c r="B1405" t="str">
        <f>TEXT(Tabla24[[#This Row],[Fecha]],"dddd")</f>
        <v>martes</v>
      </c>
      <c r="C1405" t="str">
        <f>TEXT(Tabla24[[#This Row],[Fecha]],"mmmm")</f>
        <v>septiembre</v>
      </c>
      <c r="D1405" t="str">
        <f>TEXT(Tabla24[[#This Row],[Fecha]],"aaaa")</f>
        <v>2024</v>
      </c>
      <c r="E1405" t="s">
        <v>33</v>
      </c>
      <c r="F1405" t="s">
        <v>38</v>
      </c>
      <c r="G1405" t="s">
        <v>44</v>
      </c>
      <c r="H1405" t="s">
        <v>19</v>
      </c>
      <c r="I1405" t="s">
        <v>40</v>
      </c>
      <c r="J1405">
        <v>17</v>
      </c>
      <c r="K1405">
        <v>53768</v>
      </c>
      <c r="L1405">
        <f>Tabla24[[#This Row],[Precio_Unitario]]*Tabla24[[#This Row],[Unidades_Vendidas]]</f>
        <v>914056</v>
      </c>
      <c r="M1405" t="s">
        <v>36</v>
      </c>
    </row>
    <row r="1406" spans="1:13" x14ac:dyDescent="0.25">
      <c r="A1406" t="s">
        <v>215</v>
      </c>
      <c r="B1406" t="str">
        <f>TEXT(Tabla24[[#This Row],[Fecha]],"dddd")</f>
        <v>domingo</v>
      </c>
      <c r="C1406" t="str">
        <f>TEXT(Tabla24[[#This Row],[Fecha]],"mmmm")</f>
        <v>mayo</v>
      </c>
      <c r="D1406" t="str">
        <f>TEXT(Tabla24[[#This Row],[Fecha]],"aaaa")</f>
        <v>2024</v>
      </c>
      <c r="E1406" t="s">
        <v>33</v>
      </c>
      <c r="F1406" t="s">
        <v>34</v>
      </c>
      <c r="G1406" t="s">
        <v>44</v>
      </c>
      <c r="H1406" t="s">
        <v>14</v>
      </c>
      <c r="I1406" t="s">
        <v>40</v>
      </c>
      <c r="J1406">
        <v>6</v>
      </c>
      <c r="K1406">
        <v>53443</v>
      </c>
      <c r="L1406">
        <f>Tabla24[[#This Row],[Precio_Unitario]]*Tabla24[[#This Row],[Unidades_Vendidas]]</f>
        <v>320658</v>
      </c>
      <c r="M1406" t="s">
        <v>16</v>
      </c>
    </row>
    <row r="1407" spans="1:13" x14ac:dyDescent="0.25">
      <c r="A1407" t="s">
        <v>309</v>
      </c>
      <c r="B1407" t="str">
        <f>TEXT(Tabla24[[#This Row],[Fecha]],"dddd")</f>
        <v>domingo</v>
      </c>
      <c r="C1407" t="str">
        <f>TEXT(Tabla24[[#This Row],[Fecha]],"mmmm")</f>
        <v>mayo</v>
      </c>
      <c r="D1407" t="str">
        <f>TEXT(Tabla24[[#This Row],[Fecha]],"aaaa")</f>
        <v>2024</v>
      </c>
      <c r="E1407" t="s">
        <v>22</v>
      </c>
      <c r="F1407" t="s">
        <v>23</v>
      </c>
      <c r="G1407" t="s">
        <v>44</v>
      </c>
      <c r="H1407" t="s">
        <v>14</v>
      </c>
      <c r="I1407" t="s">
        <v>40</v>
      </c>
      <c r="J1407">
        <v>4</v>
      </c>
      <c r="K1407">
        <v>55506</v>
      </c>
      <c r="L1407">
        <f>Tabla24[[#This Row],[Precio_Unitario]]*Tabla24[[#This Row],[Unidades_Vendidas]]</f>
        <v>222024</v>
      </c>
      <c r="M1407" t="s">
        <v>20</v>
      </c>
    </row>
    <row r="1408" spans="1:13" x14ac:dyDescent="0.25">
      <c r="A1408" t="s">
        <v>195</v>
      </c>
      <c r="B1408" t="str">
        <f>TEXT(Tabla24[[#This Row],[Fecha]],"dddd")</f>
        <v>martes</v>
      </c>
      <c r="C1408" t="str">
        <f>TEXT(Tabla24[[#This Row],[Fecha]],"mmmm")</f>
        <v>enero</v>
      </c>
      <c r="D1408" t="str">
        <f>TEXT(Tabla24[[#This Row],[Fecha]],"aaaa")</f>
        <v>2024</v>
      </c>
      <c r="E1408" t="s">
        <v>22</v>
      </c>
      <c r="F1408" t="s">
        <v>34</v>
      </c>
      <c r="G1408" t="s">
        <v>44</v>
      </c>
      <c r="H1408" t="s">
        <v>14</v>
      </c>
      <c r="I1408" t="s">
        <v>26</v>
      </c>
      <c r="J1408">
        <v>19</v>
      </c>
      <c r="K1408">
        <v>40053</v>
      </c>
      <c r="L1408">
        <f>Tabla24[[#This Row],[Precio_Unitario]]*Tabla24[[#This Row],[Unidades_Vendidas]]</f>
        <v>761007</v>
      </c>
      <c r="M1408" t="s">
        <v>36</v>
      </c>
    </row>
    <row r="1409" spans="1:13" x14ac:dyDescent="0.25">
      <c r="A1409" t="s">
        <v>213</v>
      </c>
      <c r="B1409" t="str">
        <f>TEXT(Tabla24[[#This Row],[Fecha]],"dddd")</f>
        <v>miércoles</v>
      </c>
      <c r="C1409" t="str">
        <f>TEXT(Tabla24[[#This Row],[Fecha]],"mmmm")</f>
        <v>septiembre</v>
      </c>
      <c r="D1409" t="str">
        <f>TEXT(Tabla24[[#This Row],[Fecha]],"aaaa")</f>
        <v>2024</v>
      </c>
      <c r="E1409" t="s">
        <v>18</v>
      </c>
      <c r="F1409" t="s">
        <v>34</v>
      </c>
      <c r="G1409" t="s">
        <v>39</v>
      </c>
      <c r="H1409" t="s">
        <v>30</v>
      </c>
      <c r="I1409" t="s">
        <v>40</v>
      </c>
      <c r="J1409">
        <v>14</v>
      </c>
      <c r="K1409">
        <v>24737</v>
      </c>
      <c r="L1409">
        <f>Tabla24[[#This Row],[Precio_Unitario]]*Tabla24[[#This Row],[Unidades_Vendidas]]</f>
        <v>346318</v>
      </c>
      <c r="M1409" t="s">
        <v>27</v>
      </c>
    </row>
    <row r="1410" spans="1:13" x14ac:dyDescent="0.25">
      <c r="A1410" t="s">
        <v>96</v>
      </c>
      <c r="B1410" t="str">
        <f>TEXT(Tabla24[[#This Row],[Fecha]],"dddd")</f>
        <v>domingo</v>
      </c>
      <c r="C1410" t="str">
        <f>TEXT(Tabla24[[#This Row],[Fecha]],"mmmm")</f>
        <v>agosto</v>
      </c>
      <c r="D1410" t="str">
        <f>TEXT(Tabla24[[#This Row],[Fecha]],"aaaa")</f>
        <v>2024</v>
      </c>
      <c r="E1410" t="s">
        <v>33</v>
      </c>
      <c r="F1410" t="s">
        <v>23</v>
      </c>
      <c r="G1410" t="s">
        <v>39</v>
      </c>
      <c r="H1410" t="s">
        <v>14</v>
      </c>
      <c r="I1410" t="s">
        <v>40</v>
      </c>
      <c r="J1410">
        <v>4</v>
      </c>
      <c r="K1410">
        <v>24380</v>
      </c>
      <c r="L1410">
        <f>Tabla24[[#This Row],[Precio_Unitario]]*Tabla24[[#This Row],[Unidades_Vendidas]]</f>
        <v>97520</v>
      </c>
      <c r="M1410" t="s">
        <v>36</v>
      </c>
    </row>
    <row r="1411" spans="1:13" x14ac:dyDescent="0.25">
      <c r="A1411" t="s">
        <v>21</v>
      </c>
      <c r="B1411" t="str">
        <f>TEXT(Tabla24[[#This Row],[Fecha]],"dddd")</f>
        <v>lunes</v>
      </c>
      <c r="C1411" t="str">
        <f>TEXT(Tabla24[[#This Row],[Fecha]],"mmmm")</f>
        <v>septiembre</v>
      </c>
      <c r="D1411" t="str">
        <f>TEXT(Tabla24[[#This Row],[Fecha]],"aaaa")</f>
        <v>2024</v>
      </c>
      <c r="E1411" t="s">
        <v>22</v>
      </c>
      <c r="F1411" t="s">
        <v>34</v>
      </c>
      <c r="G1411" t="s">
        <v>39</v>
      </c>
      <c r="H1411" t="s">
        <v>19</v>
      </c>
      <c r="I1411" t="s">
        <v>26</v>
      </c>
      <c r="J1411">
        <v>18</v>
      </c>
      <c r="K1411">
        <v>22216</v>
      </c>
      <c r="L1411">
        <f>Tabla24[[#This Row],[Precio_Unitario]]*Tabla24[[#This Row],[Unidades_Vendidas]]</f>
        <v>399888</v>
      </c>
      <c r="M1411" t="s">
        <v>16</v>
      </c>
    </row>
    <row r="1412" spans="1:13" x14ac:dyDescent="0.25">
      <c r="A1412" t="s">
        <v>242</v>
      </c>
      <c r="B1412" t="str">
        <f>TEXT(Tabla24[[#This Row],[Fecha]],"dddd")</f>
        <v>sábado</v>
      </c>
      <c r="C1412" t="str">
        <f>TEXT(Tabla24[[#This Row],[Fecha]],"mmmm")</f>
        <v>julio</v>
      </c>
      <c r="D1412" t="str">
        <f>TEXT(Tabla24[[#This Row],[Fecha]],"aaaa")</f>
        <v>2024</v>
      </c>
      <c r="E1412" t="s">
        <v>22</v>
      </c>
      <c r="F1412" t="s">
        <v>34</v>
      </c>
      <c r="G1412" t="s">
        <v>24</v>
      </c>
      <c r="H1412" t="s">
        <v>19</v>
      </c>
      <c r="I1412" t="s">
        <v>15</v>
      </c>
      <c r="J1412">
        <v>9</v>
      </c>
      <c r="K1412">
        <v>23985</v>
      </c>
      <c r="L1412">
        <f>Tabla24[[#This Row],[Precio_Unitario]]*Tabla24[[#This Row],[Unidades_Vendidas]]</f>
        <v>215865</v>
      </c>
      <c r="M1412" t="s">
        <v>16</v>
      </c>
    </row>
    <row r="1413" spans="1:13" x14ac:dyDescent="0.25">
      <c r="A1413" t="s">
        <v>201</v>
      </c>
      <c r="B1413" t="str">
        <f>TEXT(Tabla24[[#This Row],[Fecha]],"dddd")</f>
        <v>domingo</v>
      </c>
      <c r="C1413" t="str">
        <f>TEXT(Tabla24[[#This Row],[Fecha]],"mmmm")</f>
        <v>octubre</v>
      </c>
      <c r="D1413" t="str">
        <f>TEXT(Tabla24[[#This Row],[Fecha]],"aaaa")</f>
        <v>2024</v>
      </c>
      <c r="E1413" t="s">
        <v>42</v>
      </c>
      <c r="F1413" t="s">
        <v>29</v>
      </c>
      <c r="G1413" t="s">
        <v>13</v>
      </c>
      <c r="H1413" t="s">
        <v>25</v>
      </c>
      <c r="I1413" t="s">
        <v>40</v>
      </c>
      <c r="J1413">
        <v>14</v>
      </c>
      <c r="K1413">
        <v>30727</v>
      </c>
      <c r="L1413">
        <f>Tabla24[[#This Row],[Precio_Unitario]]*Tabla24[[#This Row],[Unidades_Vendidas]]</f>
        <v>430178</v>
      </c>
      <c r="M1413" t="s">
        <v>27</v>
      </c>
    </row>
    <row r="1414" spans="1:13" x14ac:dyDescent="0.25">
      <c r="A1414" t="s">
        <v>213</v>
      </c>
      <c r="B1414" t="str">
        <f>TEXT(Tabla24[[#This Row],[Fecha]],"dddd")</f>
        <v>miércoles</v>
      </c>
      <c r="C1414" t="str">
        <f>TEXT(Tabla24[[#This Row],[Fecha]],"mmmm")</f>
        <v>septiembre</v>
      </c>
      <c r="D1414" t="str">
        <f>TEXT(Tabla24[[#This Row],[Fecha]],"aaaa")</f>
        <v>2024</v>
      </c>
      <c r="E1414" t="s">
        <v>22</v>
      </c>
      <c r="F1414" t="s">
        <v>29</v>
      </c>
      <c r="G1414" t="s">
        <v>39</v>
      </c>
      <c r="H1414" t="s">
        <v>25</v>
      </c>
      <c r="I1414" t="s">
        <v>15</v>
      </c>
      <c r="J1414">
        <v>5</v>
      </c>
      <c r="K1414">
        <v>33495</v>
      </c>
      <c r="L1414">
        <f>Tabla24[[#This Row],[Precio_Unitario]]*Tabla24[[#This Row],[Unidades_Vendidas]]</f>
        <v>167475</v>
      </c>
      <c r="M1414" t="s">
        <v>36</v>
      </c>
    </row>
    <row r="1415" spans="1:13" x14ac:dyDescent="0.25">
      <c r="A1415" t="s">
        <v>376</v>
      </c>
      <c r="B1415" t="str">
        <f>TEXT(Tabla24[[#This Row],[Fecha]],"dddd")</f>
        <v>miércoles</v>
      </c>
      <c r="C1415" t="str">
        <f>TEXT(Tabla24[[#This Row],[Fecha]],"mmmm")</f>
        <v>enero</v>
      </c>
      <c r="D1415" t="str">
        <f>TEXT(Tabla24[[#This Row],[Fecha]],"aaaa")</f>
        <v>2024</v>
      </c>
      <c r="E1415" t="s">
        <v>33</v>
      </c>
      <c r="F1415" t="s">
        <v>29</v>
      </c>
      <c r="G1415" t="s">
        <v>39</v>
      </c>
      <c r="H1415" t="s">
        <v>14</v>
      </c>
      <c r="I1415" t="s">
        <v>15</v>
      </c>
      <c r="J1415">
        <v>3</v>
      </c>
      <c r="K1415">
        <v>26950</v>
      </c>
      <c r="L1415">
        <f>Tabla24[[#This Row],[Precio_Unitario]]*Tabla24[[#This Row],[Unidades_Vendidas]]</f>
        <v>80850</v>
      </c>
      <c r="M1415" t="s">
        <v>16</v>
      </c>
    </row>
    <row r="1416" spans="1:13" x14ac:dyDescent="0.25">
      <c r="A1416" t="s">
        <v>74</v>
      </c>
      <c r="B1416" t="str">
        <f>TEXT(Tabla24[[#This Row],[Fecha]],"dddd")</f>
        <v>viernes</v>
      </c>
      <c r="C1416" t="str">
        <f>TEXT(Tabla24[[#This Row],[Fecha]],"mmmm")</f>
        <v>enero</v>
      </c>
      <c r="D1416" t="str">
        <f>TEXT(Tabla24[[#This Row],[Fecha]],"aaaa")</f>
        <v>2024</v>
      </c>
      <c r="E1416" t="s">
        <v>18</v>
      </c>
      <c r="F1416" t="s">
        <v>34</v>
      </c>
      <c r="G1416" t="s">
        <v>13</v>
      </c>
      <c r="H1416" t="s">
        <v>30</v>
      </c>
      <c r="I1416" t="s">
        <v>26</v>
      </c>
      <c r="J1416">
        <v>10</v>
      </c>
      <c r="K1416">
        <v>16026</v>
      </c>
      <c r="L1416">
        <f>Tabla24[[#This Row],[Precio_Unitario]]*Tabla24[[#This Row],[Unidades_Vendidas]]</f>
        <v>160260</v>
      </c>
      <c r="M1416" t="s">
        <v>36</v>
      </c>
    </row>
    <row r="1417" spans="1:13" x14ac:dyDescent="0.25">
      <c r="A1417" t="s">
        <v>189</v>
      </c>
      <c r="B1417" t="str">
        <f>TEXT(Tabla24[[#This Row],[Fecha]],"dddd")</f>
        <v>sábado</v>
      </c>
      <c r="C1417" t="str">
        <f>TEXT(Tabla24[[#This Row],[Fecha]],"mmmm")</f>
        <v>abril</v>
      </c>
      <c r="D1417" t="str">
        <f>TEXT(Tabla24[[#This Row],[Fecha]],"aaaa")</f>
        <v>2024</v>
      </c>
      <c r="E1417" t="s">
        <v>18</v>
      </c>
      <c r="F1417" t="s">
        <v>38</v>
      </c>
      <c r="G1417" t="s">
        <v>24</v>
      </c>
      <c r="H1417" t="s">
        <v>35</v>
      </c>
      <c r="I1417" t="s">
        <v>26</v>
      </c>
      <c r="J1417">
        <v>6</v>
      </c>
      <c r="K1417">
        <v>17429</v>
      </c>
      <c r="L1417">
        <f>Tabla24[[#This Row],[Precio_Unitario]]*Tabla24[[#This Row],[Unidades_Vendidas]]</f>
        <v>104574</v>
      </c>
      <c r="M1417" t="s">
        <v>16</v>
      </c>
    </row>
    <row r="1418" spans="1:13" x14ac:dyDescent="0.25">
      <c r="A1418" t="s">
        <v>312</v>
      </c>
      <c r="B1418" t="str">
        <f>TEXT(Tabla24[[#This Row],[Fecha]],"dddd")</f>
        <v>sábado</v>
      </c>
      <c r="C1418" t="str">
        <f>TEXT(Tabla24[[#This Row],[Fecha]],"mmmm")</f>
        <v>junio</v>
      </c>
      <c r="D1418" t="str">
        <f>TEXT(Tabla24[[#This Row],[Fecha]],"aaaa")</f>
        <v>2024</v>
      </c>
      <c r="E1418" t="s">
        <v>22</v>
      </c>
      <c r="F1418" t="s">
        <v>29</v>
      </c>
      <c r="G1418" t="s">
        <v>39</v>
      </c>
      <c r="H1418" t="s">
        <v>19</v>
      </c>
      <c r="I1418" t="s">
        <v>15</v>
      </c>
      <c r="J1418">
        <v>5</v>
      </c>
      <c r="K1418">
        <v>42608</v>
      </c>
      <c r="L1418">
        <f>Tabla24[[#This Row],[Precio_Unitario]]*Tabla24[[#This Row],[Unidades_Vendidas]]</f>
        <v>213040</v>
      </c>
      <c r="M1418" t="s">
        <v>20</v>
      </c>
    </row>
    <row r="1419" spans="1:13" x14ac:dyDescent="0.25">
      <c r="A1419" t="s">
        <v>66</v>
      </c>
      <c r="B1419" t="str">
        <f>TEXT(Tabla24[[#This Row],[Fecha]],"dddd")</f>
        <v>lunes</v>
      </c>
      <c r="C1419" t="str">
        <f>TEXT(Tabla24[[#This Row],[Fecha]],"mmmm")</f>
        <v>mayo</v>
      </c>
      <c r="D1419" t="str">
        <f>TEXT(Tabla24[[#This Row],[Fecha]],"aaaa")</f>
        <v>2024</v>
      </c>
      <c r="E1419" t="s">
        <v>42</v>
      </c>
      <c r="F1419" t="s">
        <v>23</v>
      </c>
      <c r="G1419" t="s">
        <v>48</v>
      </c>
      <c r="H1419" t="s">
        <v>19</v>
      </c>
      <c r="I1419" t="s">
        <v>15</v>
      </c>
      <c r="J1419">
        <v>14</v>
      </c>
      <c r="K1419">
        <v>38042</v>
      </c>
      <c r="L1419">
        <f>Tabla24[[#This Row],[Precio_Unitario]]*Tabla24[[#This Row],[Unidades_Vendidas]]</f>
        <v>532588</v>
      </c>
      <c r="M1419" t="s">
        <v>16</v>
      </c>
    </row>
    <row r="1420" spans="1:13" x14ac:dyDescent="0.25">
      <c r="A1420" t="s">
        <v>218</v>
      </c>
      <c r="B1420" t="str">
        <f>TEXT(Tabla24[[#This Row],[Fecha]],"dddd")</f>
        <v>lunes</v>
      </c>
      <c r="C1420" t="str">
        <f>TEXT(Tabla24[[#This Row],[Fecha]],"mmmm")</f>
        <v>marzo</v>
      </c>
      <c r="D1420" t="str">
        <f>TEXT(Tabla24[[#This Row],[Fecha]],"aaaa")</f>
        <v>2024</v>
      </c>
      <c r="E1420" t="s">
        <v>11</v>
      </c>
      <c r="F1420" t="s">
        <v>12</v>
      </c>
      <c r="G1420" t="s">
        <v>13</v>
      </c>
      <c r="H1420" t="s">
        <v>25</v>
      </c>
      <c r="I1420" t="s">
        <v>40</v>
      </c>
      <c r="J1420">
        <v>4</v>
      </c>
      <c r="K1420">
        <v>48801</v>
      </c>
      <c r="L1420">
        <f>Tabla24[[#This Row],[Precio_Unitario]]*Tabla24[[#This Row],[Unidades_Vendidas]]</f>
        <v>195204</v>
      </c>
      <c r="M1420" t="s">
        <v>16</v>
      </c>
    </row>
    <row r="1421" spans="1:13" x14ac:dyDescent="0.25">
      <c r="A1421" t="s">
        <v>121</v>
      </c>
      <c r="B1421" t="str">
        <f>TEXT(Tabla24[[#This Row],[Fecha]],"dddd")</f>
        <v>lunes</v>
      </c>
      <c r="C1421" t="str">
        <f>TEXT(Tabla24[[#This Row],[Fecha]],"mmmm")</f>
        <v>agosto</v>
      </c>
      <c r="D1421" t="str">
        <f>TEXT(Tabla24[[#This Row],[Fecha]],"aaaa")</f>
        <v>2024</v>
      </c>
      <c r="E1421" t="s">
        <v>33</v>
      </c>
      <c r="F1421" t="s">
        <v>12</v>
      </c>
      <c r="G1421" t="s">
        <v>39</v>
      </c>
      <c r="H1421" t="s">
        <v>14</v>
      </c>
      <c r="I1421" t="s">
        <v>40</v>
      </c>
      <c r="J1421">
        <v>9</v>
      </c>
      <c r="K1421">
        <v>51838</v>
      </c>
      <c r="L1421">
        <f>Tabla24[[#This Row],[Precio_Unitario]]*Tabla24[[#This Row],[Unidades_Vendidas]]</f>
        <v>466542</v>
      </c>
      <c r="M1421" t="s">
        <v>36</v>
      </c>
    </row>
    <row r="1422" spans="1:13" x14ac:dyDescent="0.25">
      <c r="A1422" t="s">
        <v>94</v>
      </c>
      <c r="B1422" t="str">
        <f>TEXT(Tabla24[[#This Row],[Fecha]],"dddd")</f>
        <v>miércoles</v>
      </c>
      <c r="C1422" t="str">
        <f>TEXT(Tabla24[[#This Row],[Fecha]],"mmmm")</f>
        <v>mayo</v>
      </c>
      <c r="D1422" t="str">
        <f>TEXT(Tabla24[[#This Row],[Fecha]],"aaaa")</f>
        <v>2024</v>
      </c>
      <c r="E1422" t="s">
        <v>18</v>
      </c>
      <c r="F1422" t="s">
        <v>12</v>
      </c>
      <c r="G1422" t="s">
        <v>24</v>
      </c>
      <c r="H1422" t="s">
        <v>19</v>
      </c>
      <c r="I1422" t="s">
        <v>26</v>
      </c>
      <c r="J1422">
        <v>17</v>
      </c>
      <c r="K1422">
        <v>59429</v>
      </c>
      <c r="L1422">
        <f>Tabla24[[#This Row],[Precio_Unitario]]*Tabla24[[#This Row],[Unidades_Vendidas]]</f>
        <v>1010293</v>
      </c>
      <c r="M1422" t="s">
        <v>20</v>
      </c>
    </row>
    <row r="1423" spans="1:13" x14ac:dyDescent="0.25">
      <c r="A1423" t="s">
        <v>126</v>
      </c>
      <c r="B1423" t="str">
        <f>TEXT(Tabla24[[#This Row],[Fecha]],"dddd")</f>
        <v>lunes</v>
      </c>
      <c r="C1423" t="str">
        <f>TEXT(Tabla24[[#This Row],[Fecha]],"mmmm")</f>
        <v>noviembre</v>
      </c>
      <c r="D1423" t="str">
        <f>TEXT(Tabla24[[#This Row],[Fecha]],"aaaa")</f>
        <v>2024</v>
      </c>
      <c r="E1423" t="s">
        <v>33</v>
      </c>
      <c r="F1423" t="s">
        <v>23</v>
      </c>
      <c r="G1423" t="s">
        <v>13</v>
      </c>
      <c r="H1423" t="s">
        <v>30</v>
      </c>
      <c r="I1423" t="s">
        <v>26</v>
      </c>
      <c r="J1423">
        <v>3</v>
      </c>
      <c r="K1423">
        <v>44249</v>
      </c>
      <c r="L1423">
        <f>Tabla24[[#This Row],[Precio_Unitario]]*Tabla24[[#This Row],[Unidades_Vendidas]]</f>
        <v>132747</v>
      </c>
      <c r="M1423" t="s">
        <v>36</v>
      </c>
    </row>
    <row r="1424" spans="1:13" x14ac:dyDescent="0.25">
      <c r="A1424" t="s">
        <v>62</v>
      </c>
      <c r="B1424" t="str">
        <f>TEXT(Tabla24[[#This Row],[Fecha]],"dddd")</f>
        <v>sábado</v>
      </c>
      <c r="C1424" t="str">
        <f>TEXT(Tabla24[[#This Row],[Fecha]],"mmmm")</f>
        <v>mayo</v>
      </c>
      <c r="D1424" t="str">
        <f>TEXT(Tabla24[[#This Row],[Fecha]],"aaaa")</f>
        <v>2024</v>
      </c>
      <c r="E1424" t="s">
        <v>11</v>
      </c>
      <c r="F1424" t="s">
        <v>38</v>
      </c>
      <c r="G1424" t="s">
        <v>44</v>
      </c>
      <c r="H1424" t="s">
        <v>14</v>
      </c>
      <c r="I1424" t="s">
        <v>26</v>
      </c>
      <c r="J1424">
        <v>16</v>
      </c>
      <c r="K1424">
        <v>59160</v>
      </c>
      <c r="L1424">
        <f>Tabla24[[#This Row],[Precio_Unitario]]*Tabla24[[#This Row],[Unidades_Vendidas]]</f>
        <v>946560</v>
      </c>
      <c r="M1424" t="s">
        <v>36</v>
      </c>
    </row>
    <row r="1425" spans="1:13" x14ac:dyDescent="0.25">
      <c r="A1425" t="s">
        <v>212</v>
      </c>
      <c r="B1425" t="str">
        <f>TEXT(Tabla24[[#This Row],[Fecha]],"dddd")</f>
        <v>miércoles</v>
      </c>
      <c r="C1425" t="str">
        <f>TEXT(Tabla24[[#This Row],[Fecha]],"mmmm")</f>
        <v>agosto</v>
      </c>
      <c r="D1425" t="str">
        <f>TEXT(Tabla24[[#This Row],[Fecha]],"aaaa")</f>
        <v>2024</v>
      </c>
      <c r="E1425" t="s">
        <v>42</v>
      </c>
      <c r="F1425" t="s">
        <v>38</v>
      </c>
      <c r="G1425" t="s">
        <v>44</v>
      </c>
      <c r="H1425" t="s">
        <v>35</v>
      </c>
      <c r="I1425" t="s">
        <v>26</v>
      </c>
      <c r="J1425">
        <v>15</v>
      </c>
      <c r="K1425">
        <v>52684</v>
      </c>
      <c r="L1425">
        <f>Tabla24[[#This Row],[Precio_Unitario]]*Tabla24[[#This Row],[Unidades_Vendidas]]</f>
        <v>790260</v>
      </c>
      <c r="M1425" t="s">
        <v>36</v>
      </c>
    </row>
    <row r="1426" spans="1:13" x14ac:dyDescent="0.25">
      <c r="A1426" t="s">
        <v>358</v>
      </c>
      <c r="B1426" t="str">
        <f>TEXT(Tabla24[[#This Row],[Fecha]],"dddd")</f>
        <v>martes</v>
      </c>
      <c r="C1426" t="str">
        <f>TEXT(Tabla24[[#This Row],[Fecha]],"mmmm")</f>
        <v>octubre</v>
      </c>
      <c r="D1426" t="str">
        <f>TEXT(Tabla24[[#This Row],[Fecha]],"aaaa")</f>
        <v>2024</v>
      </c>
      <c r="E1426" t="s">
        <v>33</v>
      </c>
      <c r="F1426" t="s">
        <v>12</v>
      </c>
      <c r="G1426" t="s">
        <v>39</v>
      </c>
      <c r="H1426" t="s">
        <v>19</v>
      </c>
      <c r="I1426" t="s">
        <v>26</v>
      </c>
      <c r="J1426">
        <v>16</v>
      </c>
      <c r="K1426">
        <v>55963</v>
      </c>
      <c r="L1426">
        <f>Tabla24[[#This Row],[Precio_Unitario]]*Tabla24[[#This Row],[Unidades_Vendidas]]</f>
        <v>895408</v>
      </c>
      <c r="M1426" t="s">
        <v>27</v>
      </c>
    </row>
    <row r="1427" spans="1:13" x14ac:dyDescent="0.25">
      <c r="A1427" t="s">
        <v>254</v>
      </c>
      <c r="B1427" t="str">
        <f>TEXT(Tabla24[[#This Row],[Fecha]],"dddd")</f>
        <v>sábado</v>
      </c>
      <c r="C1427" t="str">
        <f>TEXT(Tabla24[[#This Row],[Fecha]],"mmmm")</f>
        <v>enero</v>
      </c>
      <c r="D1427" t="str">
        <f>TEXT(Tabla24[[#This Row],[Fecha]],"aaaa")</f>
        <v>2024</v>
      </c>
      <c r="E1427" t="s">
        <v>18</v>
      </c>
      <c r="F1427" t="s">
        <v>23</v>
      </c>
      <c r="G1427" t="s">
        <v>48</v>
      </c>
      <c r="H1427" t="s">
        <v>25</v>
      </c>
      <c r="I1427" t="s">
        <v>26</v>
      </c>
      <c r="J1427">
        <v>10</v>
      </c>
      <c r="K1427">
        <v>56641</v>
      </c>
      <c r="L1427">
        <f>Tabla24[[#This Row],[Precio_Unitario]]*Tabla24[[#This Row],[Unidades_Vendidas]]</f>
        <v>566410</v>
      </c>
      <c r="M1427" t="s">
        <v>27</v>
      </c>
    </row>
    <row r="1428" spans="1:13" x14ac:dyDescent="0.25">
      <c r="A1428" t="s">
        <v>141</v>
      </c>
      <c r="B1428" t="str">
        <f>TEXT(Tabla24[[#This Row],[Fecha]],"dddd")</f>
        <v>lunes</v>
      </c>
      <c r="C1428" t="str">
        <f>TEXT(Tabla24[[#This Row],[Fecha]],"mmmm")</f>
        <v>septiembre</v>
      </c>
      <c r="D1428" t="str">
        <f>TEXT(Tabla24[[#This Row],[Fecha]],"aaaa")</f>
        <v>2024</v>
      </c>
      <c r="E1428" t="s">
        <v>42</v>
      </c>
      <c r="F1428" t="s">
        <v>12</v>
      </c>
      <c r="G1428" t="s">
        <v>39</v>
      </c>
      <c r="H1428" t="s">
        <v>30</v>
      </c>
      <c r="I1428" t="s">
        <v>40</v>
      </c>
      <c r="J1428">
        <v>20</v>
      </c>
      <c r="K1428">
        <v>39996</v>
      </c>
      <c r="L1428">
        <f>Tabla24[[#This Row],[Precio_Unitario]]*Tabla24[[#This Row],[Unidades_Vendidas]]</f>
        <v>799920</v>
      </c>
      <c r="M1428" t="s">
        <v>27</v>
      </c>
    </row>
    <row r="1429" spans="1:13" x14ac:dyDescent="0.25">
      <c r="A1429" t="s">
        <v>109</v>
      </c>
      <c r="B1429" t="str">
        <f>TEXT(Tabla24[[#This Row],[Fecha]],"dddd")</f>
        <v>miércoles</v>
      </c>
      <c r="C1429" t="str">
        <f>TEXT(Tabla24[[#This Row],[Fecha]],"mmmm")</f>
        <v>mayo</v>
      </c>
      <c r="D1429" t="str">
        <f>TEXT(Tabla24[[#This Row],[Fecha]],"aaaa")</f>
        <v>2024</v>
      </c>
      <c r="E1429" t="s">
        <v>42</v>
      </c>
      <c r="F1429" t="s">
        <v>12</v>
      </c>
      <c r="G1429" t="s">
        <v>48</v>
      </c>
      <c r="H1429" t="s">
        <v>30</v>
      </c>
      <c r="I1429" t="s">
        <v>40</v>
      </c>
      <c r="J1429">
        <v>12</v>
      </c>
      <c r="K1429">
        <v>41050</v>
      </c>
      <c r="L1429">
        <f>Tabla24[[#This Row],[Precio_Unitario]]*Tabla24[[#This Row],[Unidades_Vendidas]]</f>
        <v>492600</v>
      </c>
      <c r="M1429" t="s">
        <v>36</v>
      </c>
    </row>
    <row r="1430" spans="1:13" x14ac:dyDescent="0.25">
      <c r="A1430" t="s">
        <v>82</v>
      </c>
      <c r="B1430" t="str">
        <f>TEXT(Tabla24[[#This Row],[Fecha]],"dddd")</f>
        <v>viernes</v>
      </c>
      <c r="C1430" t="str">
        <f>TEXT(Tabla24[[#This Row],[Fecha]],"mmmm")</f>
        <v>junio</v>
      </c>
      <c r="D1430" t="str">
        <f>TEXT(Tabla24[[#This Row],[Fecha]],"aaaa")</f>
        <v>2024</v>
      </c>
      <c r="E1430" t="s">
        <v>22</v>
      </c>
      <c r="F1430" t="s">
        <v>12</v>
      </c>
      <c r="G1430" t="s">
        <v>44</v>
      </c>
      <c r="H1430" t="s">
        <v>30</v>
      </c>
      <c r="I1430" t="s">
        <v>40</v>
      </c>
      <c r="J1430">
        <v>6</v>
      </c>
      <c r="K1430">
        <v>24656</v>
      </c>
      <c r="L1430">
        <f>Tabla24[[#This Row],[Precio_Unitario]]*Tabla24[[#This Row],[Unidades_Vendidas]]</f>
        <v>147936</v>
      </c>
      <c r="M1430" t="s">
        <v>16</v>
      </c>
    </row>
    <row r="1431" spans="1:13" x14ac:dyDescent="0.25">
      <c r="A1431" t="s">
        <v>345</v>
      </c>
      <c r="B1431" t="str">
        <f>TEXT(Tabla24[[#This Row],[Fecha]],"dddd")</f>
        <v>domingo</v>
      </c>
      <c r="C1431" t="str">
        <f>TEXT(Tabla24[[#This Row],[Fecha]],"mmmm")</f>
        <v>septiembre</v>
      </c>
      <c r="D1431" t="str">
        <f>TEXT(Tabla24[[#This Row],[Fecha]],"aaaa")</f>
        <v>2024</v>
      </c>
      <c r="E1431" t="s">
        <v>11</v>
      </c>
      <c r="F1431" t="s">
        <v>12</v>
      </c>
      <c r="G1431" t="s">
        <v>44</v>
      </c>
      <c r="H1431" t="s">
        <v>25</v>
      </c>
      <c r="I1431" t="s">
        <v>40</v>
      </c>
      <c r="J1431">
        <v>8</v>
      </c>
      <c r="K1431">
        <v>26845</v>
      </c>
      <c r="L1431">
        <f>Tabla24[[#This Row],[Precio_Unitario]]*Tabla24[[#This Row],[Unidades_Vendidas]]</f>
        <v>214760</v>
      </c>
      <c r="M1431" t="s">
        <v>20</v>
      </c>
    </row>
    <row r="1432" spans="1:13" x14ac:dyDescent="0.25">
      <c r="A1432" t="s">
        <v>290</v>
      </c>
      <c r="B1432" t="str">
        <f>TEXT(Tabla24[[#This Row],[Fecha]],"dddd")</f>
        <v>miércoles</v>
      </c>
      <c r="C1432" t="str">
        <f>TEXT(Tabla24[[#This Row],[Fecha]],"mmmm")</f>
        <v>julio</v>
      </c>
      <c r="D1432" t="str">
        <f>TEXT(Tabla24[[#This Row],[Fecha]],"aaaa")</f>
        <v>2024</v>
      </c>
      <c r="E1432" t="s">
        <v>11</v>
      </c>
      <c r="F1432" t="s">
        <v>23</v>
      </c>
      <c r="G1432" t="s">
        <v>48</v>
      </c>
      <c r="H1432" t="s">
        <v>30</v>
      </c>
      <c r="I1432" t="s">
        <v>26</v>
      </c>
      <c r="J1432">
        <v>20</v>
      </c>
      <c r="K1432">
        <v>38685</v>
      </c>
      <c r="L1432">
        <f>Tabla24[[#This Row],[Precio_Unitario]]*Tabla24[[#This Row],[Unidades_Vendidas]]</f>
        <v>773700</v>
      </c>
      <c r="M1432" t="s">
        <v>20</v>
      </c>
    </row>
    <row r="1433" spans="1:13" x14ac:dyDescent="0.25">
      <c r="A1433" t="s">
        <v>283</v>
      </c>
      <c r="B1433" t="str">
        <f>TEXT(Tabla24[[#This Row],[Fecha]],"dddd")</f>
        <v>martes</v>
      </c>
      <c r="C1433" t="str">
        <f>TEXT(Tabla24[[#This Row],[Fecha]],"mmmm")</f>
        <v>enero</v>
      </c>
      <c r="D1433" t="str">
        <f>TEXT(Tabla24[[#This Row],[Fecha]],"aaaa")</f>
        <v>2024</v>
      </c>
      <c r="E1433" t="s">
        <v>42</v>
      </c>
      <c r="F1433" t="s">
        <v>12</v>
      </c>
      <c r="G1433" t="s">
        <v>39</v>
      </c>
      <c r="H1433" t="s">
        <v>30</v>
      </c>
      <c r="I1433" t="s">
        <v>40</v>
      </c>
      <c r="J1433">
        <v>13</v>
      </c>
      <c r="K1433">
        <v>32880</v>
      </c>
      <c r="L1433">
        <f>Tabla24[[#This Row],[Precio_Unitario]]*Tabla24[[#This Row],[Unidades_Vendidas]]</f>
        <v>427440</v>
      </c>
      <c r="M1433" t="s">
        <v>16</v>
      </c>
    </row>
    <row r="1434" spans="1:13" x14ac:dyDescent="0.25">
      <c r="A1434" t="s">
        <v>311</v>
      </c>
      <c r="B1434" t="str">
        <f>TEXT(Tabla24[[#This Row],[Fecha]],"dddd")</f>
        <v>miércoles</v>
      </c>
      <c r="C1434" t="str">
        <f>TEXT(Tabla24[[#This Row],[Fecha]],"mmmm")</f>
        <v>abril</v>
      </c>
      <c r="D1434" t="str">
        <f>TEXT(Tabla24[[#This Row],[Fecha]],"aaaa")</f>
        <v>2024</v>
      </c>
      <c r="E1434" t="s">
        <v>42</v>
      </c>
      <c r="F1434" t="s">
        <v>12</v>
      </c>
      <c r="G1434" t="s">
        <v>39</v>
      </c>
      <c r="H1434" t="s">
        <v>14</v>
      </c>
      <c r="I1434" t="s">
        <v>15</v>
      </c>
      <c r="J1434">
        <v>4</v>
      </c>
      <c r="K1434">
        <v>25965</v>
      </c>
      <c r="L1434">
        <f>Tabla24[[#This Row],[Precio_Unitario]]*Tabla24[[#This Row],[Unidades_Vendidas]]</f>
        <v>103860</v>
      </c>
      <c r="M1434" t="s">
        <v>20</v>
      </c>
    </row>
    <row r="1435" spans="1:13" x14ac:dyDescent="0.25">
      <c r="A1435" t="s">
        <v>390</v>
      </c>
      <c r="B1435" t="str">
        <f>TEXT(Tabla24[[#This Row],[Fecha]],"dddd")</f>
        <v>lunes</v>
      </c>
      <c r="C1435" t="str">
        <f>TEXT(Tabla24[[#This Row],[Fecha]],"mmmm")</f>
        <v>septiembre</v>
      </c>
      <c r="D1435" t="str">
        <f>TEXT(Tabla24[[#This Row],[Fecha]],"aaaa")</f>
        <v>2024</v>
      </c>
      <c r="E1435" t="s">
        <v>33</v>
      </c>
      <c r="F1435" t="s">
        <v>38</v>
      </c>
      <c r="G1435" t="s">
        <v>24</v>
      </c>
      <c r="H1435" t="s">
        <v>30</v>
      </c>
      <c r="I1435" t="s">
        <v>40</v>
      </c>
      <c r="J1435">
        <v>20</v>
      </c>
      <c r="K1435">
        <v>32571</v>
      </c>
      <c r="L1435">
        <f>Tabla24[[#This Row],[Precio_Unitario]]*Tabla24[[#This Row],[Unidades_Vendidas]]</f>
        <v>651420</v>
      </c>
      <c r="M1435" t="s">
        <v>36</v>
      </c>
    </row>
    <row r="1436" spans="1:13" x14ac:dyDescent="0.25">
      <c r="A1436" t="s">
        <v>299</v>
      </c>
      <c r="B1436" t="str">
        <f>TEXT(Tabla24[[#This Row],[Fecha]],"dddd")</f>
        <v>viernes</v>
      </c>
      <c r="C1436" t="str">
        <f>TEXT(Tabla24[[#This Row],[Fecha]],"mmmm")</f>
        <v>febrero</v>
      </c>
      <c r="D1436" t="str">
        <f>TEXT(Tabla24[[#This Row],[Fecha]],"aaaa")</f>
        <v>2024</v>
      </c>
      <c r="E1436" t="s">
        <v>22</v>
      </c>
      <c r="F1436" t="s">
        <v>38</v>
      </c>
      <c r="G1436" t="s">
        <v>48</v>
      </c>
      <c r="H1436" t="s">
        <v>19</v>
      </c>
      <c r="I1436" t="s">
        <v>15</v>
      </c>
      <c r="J1436">
        <v>17</v>
      </c>
      <c r="K1436">
        <v>59769</v>
      </c>
      <c r="L1436">
        <f>Tabla24[[#This Row],[Precio_Unitario]]*Tabla24[[#This Row],[Unidades_Vendidas]]</f>
        <v>1016073</v>
      </c>
      <c r="M1436" t="s">
        <v>27</v>
      </c>
    </row>
    <row r="1437" spans="1:13" x14ac:dyDescent="0.25">
      <c r="A1437" t="s">
        <v>117</v>
      </c>
      <c r="B1437" t="str">
        <f>TEXT(Tabla24[[#This Row],[Fecha]],"dddd")</f>
        <v>domingo</v>
      </c>
      <c r="C1437" t="str">
        <f>TEXT(Tabla24[[#This Row],[Fecha]],"mmmm")</f>
        <v>enero</v>
      </c>
      <c r="D1437" t="str">
        <f>TEXT(Tabla24[[#This Row],[Fecha]],"aaaa")</f>
        <v>2024</v>
      </c>
      <c r="E1437" t="s">
        <v>22</v>
      </c>
      <c r="F1437" t="s">
        <v>29</v>
      </c>
      <c r="G1437" t="s">
        <v>39</v>
      </c>
      <c r="H1437" t="s">
        <v>25</v>
      </c>
      <c r="I1437" t="s">
        <v>26</v>
      </c>
      <c r="J1437">
        <v>20</v>
      </c>
      <c r="K1437">
        <v>55299</v>
      </c>
      <c r="L1437">
        <f>Tabla24[[#This Row],[Precio_Unitario]]*Tabla24[[#This Row],[Unidades_Vendidas]]</f>
        <v>1105980</v>
      </c>
      <c r="M1437" t="s">
        <v>20</v>
      </c>
    </row>
    <row r="1438" spans="1:13" x14ac:dyDescent="0.25">
      <c r="A1438" t="s">
        <v>175</v>
      </c>
      <c r="B1438" t="str">
        <f>TEXT(Tabla24[[#This Row],[Fecha]],"dddd")</f>
        <v>domingo</v>
      </c>
      <c r="C1438" t="str">
        <f>TEXT(Tabla24[[#This Row],[Fecha]],"mmmm")</f>
        <v>febrero</v>
      </c>
      <c r="D1438" t="str">
        <f>TEXT(Tabla24[[#This Row],[Fecha]],"aaaa")</f>
        <v>2024</v>
      </c>
      <c r="E1438" t="s">
        <v>18</v>
      </c>
      <c r="F1438" t="s">
        <v>38</v>
      </c>
      <c r="G1438" t="s">
        <v>48</v>
      </c>
      <c r="H1438" t="s">
        <v>14</v>
      </c>
      <c r="I1438" t="s">
        <v>15</v>
      </c>
      <c r="J1438">
        <v>16</v>
      </c>
      <c r="K1438">
        <v>43227</v>
      </c>
      <c r="L1438">
        <f>Tabla24[[#This Row],[Precio_Unitario]]*Tabla24[[#This Row],[Unidades_Vendidas]]</f>
        <v>691632</v>
      </c>
      <c r="M1438" t="s">
        <v>27</v>
      </c>
    </row>
    <row r="1439" spans="1:13" x14ac:dyDescent="0.25">
      <c r="A1439" t="s">
        <v>377</v>
      </c>
      <c r="B1439" t="str">
        <f>TEXT(Tabla24[[#This Row],[Fecha]],"dddd")</f>
        <v>domingo</v>
      </c>
      <c r="C1439" t="str">
        <f>TEXT(Tabla24[[#This Row],[Fecha]],"mmmm")</f>
        <v>octubre</v>
      </c>
      <c r="D1439" t="str">
        <f>TEXT(Tabla24[[#This Row],[Fecha]],"aaaa")</f>
        <v>2024</v>
      </c>
      <c r="E1439" t="s">
        <v>42</v>
      </c>
      <c r="F1439" t="s">
        <v>34</v>
      </c>
      <c r="G1439" t="s">
        <v>44</v>
      </c>
      <c r="H1439" t="s">
        <v>14</v>
      </c>
      <c r="I1439" t="s">
        <v>15</v>
      </c>
      <c r="J1439">
        <v>8</v>
      </c>
      <c r="K1439">
        <v>45511</v>
      </c>
      <c r="L1439">
        <f>Tabla24[[#This Row],[Precio_Unitario]]*Tabla24[[#This Row],[Unidades_Vendidas]]</f>
        <v>364088</v>
      </c>
      <c r="M1439" t="s">
        <v>16</v>
      </c>
    </row>
    <row r="1440" spans="1:13" x14ac:dyDescent="0.25">
      <c r="A1440" t="s">
        <v>284</v>
      </c>
      <c r="B1440" t="str">
        <f>TEXT(Tabla24[[#This Row],[Fecha]],"dddd")</f>
        <v>martes</v>
      </c>
      <c r="C1440" t="str">
        <f>TEXT(Tabla24[[#This Row],[Fecha]],"mmmm")</f>
        <v>noviembre</v>
      </c>
      <c r="D1440" t="str">
        <f>TEXT(Tabla24[[#This Row],[Fecha]],"aaaa")</f>
        <v>2024</v>
      </c>
      <c r="E1440" t="s">
        <v>11</v>
      </c>
      <c r="F1440" t="s">
        <v>29</v>
      </c>
      <c r="G1440" t="s">
        <v>48</v>
      </c>
      <c r="H1440" t="s">
        <v>14</v>
      </c>
      <c r="I1440" t="s">
        <v>15</v>
      </c>
      <c r="J1440">
        <v>4</v>
      </c>
      <c r="K1440">
        <v>37159</v>
      </c>
      <c r="L1440">
        <f>Tabla24[[#This Row],[Precio_Unitario]]*Tabla24[[#This Row],[Unidades_Vendidas]]</f>
        <v>148636</v>
      </c>
      <c r="M1440" t="s">
        <v>20</v>
      </c>
    </row>
    <row r="1441" spans="1:13" x14ac:dyDescent="0.25">
      <c r="A1441" t="s">
        <v>129</v>
      </c>
      <c r="B1441" t="str">
        <f>TEXT(Tabla24[[#This Row],[Fecha]],"dddd")</f>
        <v>viernes</v>
      </c>
      <c r="C1441" t="str">
        <f>TEXT(Tabla24[[#This Row],[Fecha]],"mmmm")</f>
        <v>mayo</v>
      </c>
      <c r="D1441" t="str">
        <f>TEXT(Tabla24[[#This Row],[Fecha]],"aaaa")</f>
        <v>2024</v>
      </c>
      <c r="E1441" t="s">
        <v>42</v>
      </c>
      <c r="F1441" t="s">
        <v>38</v>
      </c>
      <c r="G1441" t="s">
        <v>39</v>
      </c>
      <c r="H1441" t="s">
        <v>25</v>
      </c>
      <c r="I1441" t="s">
        <v>26</v>
      </c>
      <c r="J1441">
        <v>15</v>
      </c>
      <c r="K1441">
        <v>30367</v>
      </c>
      <c r="L1441">
        <f>Tabla24[[#This Row],[Precio_Unitario]]*Tabla24[[#This Row],[Unidades_Vendidas]]</f>
        <v>455505</v>
      </c>
      <c r="M1441" t="s">
        <v>16</v>
      </c>
    </row>
    <row r="1442" spans="1:13" x14ac:dyDescent="0.25">
      <c r="A1442" t="s">
        <v>257</v>
      </c>
      <c r="B1442" t="str">
        <f>TEXT(Tabla24[[#This Row],[Fecha]],"dddd")</f>
        <v>viernes</v>
      </c>
      <c r="C1442" t="str">
        <f>TEXT(Tabla24[[#This Row],[Fecha]],"mmmm")</f>
        <v>marzo</v>
      </c>
      <c r="D1442" t="str">
        <f>TEXT(Tabla24[[#This Row],[Fecha]],"aaaa")</f>
        <v>2024</v>
      </c>
      <c r="E1442" t="s">
        <v>11</v>
      </c>
      <c r="F1442" t="s">
        <v>12</v>
      </c>
      <c r="G1442" t="s">
        <v>24</v>
      </c>
      <c r="H1442" t="s">
        <v>30</v>
      </c>
      <c r="I1442" t="s">
        <v>40</v>
      </c>
      <c r="J1442">
        <v>13</v>
      </c>
      <c r="K1442">
        <v>45918</v>
      </c>
      <c r="L1442">
        <f>Tabla24[[#This Row],[Precio_Unitario]]*Tabla24[[#This Row],[Unidades_Vendidas]]</f>
        <v>596934</v>
      </c>
      <c r="M1442" t="s">
        <v>16</v>
      </c>
    </row>
    <row r="1443" spans="1:13" x14ac:dyDescent="0.25">
      <c r="A1443" t="s">
        <v>202</v>
      </c>
      <c r="B1443" t="str">
        <f>TEXT(Tabla24[[#This Row],[Fecha]],"dddd")</f>
        <v>viernes</v>
      </c>
      <c r="C1443" t="str">
        <f>TEXT(Tabla24[[#This Row],[Fecha]],"mmmm")</f>
        <v>octubre</v>
      </c>
      <c r="D1443" t="str">
        <f>TEXT(Tabla24[[#This Row],[Fecha]],"aaaa")</f>
        <v>2024</v>
      </c>
      <c r="E1443" t="s">
        <v>11</v>
      </c>
      <c r="F1443" t="s">
        <v>34</v>
      </c>
      <c r="G1443" t="s">
        <v>13</v>
      </c>
      <c r="H1443" t="s">
        <v>19</v>
      </c>
      <c r="I1443" t="s">
        <v>15</v>
      </c>
      <c r="J1443">
        <v>6</v>
      </c>
      <c r="K1443">
        <v>43315</v>
      </c>
      <c r="L1443">
        <f>Tabla24[[#This Row],[Precio_Unitario]]*Tabla24[[#This Row],[Unidades_Vendidas]]</f>
        <v>259890</v>
      </c>
      <c r="M1443" t="s">
        <v>27</v>
      </c>
    </row>
    <row r="1444" spans="1:13" x14ac:dyDescent="0.25">
      <c r="A1444" t="s">
        <v>184</v>
      </c>
      <c r="B1444" t="str">
        <f>TEXT(Tabla24[[#This Row],[Fecha]],"dddd")</f>
        <v>domingo</v>
      </c>
      <c r="C1444" t="str">
        <f>TEXT(Tabla24[[#This Row],[Fecha]],"mmmm")</f>
        <v>septiembre</v>
      </c>
      <c r="D1444" t="str">
        <f>TEXT(Tabla24[[#This Row],[Fecha]],"aaaa")</f>
        <v>2024</v>
      </c>
      <c r="E1444" t="s">
        <v>22</v>
      </c>
      <c r="F1444" t="s">
        <v>38</v>
      </c>
      <c r="G1444" t="s">
        <v>24</v>
      </c>
      <c r="H1444" t="s">
        <v>35</v>
      </c>
      <c r="I1444" t="s">
        <v>15</v>
      </c>
      <c r="J1444">
        <v>8</v>
      </c>
      <c r="K1444">
        <v>44885</v>
      </c>
      <c r="L1444">
        <f>Tabla24[[#This Row],[Precio_Unitario]]*Tabla24[[#This Row],[Unidades_Vendidas]]</f>
        <v>359080</v>
      </c>
      <c r="M1444" t="s">
        <v>36</v>
      </c>
    </row>
    <row r="1445" spans="1:13" x14ac:dyDescent="0.25">
      <c r="A1445" t="s">
        <v>115</v>
      </c>
      <c r="B1445" t="str">
        <f>TEXT(Tabla24[[#This Row],[Fecha]],"dddd")</f>
        <v>lunes</v>
      </c>
      <c r="C1445" t="str">
        <f>TEXT(Tabla24[[#This Row],[Fecha]],"mmmm")</f>
        <v>agosto</v>
      </c>
      <c r="D1445" t="str">
        <f>TEXT(Tabla24[[#This Row],[Fecha]],"aaaa")</f>
        <v>2024</v>
      </c>
      <c r="E1445" t="s">
        <v>22</v>
      </c>
      <c r="F1445" t="s">
        <v>34</v>
      </c>
      <c r="G1445" t="s">
        <v>48</v>
      </c>
      <c r="H1445" t="s">
        <v>35</v>
      </c>
      <c r="I1445" t="s">
        <v>40</v>
      </c>
      <c r="J1445">
        <v>20</v>
      </c>
      <c r="K1445">
        <v>55950</v>
      </c>
      <c r="L1445">
        <f>Tabla24[[#This Row],[Precio_Unitario]]*Tabla24[[#This Row],[Unidades_Vendidas]]</f>
        <v>1119000</v>
      </c>
      <c r="M1445" t="s">
        <v>27</v>
      </c>
    </row>
    <row r="1446" spans="1:13" x14ac:dyDescent="0.25">
      <c r="A1446" t="s">
        <v>199</v>
      </c>
      <c r="B1446" t="str">
        <f>TEXT(Tabla24[[#This Row],[Fecha]],"dddd")</f>
        <v>jueves</v>
      </c>
      <c r="C1446" t="str">
        <f>TEXT(Tabla24[[#This Row],[Fecha]],"mmmm")</f>
        <v>junio</v>
      </c>
      <c r="D1446" t="str">
        <f>TEXT(Tabla24[[#This Row],[Fecha]],"aaaa")</f>
        <v>2024</v>
      </c>
      <c r="E1446" t="s">
        <v>18</v>
      </c>
      <c r="F1446" t="s">
        <v>23</v>
      </c>
      <c r="G1446" t="s">
        <v>48</v>
      </c>
      <c r="H1446" t="s">
        <v>30</v>
      </c>
      <c r="I1446" t="s">
        <v>15</v>
      </c>
      <c r="J1446">
        <v>1</v>
      </c>
      <c r="K1446">
        <v>40932</v>
      </c>
      <c r="L1446">
        <f>Tabla24[[#This Row],[Precio_Unitario]]*Tabla24[[#This Row],[Unidades_Vendidas]]</f>
        <v>40932</v>
      </c>
      <c r="M1446" t="s">
        <v>20</v>
      </c>
    </row>
    <row r="1447" spans="1:13" x14ac:dyDescent="0.25">
      <c r="A1447" t="s">
        <v>234</v>
      </c>
      <c r="B1447" t="str">
        <f>TEXT(Tabla24[[#This Row],[Fecha]],"dddd")</f>
        <v>lunes</v>
      </c>
      <c r="C1447" t="str">
        <f>TEXT(Tabla24[[#This Row],[Fecha]],"mmmm")</f>
        <v>febrero</v>
      </c>
      <c r="D1447" t="str">
        <f>TEXT(Tabla24[[#This Row],[Fecha]],"aaaa")</f>
        <v>2024</v>
      </c>
      <c r="E1447" t="s">
        <v>11</v>
      </c>
      <c r="F1447" t="s">
        <v>29</v>
      </c>
      <c r="G1447" t="s">
        <v>48</v>
      </c>
      <c r="H1447" t="s">
        <v>30</v>
      </c>
      <c r="I1447" t="s">
        <v>26</v>
      </c>
      <c r="J1447">
        <v>8</v>
      </c>
      <c r="K1447">
        <v>20567</v>
      </c>
      <c r="L1447">
        <f>Tabla24[[#This Row],[Precio_Unitario]]*Tabla24[[#This Row],[Unidades_Vendidas]]</f>
        <v>164536</v>
      </c>
      <c r="M1447" t="s">
        <v>36</v>
      </c>
    </row>
    <row r="1448" spans="1:13" x14ac:dyDescent="0.25">
      <c r="A1448" t="s">
        <v>365</v>
      </c>
      <c r="B1448" t="str">
        <f>TEXT(Tabla24[[#This Row],[Fecha]],"dddd")</f>
        <v>viernes</v>
      </c>
      <c r="C1448" t="str">
        <f>TEXT(Tabla24[[#This Row],[Fecha]],"mmmm")</f>
        <v>agosto</v>
      </c>
      <c r="D1448" t="str">
        <f>TEXT(Tabla24[[#This Row],[Fecha]],"aaaa")</f>
        <v>2024</v>
      </c>
      <c r="E1448" t="s">
        <v>42</v>
      </c>
      <c r="F1448" t="s">
        <v>29</v>
      </c>
      <c r="G1448" t="s">
        <v>48</v>
      </c>
      <c r="H1448" t="s">
        <v>30</v>
      </c>
      <c r="I1448" t="s">
        <v>40</v>
      </c>
      <c r="J1448">
        <v>4</v>
      </c>
      <c r="K1448">
        <v>25599</v>
      </c>
      <c r="L1448">
        <f>Tabla24[[#This Row],[Precio_Unitario]]*Tabla24[[#This Row],[Unidades_Vendidas]]</f>
        <v>102396</v>
      </c>
      <c r="M1448" t="s">
        <v>27</v>
      </c>
    </row>
    <row r="1449" spans="1:13" x14ac:dyDescent="0.25">
      <c r="A1449" t="s">
        <v>211</v>
      </c>
      <c r="B1449" t="str">
        <f>TEXT(Tabla24[[#This Row],[Fecha]],"dddd")</f>
        <v>domingo</v>
      </c>
      <c r="C1449" t="str">
        <f>TEXT(Tabla24[[#This Row],[Fecha]],"mmmm")</f>
        <v>marzo</v>
      </c>
      <c r="D1449" t="str">
        <f>TEXT(Tabla24[[#This Row],[Fecha]],"aaaa")</f>
        <v>2024</v>
      </c>
      <c r="E1449" t="s">
        <v>11</v>
      </c>
      <c r="F1449" t="s">
        <v>34</v>
      </c>
      <c r="G1449" t="s">
        <v>24</v>
      </c>
      <c r="H1449" t="s">
        <v>19</v>
      </c>
      <c r="I1449" t="s">
        <v>15</v>
      </c>
      <c r="J1449">
        <v>10</v>
      </c>
      <c r="K1449">
        <v>31007</v>
      </c>
      <c r="L1449">
        <f>Tabla24[[#This Row],[Precio_Unitario]]*Tabla24[[#This Row],[Unidades_Vendidas]]</f>
        <v>310070</v>
      </c>
      <c r="M1449" t="s">
        <v>20</v>
      </c>
    </row>
    <row r="1450" spans="1:13" x14ac:dyDescent="0.25">
      <c r="A1450" t="s">
        <v>194</v>
      </c>
      <c r="B1450" t="str">
        <f>TEXT(Tabla24[[#This Row],[Fecha]],"dddd")</f>
        <v>jueves</v>
      </c>
      <c r="C1450" t="str">
        <f>TEXT(Tabla24[[#This Row],[Fecha]],"mmmm")</f>
        <v>noviembre</v>
      </c>
      <c r="D1450" t="str">
        <f>TEXT(Tabla24[[#This Row],[Fecha]],"aaaa")</f>
        <v>2024</v>
      </c>
      <c r="E1450" t="s">
        <v>11</v>
      </c>
      <c r="F1450" t="s">
        <v>38</v>
      </c>
      <c r="G1450" t="s">
        <v>24</v>
      </c>
      <c r="H1450" t="s">
        <v>30</v>
      </c>
      <c r="I1450" t="s">
        <v>40</v>
      </c>
      <c r="J1450">
        <v>8</v>
      </c>
      <c r="K1450">
        <v>52674</v>
      </c>
      <c r="L1450">
        <f>Tabla24[[#This Row],[Precio_Unitario]]*Tabla24[[#This Row],[Unidades_Vendidas]]</f>
        <v>421392</v>
      </c>
      <c r="M1450" t="s">
        <v>27</v>
      </c>
    </row>
    <row r="1451" spans="1:13" x14ac:dyDescent="0.25">
      <c r="A1451" t="s">
        <v>350</v>
      </c>
      <c r="B1451" t="str">
        <f>TEXT(Tabla24[[#This Row],[Fecha]],"dddd")</f>
        <v>domingo</v>
      </c>
      <c r="C1451" t="str">
        <f>TEXT(Tabla24[[#This Row],[Fecha]],"mmmm")</f>
        <v>junio</v>
      </c>
      <c r="D1451" t="str">
        <f>TEXT(Tabla24[[#This Row],[Fecha]],"aaaa")</f>
        <v>2024</v>
      </c>
      <c r="E1451" t="s">
        <v>18</v>
      </c>
      <c r="F1451" t="s">
        <v>38</v>
      </c>
      <c r="G1451" t="s">
        <v>48</v>
      </c>
      <c r="H1451" t="s">
        <v>14</v>
      </c>
      <c r="I1451" t="s">
        <v>15</v>
      </c>
      <c r="J1451">
        <v>20</v>
      </c>
      <c r="K1451">
        <v>31059</v>
      </c>
      <c r="L1451">
        <f>Tabla24[[#This Row],[Precio_Unitario]]*Tabla24[[#This Row],[Unidades_Vendidas]]</f>
        <v>621180</v>
      </c>
      <c r="M1451" t="s">
        <v>36</v>
      </c>
    </row>
    <row r="1452" spans="1:13" x14ac:dyDescent="0.25">
      <c r="A1452" t="s">
        <v>212</v>
      </c>
      <c r="B1452" t="str">
        <f>TEXT(Tabla24[[#This Row],[Fecha]],"dddd")</f>
        <v>miércoles</v>
      </c>
      <c r="C1452" t="str">
        <f>TEXT(Tabla24[[#This Row],[Fecha]],"mmmm")</f>
        <v>agosto</v>
      </c>
      <c r="D1452" t="str">
        <f>TEXT(Tabla24[[#This Row],[Fecha]],"aaaa")</f>
        <v>2024</v>
      </c>
      <c r="E1452" t="s">
        <v>22</v>
      </c>
      <c r="F1452" t="s">
        <v>34</v>
      </c>
      <c r="G1452" t="s">
        <v>13</v>
      </c>
      <c r="H1452" t="s">
        <v>30</v>
      </c>
      <c r="I1452" t="s">
        <v>15</v>
      </c>
      <c r="J1452">
        <v>16</v>
      </c>
      <c r="K1452">
        <v>44629</v>
      </c>
      <c r="L1452">
        <f>Tabla24[[#This Row],[Precio_Unitario]]*Tabla24[[#This Row],[Unidades_Vendidas]]</f>
        <v>714064</v>
      </c>
      <c r="M1452" t="s">
        <v>20</v>
      </c>
    </row>
    <row r="1453" spans="1:13" x14ac:dyDescent="0.25">
      <c r="A1453" t="s">
        <v>129</v>
      </c>
      <c r="B1453" t="str">
        <f>TEXT(Tabla24[[#This Row],[Fecha]],"dddd")</f>
        <v>viernes</v>
      </c>
      <c r="C1453" t="str">
        <f>TEXT(Tabla24[[#This Row],[Fecha]],"mmmm")</f>
        <v>mayo</v>
      </c>
      <c r="D1453" t="str">
        <f>TEXT(Tabla24[[#This Row],[Fecha]],"aaaa")</f>
        <v>2024</v>
      </c>
      <c r="E1453" t="s">
        <v>42</v>
      </c>
      <c r="F1453" t="s">
        <v>34</v>
      </c>
      <c r="G1453" t="s">
        <v>24</v>
      </c>
      <c r="H1453" t="s">
        <v>14</v>
      </c>
      <c r="I1453" t="s">
        <v>26</v>
      </c>
      <c r="J1453">
        <v>14</v>
      </c>
      <c r="K1453">
        <v>20230</v>
      </c>
      <c r="L1453">
        <f>Tabla24[[#This Row],[Precio_Unitario]]*Tabla24[[#This Row],[Unidades_Vendidas]]</f>
        <v>283220</v>
      </c>
      <c r="M1453" t="s">
        <v>20</v>
      </c>
    </row>
    <row r="1454" spans="1:13" x14ac:dyDescent="0.25">
      <c r="A1454" t="s">
        <v>262</v>
      </c>
      <c r="B1454" t="str">
        <f>TEXT(Tabla24[[#This Row],[Fecha]],"dddd")</f>
        <v>viernes</v>
      </c>
      <c r="C1454" t="str">
        <f>TEXT(Tabla24[[#This Row],[Fecha]],"mmmm")</f>
        <v>enero</v>
      </c>
      <c r="D1454" t="str">
        <f>TEXT(Tabla24[[#This Row],[Fecha]],"aaaa")</f>
        <v>2024</v>
      </c>
      <c r="E1454" t="s">
        <v>22</v>
      </c>
      <c r="F1454" t="s">
        <v>12</v>
      </c>
      <c r="G1454" t="s">
        <v>39</v>
      </c>
      <c r="H1454" t="s">
        <v>35</v>
      </c>
      <c r="I1454" t="s">
        <v>15</v>
      </c>
      <c r="J1454">
        <v>13</v>
      </c>
      <c r="K1454">
        <v>44838</v>
      </c>
      <c r="L1454">
        <f>Tabla24[[#This Row],[Precio_Unitario]]*Tabla24[[#This Row],[Unidades_Vendidas]]</f>
        <v>582894</v>
      </c>
      <c r="M1454" t="s">
        <v>16</v>
      </c>
    </row>
    <row r="1455" spans="1:13" x14ac:dyDescent="0.25">
      <c r="A1455" t="s">
        <v>394</v>
      </c>
      <c r="B1455" t="str">
        <f>TEXT(Tabla24[[#This Row],[Fecha]],"dddd")</f>
        <v>martes</v>
      </c>
      <c r="C1455" t="str">
        <f>TEXT(Tabla24[[#This Row],[Fecha]],"mmmm")</f>
        <v>abril</v>
      </c>
      <c r="D1455" t="str">
        <f>TEXT(Tabla24[[#This Row],[Fecha]],"aaaa")</f>
        <v>2024</v>
      </c>
      <c r="E1455" t="s">
        <v>18</v>
      </c>
      <c r="F1455" t="s">
        <v>29</v>
      </c>
      <c r="G1455" t="s">
        <v>48</v>
      </c>
      <c r="H1455" t="s">
        <v>19</v>
      </c>
      <c r="I1455" t="s">
        <v>26</v>
      </c>
      <c r="J1455">
        <v>1</v>
      </c>
      <c r="K1455">
        <v>54929</v>
      </c>
      <c r="L1455">
        <f>Tabla24[[#This Row],[Precio_Unitario]]*Tabla24[[#This Row],[Unidades_Vendidas]]</f>
        <v>54929</v>
      </c>
      <c r="M1455" t="s">
        <v>36</v>
      </c>
    </row>
    <row r="1456" spans="1:13" x14ac:dyDescent="0.25">
      <c r="A1456" t="s">
        <v>341</v>
      </c>
      <c r="B1456" t="str">
        <f>TEXT(Tabla24[[#This Row],[Fecha]],"dddd")</f>
        <v>lunes</v>
      </c>
      <c r="C1456" t="str">
        <f>TEXT(Tabla24[[#This Row],[Fecha]],"mmmm")</f>
        <v>abril</v>
      </c>
      <c r="D1456" t="str">
        <f>TEXT(Tabla24[[#This Row],[Fecha]],"aaaa")</f>
        <v>2024</v>
      </c>
      <c r="E1456" t="s">
        <v>18</v>
      </c>
      <c r="F1456" t="s">
        <v>12</v>
      </c>
      <c r="G1456" t="s">
        <v>44</v>
      </c>
      <c r="H1456" t="s">
        <v>25</v>
      </c>
      <c r="I1456" t="s">
        <v>26</v>
      </c>
      <c r="J1456">
        <v>8</v>
      </c>
      <c r="K1456">
        <v>30229</v>
      </c>
      <c r="L1456">
        <f>Tabla24[[#This Row],[Precio_Unitario]]*Tabla24[[#This Row],[Unidades_Vendidas]]</f>
        <v>241832</v>
      </c>
      <c r="M1456" t="s">
        <v>16</v>
      </c>
    </row>
    <row r="1457" spans="1:13" x14ac:dyDescent="0.25">
      <c r="A1457" t="s">
        <v>198</v>
      </c>
      <c r="B1457" t="str">
        <f>TEXT(Tabla24[[#This Row],[Fecha]],"dddd")</f>
        <v>viernes</v>
      </c>
      <c r="C1457" t="str">
        <f>TEXT(Tabla24[[#This Row],[Fecha]],"mmmm")</f>
        <v>marzo</v>
      </c>
      <c r="D1457" t="str">
        <f>TEXT(Tabla24[[#This Row],[Fecha]],"aaaa")</f>
        <v>2024</v>
      </c>
      <c r="E1457" t="s">
        <v>11</v>
      </c>
      <c r="F1457" t="s">
        <v>34</v>
      </c>
      <c r="G1457" t="s">
        <v>24</v>
      </c>
      <c r="H1457" t="s">
        <v>35</v>
      </c>
      <c r="I1457" t="s">
        <v>40</v>
      </c>
      <c r="J1457">
        <v>8</v>
      </c>
      <c r="K1457">
        <v>40187</v>
      </c>
      <c r="L1457">
        <f>Tabla24[[#This Row],[Precio_Unitario]]*Tabla24[[#This Row],[Unidades_Vendidas]]</f>
        <v>321496</v>
      </c>
      <c r="M1457" t="s">
        <v>16</v>
      </c>
    </row>
    <row r="1458" spans="1:13" x14ac:dyDescent="0.25">
      <c r="A1458" t="s">
        <v>190</v>
      </c>
      <c r="B1458" t="str">
        <f>TEXT(Tabla24[[#This Row],[Fecha]],"dddd")</f>
        <v>sábado</v>
      </c>
      <c r="C1458" t="str">
        <f>TEXT(Tabla24[[#This Row],[Fecha]],"mmmm")</f>
        <v>agosto</v>
      </c>
      <c r="D1458" t="str">
        <f>TEXT(Tabla24[[#This Row],[Fecha]],"aaaa")</f>
        <v>2024</v>
      </c>
      <c r="E1458" t="s">
        <v>18</v>
      </c>
      <c r="F1458" t="s">
        <v>38</v>
      </c>
      <c r="G1458" t="s">
        <v>39</v>
      </c>
      <c r="H1458" t="s">
        <v>14</v>
      </c>
      <c r="I1458" t="s">
        <v>15</v>
      </c>
      <c r="J1458">
        <v>1</v>
      </c>
      <c r="K1458">
        <v>51331</v>
      </c>
      <c r="L1458">
        <f>Tabla24[[#This Row],[Precio_Unitario]]*Tabla24[[#This Row],[Unidades_Vendidas]]</f>
        <v>51331</v>
      </c>
      <c r="M1458" t="s">
        <v>36</v>
      </c>
    </row>
    <row r="1459" spans="1:13" x14ac:dyDescent="0.25">
      <c r="A1459" t="s">
        <v>256</v>
      </c>
      <c r="B1459" t="str">
        <f>TEXT(Tabla24[[#This Row],[Fecha]],"dddd")</f>
        <v>martes</v>
      </c>
      <c r="C1459" t="str">
        <f>TEXT(Tabla24[[#This Row],[Fecha]],"mmmm")</f>
        <v>noviembre</v>
      </c>
      <c r="D1459" t="str">
        <f>TEXT(Tabla24[[#This Row],[Fecha]],"aaaa")</f>
        <v>2024</v>
      </c>
      <c r="E1459" t="s">
        <v>33</v>
      </c>
      <c r="F1459" t="s">
        <v>12</v>
      </c>
      <c r="G1459" t="s">
        <v>24</v>
      </c>
      <c r="H1459" t="s">
        <v>25</v>
      </c>
      <c r="I1459" t="s">
        <v>15</v>
      </c>
      <c r="J1459">
        <v>15</v>
      </c>
      <c r="K1459">
        <v>47630</v>
      </c>
      <c r="L1459">
        <f>Tabla24[[#This Row],[Precio_Unitario]]*Tabla24[[#This Row],[Unidades_Vendidas]]</f>
        <v>714450</v>
      </c>
      <c r="M1459" t="s">
        <v>16</v>
      </c>
    </row>
    <row r="1460" spans="1:13" x14ac:dyDescent="0.25">
      <c r="A1460" t="s">
        <v>177</v>
      </c>
      <c r="B1460" t="str">
        <f>TEXT(Tabla24[[#This Row],[Fecha]],"dddd")</f>
        <v>martes</v>
      </c>
      <c r="C1460" t="str">
        <f>TEXT(Tabla24[[#This Row],[Fecha]],"mmmm")</f>
        <v>abril</v>
      </c>
      <c r="D1460" t="str">
        <f>TEXT(Tabla24[[#This Row],[Fecha]],"aaaa")</f>
        <v>2024</v>
      </c>
      <c r="E1460" t="s">
        <v>18</v>
      </c>
      <c r="F1460" t="s">
        <v>23</v>
      </c>
      <c r="G1460" t="s">
        <v>44</v>
      </c>
      <c r="H1460" t="s">
        <v>14</v>
      </c>
      <c r="I1460" t="s">
        <v>26</v>
      </c>
      <c r="J1460">
        <v>8</v>
      </c>
      <c r="K1460">
        <v>15395</v>
      </c>
      <c r="L1460">
        <f>Tabla24[[#This Row],[Precio_Unitario]]*Tabla24[[#This Row],[Unidades_Vendidas]]</f>
        <v>123160</v>
      </c>
      <c r="M1460" t="s">
        <v>36</v>
      </c>
    </row>
    <row r="1461" spans="1:13" x14ac:dyDescent="0.25">
      <c r="A1461" t="s">
        <v>381</v>
      </c>
      <c r="B1461" t="str">
        <f>TEXT(Tabla24[[#This Row],[Fecha]],"dddd")</f>
        <v>sábado</v>
      </c>
      <c r="C1461" t="str">
        <f>TEXT(Tabla24[[#This Row],[Fecha]],"mmmm")</f>
        <v>septiembre</v>
      </c>
      <c r="D1461" t="str">
        <f>TEXT(Tabla24[[#This Row],[Fecha]],"aaaa")</f>
        <v>2024</v>
      </c>
      <c r="E1461" t="s">
        <v>22</v>
      </c>
      <c r="F1461" t="s">
        <v>12</v>
      </c>
      <c r="G1461" t="s">
        <v>39</v>
      </c>
      <c r="H1461" t="s">
        <v>25</v>
      </c>
      <c r="I1461" t="s">
        <v>40</v>
      </c>
      <c r="J1461">
        <v>6</v>
      </c>
      <c r="K1461">
        <v>15329</v>
      </c>
      <c r="L1461">
        <f>Tabla24[[#This Row],[Precio_Unitario]]*Tabla24[[#This Row],[Unidades_Vendidas]]</f>
        <v>91974</v>
      </c>
      <c r="M1461" t="s">
        <v>36</v>
      </c>
    </row>
    <row r="1462" spans="1:13" x14ac:dyDescent="0.25">
      <c r="A1462" t="s">
        <v>353</v>
      </c>
      <c r="B1462" t="str">
        <f>TEXT(Tabla24[[#This Row],[Fecha]],"dddd")</f>
        <v>martes</v>
      </c>
      <c r="C1462" t="str">
        <f>TEXT(Tabla24[[#This Row],[Fecha]],"mmmm")</f>
        <v>junio</v>
      </c>
      <c r="D1462" t="str">
        <f>TEXT(Tabla24[[#This Row],[Fecha]],"aaaa")</f>
        <v>2024</v>
      </c>
      <c r="E1462" t="s">
        <v>42</v>
      </c>
      <c r="F1462" t="s">
        <v>29</v>
      </c>
      <c r="G1462" t="s">
        <v>13</v>
      </c>
      <c r="H1462" t="s">
        <v>14</v>
      </c>
      <c r="I1462" t="s">
        <v>15</v>
      </c>
      <c r="J1462">
        <v>19</v>
      </c>
      <c r="K1462">
        <v>30158</v>
      </c>
      <c r="L1462">
        <f>Tabla24[[#This Row],[Precio_Unitario]]*Tabla24[[#This Row],[Unidades_Vendidas]]</f>
        <v>573002</v>
      </c>
      <c r="M1462" t="s">
        <v>27</v>
      </c>
    </row>
    <row r="1463" spans="1:13" x14ac:dyDescent="0.25">
      <c r="A1463" t="s">
        <v>343</v>
      </c>
      <c r="B1463" t="str">
        <f>TEXT(Tabla24[[#This Row],[Fecha]],"dddd")</f>
        <v>lunes</v>
      </c>
      <c r="C1463" t="str">
        <f>TEXT(Tabla24[[#This Row],[Fecha]],"mmmm")</f>
        <v>diciembre</v>
      </c>
      <c r="D1463" t="str">
        <f>TEXT(Tabla24[[#This Row],[Fecha]],"aaaa")</f>
        <v>2024</v>
      </c>
      <c r="E1463" t="s">
        <v>18</v>
      </c>
      <c r="F1463" t="s">
        <v>12</v>
      </c>
      <c r="G1463" t="s">
        <v>48</v>
      </c>
      <c r="H1463" t="s">
        <v>35</v>
      </c>
      <c r="I1463" t="s">
        <v>40</v>
      </c>
      <c r="J1463">
        <v>16</v>
      </c>
      <c r="K1463">
        <v>56906</v>
      </c>
      <c r="L1463">
        <f>Tabla24[[#This Row],[Precio_Unitario]]*Tabla24[[#This Row],[Unidades_Vendidas]]</f>
        <v>910496</v>
      </c>
      <c r="M1463" t="s">
        <v>27</v>
      </c>
    </row>
    <row r="1464" spans="1:13" x14ac:dyDescent="0.25">
      <c r="A1464" t="s">
        <v>381</v>
      </c>
      <c r="B1464" t="str">
        <f>TEXT(Tabla24[[#This Row],[Fecha]],"dddd")</f>
        <v>sábado</v>
      </c>
      <c r="C1464" t="str">
        <f>TEXT(Tabla24[[#This Row],[Fecha]],"mmmm")</f>
        <v>septiembre</v>
      </c>
      <c r="D1464" t="str">
        <f>TEXT(Tabla24[[#This Row],[Fecha]],"aaaa")</f>
        <v>2024</v>
      </c>
      <c r="E1464" t="s">
        <v>22</v>
      </c>
      <c r="F1464" t="s">
        <v>12</v>
      </c>
      <c r="G1464" t="s">
        <v>24</v>
      </c>
      <c r="H1464" t="s">
        <v>30</v>
      </c>
      <c r="I1464" t="s">
        <v>15</v>
      </c>
      <c r="J1464">
        <v>13</v>
      </c>
      <c r="K1464">
        <v>49262</v>
      </c>
      <c r="L1464">
        <f>Tabla24[[#This Row],[Precio_Unitario]]*Tabla24[[#This Row],[Unidades_Vendidas]]</f>
        <v>640406</v>
      </c>
      <c r="M1464" t="s">
        <v>27</v>
      </c>
    </row>
    <row r="1465" spans="1:13" x14ac:dyDescent="0.25">
      <c r="A1465" t="s">
        <v>252</v>
      </c>
      <c r="B1465" t="str">
        <f>TEXT(Tabla24[[#This Row],[Fecha]],"dddd")</f>
        <v>viernes</v>
      </c>
      <c r="C1465" t="str">
        <f>TEXT(Tabla24[[#This Row],[Fecha]],"mmmm")</f>
        <v>mayo</v>
      </c>
      <c r="D1465" t="str">
        <f>TEXT(Tabla24[[#This Row],[Fecha]],"aaaa")</f>
        <v>2024</v>
      </c>
      <c r="E1465" t="s">
        <v>11</v>
      </c>
      <c r="F1465" t="s">
        <v>38</v>
      </c>
      <c r="G1465" t="s">
        <v>13</v>
      </c>
      <c r="H1465" t="s">
        <v>30</v>
      </c>
      <c r="I1465" t="s">
        <v>15</v>
      </c>
      <c r="J1465">
        <v>20</v>
      </c>
      <c r="K1465">
        <v>27976</v>
      </c>
      <c r="L1465">
        <f>Tabla24[[#This Row],[Precio_Unitario]]*Tabla24[[#This Row],[Unidades_Vendidas]]</f>
        <v>559520</v>
      </c>
      <c r="M1465" t="s">
        <v>27</v>
      </c>
    </row>
    <row r="1466" spans="1:13" x14ac:dyDescent="0.25">
      <c r="A1466" t="s">
        <v>181</v>
      </c>
      <c r="B1466" t="str">
        <f>TEXT(Tabla24[[#This Row],[Fecha]],"dddd")</f>
        <v>viernes</v>
      </c>
      <c r="C1466" t="str">
        <f>TEXT(Tabla24[[#This Row],[Fecha]],"mmmm")</f>
        <v>agosto</v>
      </c>
      <c r="D1466" t="str">
        <f>TEXT(Tabla24[[#This Row],[Fecha]],"aaaa")</f>
        <v>2024</v>
      </c>
      <c r="E1466" t="s">
        <v>42</v>
      </c>
      <c r="F1466" t="s">
        <v>29</v>
      </c>
      <c r="G1466" t="s">
        <v>48</v>
      </c>
      <c r="H1466" t="s">
        <v>35</v>
      </c>
      <c r="I1466" t="s">
        <v>15</v>
      </c>
      <c r="J1466">
        <v>18</v>
      </c>
      <c r="K1466">
        <v>50935</v>
      </c>
      <c r="L1466">
        <f>Tabla24[[#This Row],[Precio_Unitario]]*Tabla24[[#This Row],[Unidades_Vendidas]]</f>
        <v>916830</v>
      </c>
      <c r="M1466" t="s">
        <v>20</v>
      </c>
    </row>
    <row r="1467" spans="1:13" x14ac:dyDescent="0.25">
      <c r="A1467" t="s">
        <v>387</v>
      </c>
      <c r="B1467" t="str">
        <f>TEXT(Tabla24[[#This Row],[Fecha]],"dddd")</f>
        <v>jueves</v>
      </c>
      <c r="C1467" t="str">
        <f>TEXT(Tabla24[[#This Row],[Fecha]],"mmmm")</f>
        <v>octubre</v>
      </c>
      <c r="D1467" t="str">
        <f>TEXT(Tabla24[[#This Row],[Fecha]],"aaaa")</f>
        <v>2024</v>
      </c>
      <c r="E1467" t="s">
        <v>42</v>
      </c>
      <c r="F1467" t="s">
        <v>38</v>
      </c>
      <c r="G1467" t="s">
        <v>44</v>
      </c>
      <c r="H1467" t="s">
        <v>25</v>
      </c>
      <c r="I1467" t="s">
        <v>40</v>
      </c>
      <c r="J1467">
        <v>14</v>
      </c>
      <c r="K1467">
        <v>48990</v>
      </c>
      <c r="L1467">
        <f>Tabla24[[#This Row],[Precio_Unitario]]*Tabla24[[#This Row],[Unidades_Vendidas]]</f>
        <v>685860</v>
      </c>
      <c r="M1467" t="s">
        <v>27</v>
      </c>
    </row>
    <row r="1468" spans="1:13" x14ac:dyDescent="0.25">
      <c r="A1468" t="s">
        <v>326</v>
      </c>
      <c r="B1468" t="str">
        <f>TEXT(Tabla24[[#This Row],[Fecha]],"dddd")</f>
        <v>sábado</v>
      </c>
      <c r="C1468" t="str">
        <f>TEXT(Tabla24[[#This Row],[Fecha]],"mmmm")</f>
        <v>julio</v>
      </c>
      <c r="D1468" t="str">
        <f>TEXT(Tabla24[[#This Row],[Fecha]],"aaaa")</f>
        <v>2024</v>
      </c>
      <c r="E1468" t="s">
        <v>42</v>
      </c>
      <c r="F1468" t="s">
        <v>12</v>
      </c>
      <c r="G1468" t="s">
        <v>44</v>
      </c>
      <c r="H1468" t="s">
        <v>19</v>
      </c>
      <c r="I1468" t="s">
        <v>26</v>
      </c>
      <c r="J1468">
        <v>6</v>
      </c>
      <c r="K1468">
        <v>39269</v>
      </c>
      <c r="L1468">
        <f>Tabla24[[#This Row],[Precio_Unitario]]*Tabla24[[#This Row],[Unidades_Vendidas]]</f>
        <v>235614</v>
      </c>
      <c r="M1468" t="s">
        <v>36</v>
      </c>
    </row>
    <row r="1469" spans="1:13" x14ac:dyDescent="0.25">
      <c r="A1469" t="s">
        <v>332</v>
      </c>
      <c r="B1469" t="str">
        <f>TEXT(Tabla24[[#This Row],[Fecha]],"dddd")</f>
        <v>martes</v>
      </c>
      <c r="C1469" t="str">
        <f>TEXT(Tabla24[[#This Row],[Fecha]],"mmmm")</f>
        <v>julio</v>
      </c>
      <c r="D1469" t="str">
        <f>TEXT(Tabla24[[#This Row],[Fecha]],"aaaa")</f>
        <v>2024</v>
      </c>
      <c r="E1469" t="s">
        <v>33</v>
      </c>
      <c r="F1469" t="s">
        <v>29</v>
      </c>
      <c r="G1469" t="s">
        <v>24</v>
      </c>
      <c r="H1469" t="s">
        <v>25</v>
      </c>
      <c r="I1469" t="s">
        <v>26</v>
      </c>
      <c r="J1469">
        <v>5</v>
      </c>
      <c r="K1469">
        <v>46589</v>
      </c>
      <c r="L1469">
        <f>Tabla24[[#This Row],[Precio_Unitario]]*Tabla24[[#This Row],[Unidades_Vendidas]]</f>
        <v>232945</v>
      </c>
      <c r="M1469" t="s">
        <v>36</v>
      </c>
    </row>
    <row r="1470" spans="1:13" x14ac:dyDescent="0.25">
      <c r="A1470" t="s">
        <v>315</v>
      </c>
      <c r="B1470" t="str">
        <f>TEXT(Tabla24[[#This Row],[Fecha]],"dddd")</f>
        <v>domingo</v>
      </c>
      <c r="C1470" t="str">
        <f>TEXT(Tabla24[[#This Row],[Fecha]],"mmmm")</f>
        <v>diciembre</v>
      </c>
      <c r="D1470" t="str">
        <f>TEXT(Tabla24[[#This Row],[Fecha]],"aaaa")</f>
        <v>2024</v>
      </c>
      <c r="E1470" t="s">
        <v>22</v>
      </c>
      <c r="F1470" t="s">
        <v>12</v>
      </c>
      <c r="G1470" t="s">
        <v>48</v>
      </c>
      <c r="H1470" t="s">
        <v>19</v>
      </c>
      <c r="I1470" t="s">
        <v>26</v>
      </c>
      <c r="J1470">
        <v>8</v>
      </c>
      <c r="K1470">
        <v>56350</v>
      </c>
      <c r="L1470">
        <f>Tabla24[[#This Row],[Precio_Unitario]]*Tabla24[[#This Row],[Unidades_Vendidas]]</f>
        <v>450800</v>
      </c>
      <c r="M1470" t="s">
        <v>16</v>
      </c>
    </row>
    <row r="1471" spans="1:13" x14ac:dyDescent="0.25">
      <c r="A1471" t="s">
        <v>359</v>
      </c>
      <c r="B1471" t="str">
        <f>TEXT(Tabla24[[#This Row],[Fecha]],"dddd")</f>
        <v>domingo</v>
      </c>
      <c r="C1471" t="str">
        <f>TEXT(Tabla24[[#This Row],[Fecha]],"mmmm")</f>
        <v>marzo</v>
      </c>
      <c r="D1471" t="str">
        <f>TEXT(Tabla24[[#This Row],[Fecha]],"aaaa")</f>
        <v>2024</v>
      </c>
      <c r="E1471" t="s">
        <v>42</v>
      </c>
      <c r="F1471" t="s">
        <v>12</v>
      </c>
      <c r="G1471" t="s">
        <v>48</v>
      </c>
      <c r="H1471" t="s">
        <v>25</v>
      </c>
      <c r="I1471" t="s">
        <v>40</v>
      </c>
      <c r="J1471">
        <v>11</v>
      </c>
      <c r="K1471">
        <v>56457</v>
      </c>
      <c r="L1471">
        <f>Tabla24[[#This Row],[Precio_Unitario]]*Tabla24[[#This Row],[Unidades_Vendidas]]</f>
        <v>621027</v>
      </c>
      <c r="M1471" t="s">
        <v>36</v>
      </c>
    </row>
    <row r="1472" spans="1:13" x14ac:dyDescent="0.25">
      <c r="A1472" t="s">
        <v>166</v>
      </c>
      <c r="B1472" t="str">
        <f>TEXT(Tabla24[[#This Row],[Fecha]],"dddd")</f>
        <v>lunes</v>
      </c>
      <c r="C1472" t="str">
        <f>TEXT(Tabla24[[#This Row],[Fecha]],"mmmm")</f>
        <v>enero</v>
      </c>
      <c r="D1472" t="str">
        <f>TEXT(Tabla24[[#This Row],[Fecha]],"aaaa")</f>
        <v>2024</v>
      </c>
      <c r="E1472" t="s">
        <v>11</v>
      </c>
      <c r="F1472" t="s">
        <v>23</v>
      </c>
      <c r="G1472" t="s">
        <v>48</v>
      </c>
      <c r="H1472" t="s">
        <v>35</v>
      </c>
      <c r="I1472" t="s">
        <v>26</v>
      </c>
      <c r="J1472">
        <v>14</v>
      </c>
      <c r="K1472">
        <v>59672</v>
      </c>
      <c r="L1472">
        <f>Tabla24[[#This Row],[Precio_Unitario]]*Tabla24[[#This Row],[Unidades_Vendidas]]</f>
        <v>835408</v>
      </c>
      <c r="M1472" t="s">
        <v>27</v>
      </c>
    </row>
    <row r="1473" spans="1:13" x14ac:dyDescent="0.25">
      <c r="A1473" t="s">
        <v>219</v>
      </c>
      <c r="B1473" t="str">
        <f>TEXT(Tabla24[[#This Row],[Fecha]],"dddd")</f>
        <v>sábado</v>
      </c>
      <c r="C1473" t="str">
        <f>TEXT(Tabla24[[#This Row],[Fecha]],"mmmm")</f>
        <v>julio</v>
      </c>
      <c r="D1473" t="str">
        <f>TEXT(Tabla24[[#This Row],[Fecha]],"aaaa")</f>
        <v>2024</v>
      </c>
      <c r="E1473" t="s">
        <v>42</v>
      </c>
      <c r="F1473" t="s">
        <v>12</v>
      </c>
      <c r="G1473" t="s">
        <v>39</v>
      </c>
      <c r="H1473" t="s">
        <v>25</v>
      </c>
      <c r="I1473" t="s">
        <v>40</v>
      </c>
      <c r="J1473">
        <v>19</v>
      </c>
      <c r="K1473">
        <v>51390</v>
      </c>
      <c r="L1473">
        <f>Tabla24[[#This Row],[Precio_Unitario]]*Tabla24[[#This Row],[Unidades_Vendidas]]</f>
        <v>976410</v>
      </c>
      <c r="M1473" t="s">
        <v>27</v>
      </c>
    </row>
    <row r="1474" spans="1:13" x14ac:dyDescent="0.25">
      <c r="A1474" t="s">
        <v>393</v>
      </c>
      <c r="B1474" t="str">
        <f>TEXT(Tabla24[[#This Row],[Fecha]],"dddd")</f>
        <v>domingo</v>
      </c>
      <c r="C1474" t="str">
        <f>TEXT(Tabla24[[#This Row],[Fecha]],"mmmm")</f>
        <v>abril</v>
      </c>
      <c r="D1474" t="str">
        <f>TEXT(Tabla24[[#This Row],[Fecha]],"aaaa")</f>
        <v>2024</v>
      </c>
      <c r="E1474" t="s">
        <v>33</v>
      </c>
      <c r="F1474" t="s">
        <v>38</v>
      </c>
      <c r="G1474" t="s">
        <v>39</v>
      </c>
      <c r="H1474" t="s">
        <v>25</v>
      </c>
      <c r="I1474" t="s">
        <v>15</v>
      </c>
      <c r="J1474">
        <v>8</v>
      </c>
      <c r="K1474">
        <v>48606</v>
      </c>
      <c r="L1474">
        <f>Tabla24[[#This Row],[Precio_Unitario]]*Tabla24[[#This Row],[Unidades_Vendidas]]</f>
        <v>388848</v>
      </c>
      <c r="M1474" t="s">
        <v>36</v>
      </c>
    </row>
    <row r="1475" spans="1:13" x14ac:dyDescent="0.25">
      <c r="A1475" t="s">
        <v>192</v>
      </c>
      <c r="B1475" t="str">
        <f>TEXT(Tabla24[[#This Row],[Fecha]],"dddd")</f>
        <v>martes</v>
      </c>
      <c r="C1475" t="str">
        <f>TEXT(Tabla24[[#This Row],[Fecha]],"mmmm")</f>
        <v>septiembre</v>
      </c>
      <c r="D1475" t="str">
        <f>TEXT(Tabla24[[#This Row],[Fecha]],"aaaa")</f>
        <v>2024</v>
      </c>
      <c r="E1475" t="s">
        <v>33</v>
      </c>
      <c r="F1475" t="s">
        <v>34</v>
      </c>
      <c r="G1475" t="s">
        <v>39</v>
      </c>
      <c r="H1475" t="s">
        <v>25</v>
      </c>
      <c r="I1475" t="s">
        <v>40</v>
      </c>
      <c r="J1475">
        <v>12</v>
      </c>
      <c r="K1475">
        <v>32304</v>
      </c>
      <c r="L1475">
        <f>Tabla24[[#This Row],[Precio_Unitario]]*Tabla24[[#This Row],[Unidades_Vendidas]]</f>
        <v>387648</v>
      </c>
      <c r="M1475" t="s">
        <v>27</v>
      </c>
    </row>
    <row r="1476" spans="1:13" x14ac:dyDescent="0.25">
      <c r="A1476" t="s">
        <v>330</v>
      </c>
      <c r="B1476" t="str">
        <f>TEXT(Tabla24[[#This Row],[Fecha]],"dddd")</f>
        <v>miércoles</v>
      </c>
      <c r="C1476" t="str">
        <f>TEXT(Tabla24[[#This Row],[Fecha]],"mmmm")</f>
        <v>agosto</v>
      </c>
      <c r="D1476" t="str">
        <f>TEXT(Tabla24[[#This Row],[Fecha]],"aaaa")</f>
        <v>2024</v>
      </c>
      <c r="E1476" t="s">
        <v>22</v>
      </c>
      <c r="F1476" t="s">
        <v>12</v>
      </c>
      <c r="G1476" t="s">
        <v>24</v>
      </c>
      <c r="H1476" t="s">
        <v>19</v>
      </c>
      <c r="I1476" t="s">
        <v>40</v>
      </c>
      <c r="J1476">
        <v>17</v>
      </c>
      <c r="K1476">
        <v>56359</v>
      </c>
      <c r="L1476">
        <f>Tabla24[[#This Row],[Precio_Unitario]]*Tabla24[[#This Row],[Unidades_Vendidas]]</f>
        <v>958103</v>
      </c>
      <c r="M1476" t="s">
        <v>27</v>
      </c>
    </row>
    <row r="1477" spans="1:13" x14ac:dyDescent="0.25">
      <c r="A1477" t="s">
        <v>168</v>
      </c>
      <c r="B1477" t="str">
        <f>TEXT(Tabla24[[#This Row],[Fecha]],"dddd")</f>
        <v>martes</v>
      </c>
      <c r="C1477" t="str">
        <f>TEXT(Tabla24[[#This Row],[Fecha]],"mmmm")</f>
        <v>enero</v>
      </c>
      <c r="D1477" t="str">
        <f>TEXT(Tabla24[[#This Row],[Fecha]],"aaaa")</f>
        <v>2024</v>
      </c>
      <c r="E1477" t="s">
        <v>22</v>
      </c>
      <c r="F1477" t="s">
        <v>34</v>
      </c>
      <c r="G1477" t="s">
        <v>39</v>
      </c>
      <c r="H1477" t="s">
        <v>30</v>
      </c>
      <c r="I1477" t="s">
        <v>26</v>
      </c>
      <c r="J1477">
        <v>4</v>
      </c>
      <c r="K1477">
        <v>27577</v>
      </c>
      <c r="L1477">
        <f>Tabla24[[#This Row],[Precio_Unitario]]*Tabla24[[#This Row],[Unidades_Vendidas]]</f>
        <v>110308</v>
      </c>
      <c r="M1477" t="s">
        <v>36</v>
      </c>
    </row>
    <row r="1478" spans="1:13" x14ac:dyDescent="0.25">
      <c r="A1478" t="s">
        <v>175</v>
      </c>
      <c r="B1478" t="str">
        <f>TEXT(Tabla24[[#This Row],[Fecha]],"dddd")</f>
        <v>domingo</v>
      </c>
      <c r="C1478" t="str">
        <f>TEXT(Tabla24[[#This Row],[Fecha]],"mmmm")</f>
        <v>febrero</v>
      </c>
      <c r="D1478" t="str">
        <f>TEXT(Tabla24[[#This Row],[Fecha]],"aaaa")</f>
        <v>2024</v>
      </c>
      <c r="E1478" t="s">
        <v>33</v>
      </c>
      <c r="F1478" t="s">
        <v>12</v>
      </c>
      <c r="G1478" t="s">
        <v>24</v>
      </c>
      <c r="H1478" t="s">
        <v>30</v>
      </c>
      <c r="I1478" t="s">
        <v>40</v>
      </c>
      <c r="J1478">
        <v>14</v>
      </c>
      <c r="K1478">
        <v>56286</v>
      </c>
      <c r="L1478">
        <f>Tabla24[[#This Row],[Precio_Unitario]]*Tabla24[[#This Row],[Unidades_Vendidas]]</f>
        <v>788004</v>
      </c>
      <c r="M1478" t="s">
        <v>36</v>
      </c>
    </row>
    <row r="1479" spans="1:13" x14ac:dyDescent="0.25">
      <c r="A1479" t="s">
        <v>349</v>
      </c>
      <c r="B1479" t="str">
        <f>TEXT(Tabla24[[#This Row],[Fecha]],"dddd")</f>
        <v>domingo</v>
      </c>
      <c r="C1479" t="str">
        <f>TEXT(Tabla24[[#This Row],[Fecha]],"mmmm")</f>
        <v>julio</v>
      </c>
      <c r="D1479" t="str">
        <f>TEXT(Tabla24[[#This Row],[Fecha]],"aaaa")</f>
        <v>2024</v>
      </c>
      <c r="E1479" t="s">
        <v>11</v>
      </c>
      <c r="F1479" t="s">
        <v>23</v>
      </c>
      <c r="G1479" t="s">
        <v>13</v>
      </c>
      <c r="H1479" t="s">
        <v>14</v>
      </c>
      <c r="I1479" t="s">
        <v>15</v>
      </c>
      <c r="J1479">
        <v>3</v>
      </c>
      <c r="K1479">
        <v>28873</v>
      </c>
      <c r="L1479">
        <f>Tabla24[[#This Row],[Precio_Unitario]]*Tabla24[[#This Row],[Unidades_Vendidas]]</f>
        <v>86619</v>
      </c>
      <c r="M1479" t="s">
        <v>36</v>
      </c>
    </row>
    <row r="1480" spans="1:13" x14ac:dyDescent="0.25">
      <c r="A1480" t="s">
        <v>57</v>
      </c>
      <c r="B1480" t="str">
        <f>TEXT(Tabla24[[#This Row],[Fecha]],"dddd")</f>
        <v>lunes</v>
      </c>
      <c r="C1480" t="str">
        <f>TEXT(Tabla24[[#This Row],[Fecha]],"mmmm")</f>
        <v>junio</v>
      </c>
      <c r="D1480" t="str">
        <f>TEXT(Tabla24[[#This Row],[Fecha]],"aaaa")</f>
        <v>2024</v>
      </c>
      <c r="E1480" t="s">
        <v>22</v>
      </c>
      <c r="F1480" t="s">
        <v>12</v>
      </c>
      <c r="G1480" t="s">
        <v>39</v>
      </c>
      <c r="H1480" t="s">
        <v>14</v>
      </c>
      <c r="I1480" t="s">
        <v>26</v>
      </c>
      <c r="J1480">
        <v>19</v>
      </c>
      <c r="K1480">
        <v>53854</v>
      </c>
      <c r="L1480">
        <f>Tabla24[[#This Row],[Precio_Unitario]]*Tabla24[[#This Row],[Unidades_Vendidas]]</f>
        <v>1023226</v>
      </c>
      <c r="M1480" t="s">
        <v>20</v>
      </c>
    </row>
    <row r="1481" spans="1:13" x14ac:dyDescent="0.25">
      <c r="A1481" t="s">
        <v>182</v>
      </c>
      <c r="B1481" t="str">
        <f>TEXT(Tabla24[[#This Row],[Fecha]],"dddd")</f>
        <v>martes</v>
      </c>
      <c r="C1481" t="str">
        <f>TEXT(Tabla24[[#This Row],[Fecha]],"mmmm")</f>
        <v>diciembre</v>
      </c>
      <c r="D1481" t="str">
        <f>TEXT(Tabla24[[#This Row],[Fecha]],"aaaa")</f>
        <v>2024</v>
      </c>
      <c r="E1481" t="s">
        <v>33</v>
      </c>
      <c r="F1481" t="s">
        <v>23</v>
      </c>
      <c r="G1481" t="s">
        <v>24</v>
      </c>
      <c r="H1481" t="s">
        <v>25</v>
      </c>
      <c r="I1481" t="s">
        <v>40</v>
      </c>
      <c r="J1481">
        <v>12</v>
      </c>
      <c r="K1481">
        <v>55295</v>
      </c>
      <c r="L1481">
        <f>Tabla24[[#This Row],[Precio_Unitario]]*Tabla24[[#This Row],[Unidades_Vendidas]]</f>
        <v>663540</v>
      </c>
      <c r="M1481" t="s">
        <v>27</v>
      </c>
    </row>
    <row r="1482" spans="1:13" x14ac:dyDescent="0.25">
      <c r="A1482" t="s">
        <v>292</v>
      </c>
      <c r="B1482" t="str">
        <f>TEXT(Tabla24[[#This Row],[Fecha]],"dddd")</f>
        <v>sábado</v>
      </c>
      <c r="C1482" t="str">
        <f>TEXT(Tabla24[[#This Row],[Fecha]],"mmmm")</f>
        <v>junio</v>
      </c>
      <c r="D1482" t="str">
        <f>TEXT(Tabla24[[#This Row],[Fecha]],"aaaa")</f>
        <v>2024</v>
      </c>
      <c r="E1482" t="s">
        <v>42</v>
      </c>
      <c r="F1482" t="s">
        <v>29</v>
      </c>
      <c r="G1482" t="s">
        <v>44</v>
      </c>
      <c r="H1482" t="s">
        <v>35</v>
      </c>
      <c r="I1482" t="s">
        <v>40</v>
      </c>
      <c r="J1482">
        <v>9</v>
      </c>
      <c r="K1482">
        <v>38913</v>
      </c>
      <c r="L1482">
        <f>Tabla24[[#This Row],[Precio_Unitario]]*Tabla24[[#This Row],[Unidades_Vendidas]]</f>
        <v>350217</v>
      </c>
      <c r="M1482" t="s">
        <v>36</v>
      </c>
    </row>
    <row r="1483" spans="1:13" x14ac:dyDescent="0.25">
      <c r="A1483" t="s">
        <v>226</v>
      </c>
      <c r="B1483" t="str">
        <f>TEXT(Tabla24[[#This Row],[Fecha]],"dddd")</f>
        <v>lunes</v>
      </c>
      <c r="C1483" t="str">
        <f>TEXT(Tabla24[[#This Row],[Fecha]],"mmmm")</f>
        <v>mayo</v>
      </c>
      <c r="D1483" t="str">
        <f>TEXT(Tabla24[[#This Row],[Fecha]],"aaaa")</f>
        <v>2024</v>
      </c>
      <c r="E1483" t="s">
        <v>42</v>
      </c>
      <c r="F1483" t="s">
        <v>12</v>
      </c>
      <c r="G1483" t="s">
        <v>44</v>
      </c>
      <c r="H1483" t="s">
        <v>30</v>
      </c>
      <c r="I1483" t="s">
        <v>26</v>
      </c>
      <c r="J1483">
        <v>9</v>
      </c>
      <c r="K1483">
        <v>50039</v>
      </c>
      <c r="L1483">
        <f>Tabla24[[#This Row],[Precio_Unitario]]*Tabla24[[#This Row],[Unidades_Vendidas]]</f>
        <v>450351</v>
      </c>
      <c r="M1483" t="s">
        <v>27</v>
      </c>
    </row>
    <row r="1484" spans="1:13" x14ac:dyDescent="0.25">
      <c r="A1484" t="s">
        <v>344</v>
      </c>
      <c r="B1484" t="str">
        <f>TEXT(Tabla24[[#This Row],[Fecha]],"dddd")</f>
        <v>miércoles</v>
      </c>
      <c r="C1484" t="str">
        <f>TEXT(Tabla24[[#This Row],[Fecha]],"mmmm")</f>
        <v>diciembre</v>
      </c>
      <c r="D1484" t="str">
        <f>TEXT(Tabla24[[#This Row],[Fecha]],"aaaa")</f>
        <v>2024</v>
      </c>
      <c r="E1484" t="s">
        <v>33</v>
      </c>
      <c r="F1484" t="s">
        <v>12</v>
      </c>
      <c r="G1484" t="s">
        <v>39</v>
      </c>
      <c r="H1484" t="s">
        <v>19</v>
      </c>
      <c r="I1484" t="s">
        <v>15</v>
      </c>
      <c r="J1484">
        <v>20</v>
      </c>
      <c r="K1484">
        <v>19368</v>
      </c>
      <c r="L1484">
        <f>Tabla24[[#This Row],[Precio_Unitario]]*Tabla24[[#This Row],[Unidades_Vendidas]]</f>
        <v>387360</v>
      </c>
      <c r="M1484" t="s">
        <v>20</v>
      </c>
    </row>
    <row r="1485" spans="1:13" x14ac:dyDescent="0.25">
      <c r="A1485" t="s">
        <v>352</v>
      </c>
      <c r="B1485" t="str">
        <f>TEXT(Tabla24[[#This Row],[Fecha]],"dddd")</f>
        <v>miércoles</v>
      </c>
      <c r="C1485" t="str">
        <f>TEXT(Tabla24[[#This Row],[Fecha]],"mmmm")</f>
        <v>enero</v>
      </c>
      <c r="D1485" t="str">
        <f>TEXT(Tabla24[[#This Row],[Fecha]],"aaaa")</f>
        <v>2024</v>
      </c>
      <c r="E1485" t="s">
        <v>11</v>
      </c>
      <c r="F1485" t="s">
        <v>23</v>
      </c>
      <c r="G1485" t="s">
        <v>48</v>
      </c>
      <c r="H1485" t="s">
        <v>14</v>
      </c>
      <c r="I1485" t="s">
        <v>15</v>
      </c>
      <c r="J1485">
        <v>17</v>
      </c>
      <c r="K1485">
        <v>50880</v>
      </c>
      <c r="L1485">
        <f>Tabla24[[#This Row],[Precio_Unitario]]*Tabla24[[#This Row],[Unidades_Vendidas]]</f>
        <v>864960</v>
      </c>
      <c r="M1485" t="s">
        <v>27</v>
      </c>
    </row>
    <row r="1486" spans="1:13" x14ac:dyDescent="0.25">
      <c r="A1486" t="s">
        <v>99</v>
      </c>
      <c r="B1486" t="str">
        <f>TEXT(Tabla24[[#This Row],[Fecha]],"dddd")</f>
        <v>martes</v>
      </c>
      <c r="C1486" t="str">
        <f>TEXT(Tabla24[[#This Row],[Fecha]],"mmmm")</f>
        <v>abril</v>
      </c>
      <c r="D1486" t="str">
        <f>TEXT(Tabla24[[#This Row],[Fecha]],"aaaa")</f>
        <v>2024</v>
      </c>
      <c r="E1486" t="s">
        <v>22</v>
      </c>
      <c r="F1486" t="s">
        <v>29</v>
      </c>
      <c r="G1486" t="s">
        <v>24</v>
      </c>
      <c r="H1486" t="s">
        <v>14</v>
      </c>
      <c r="I1486" t="s">
        <v>40</v>
      </c>
      <c r="J1486">
        <v>1</v>
      </c>
      <c r="K1486">
        <v>39642</v>
      </c>
      <c r="L1486">
        <f>Tabla24[[#This Row],[Precio_Unitario]]*Tabla24[[#This Row],[Unidades_Vendidas]]</f>
        <v>39642</v>
      </c>
      <c r="M1486" t="s">
        <v>27</v>
      </c>
    </row>
    <row r="1487" spans="1:13" x14ac:dyDescent="0.25">
      <c r="A1487" t="s">
        <v>135</v>
      </c>
      <c r="B1487" t="str">
        <f>TEXT(Tabla24[[#This Row],[Fecha]],"dddd")</f>
        <v>miércoles</v>
      </c>
      <c r="C1487" t="str">
        <f>TEXT(Tabla24[[#This Row],[Fecha]],"mmmm")</f>
        <v>junio</v>
      </c>
      <c r="D1487" t="str">
        <f>TEXT(Tabla24[[#This Row],[Fecha]],"aaaa")</f>
        <v>2024</v>
      </c>
      <c r="E1487" t="s">
        <v>42</v>
      </c>
      <c r="F1487" t="s">
        <v>12</v>
      </c>
      <c r="G1487" t="s">
        <v>39</v>
      </c>
      <c r="H1487" t="s">
        <v>14</v>
      </c>
      <c r="I1487" t="s">
        <v>40</v>
      </c>
      <c r="J1487">
        <v>10</v>
      </c>
      <c r="K1487">
        <v>20729</v>
      </c>
      <c r="L1487">
        <f>Tabla24[[#This Row],[Precio_Unitario]]*Tabla24[[#This Row],[Unidades_Vendidas]]</f>
        <v>207290</v>
      </c>
      <c r="M1487" t="s">
        <v>16</v>
      </c>
    </row>
    <row r="1488" spans="1:13" x14ac:dyDescent="0.25">
      <c r="A1488" t="s">
        <v>342</v>
      </c>
      <c r="B1488" t="str">
        <f>TEXT(Tabla24[[#This Row],[Fecha]],"dddd")</f>
        <v>viernes</v>
      </c>
      <c r="C1488" t="str">
        <f>TEXT(Tabla24[[#This Row],[Fecha]],"mmmm")</f>
        <v>julio</v>
      </c>
      <c r="D1488" t="str">
        <f>TEXT(Tabla24[[#This Row],[Fecha]],"aaaa")</f>
        <v>2024</v>
      </c>
      <c r="E1488" t="s">
        <v>18</v>
      </c>
      <c r="F1488" t="s">
        <v>29</v>
      </c>
      <c r="G1488" t="s">
        <v>48</v>
      </c>
      <c r="H1488" t="s">
        <v>35</v>
      </c>
      <c r="I1488" t="s">
        <v>40</v>
      </c>
      <c r="J1488">
        <v>20</v>
      </c>
      <c r="K1488">
        <v>30680</v>
      </c>
      <c r="L1488">
        <f>Tabla24[[#This Row],[Precio_Unitario]]*Tabla24[[#This Row],[Unidades_Vendidas]]</f>
        <v>613600</v>
      </c>
      <c r="M1488" t="s">
        <v>27</v>
      </c>
    </row>
    <row r="1489" spans="1:13" x14ac:dyDescent="0.25">
      <c r="A1489" t="s">
        <v>62</v>
      </c>
      <c r="B1489" t="str">
        <f>TEXT(Tabla24[[#This Row],[Fecha]],"dddd")</f>
        <v>sábado</v>
      </c>
      <c r="C1489" t="str">
        <f>TEXT(Tabla24[[#This Row],[Fecha]],"mmmm")</f>
        <v>mayo</v>
      </c>
      <c r="D1489" t="str">
        <f>TEXT(Tabla24[[#This Row],[Fecha]],"aaaa")</f>
        <v>2024</v>
      </c>
      <c r="E1489" t="s">
        <v>22</v>
      </c>
      <c r="F1489" t="s">
        <v>29</v>
      </c>
      <c r="G1489" t="s">
        <v>44</v>
      </c>
      <c r="H1489" t="s">
        <v>19</v>
      </c>
      <c r="I1489" t="s">
        <v>26</v>
      </c>
      <c r="J1489">
        <v>2</v>
      </c>
      <c r="K1489">
        <v>59950</v>
      </c>
      <c r="L1489">
        <f>Tabla24[[#This Row],[Precio_Unitario]]*Tabla24[[#This Row],[Unidades_Vendidas]]</f>
        <v>119900</v>
      </c>
      <c r="M1489" t="s">
        <v>27</v>
      </c>
    </row>
    <row r="1490" spans="1:13" x14ac:dyDescent="0.25">
      <c r="A1490" t="s">
        <v>252</v>
      </c>
      <c r="B1490" t="str">
        <f>TEXT(Tabla24[[#This Row],[Fecha]],"dddd")</f>
        <v>viernes</v>
      </c>
      <c r="C1490" t="str">
        <f>TEXT(Tabla24[[#This Row],[Fecha]],"mmmm")</f>
        <v>mayo</v>
      </c>
      <c r="D1490" t="str">
        <f>TEXT(Tabla24[[#This Row],[Fecha]],"aaaa")</f>
        <v>2024</v>
      </c>
      <c r="E1490" t="s">
        <v>18</v>
      </c>
      <c r="F1490" t="s">
        <v>29</v>
      </c>
      <c r="G1490" t="s">
        <v>13</v>
      </c>
      <c r="H1490" t="s">
        <v>14</v>
      </c>
      <c r="I1490" t="s">
        <v>26</v>
      </c>
      <c r="J1490">
        <v>17</v>
      </c>
      <c r="K1490">
        <v>19019</v>
      </c>
      <c r="L1490">
        <f>Tabla24[[#This Row],[Precio_Unitario]]*Tabla24[[#This Row],[Unidades_Vendidas]]</f>
        <v>323323</v>
      </c>
      <c r="M1490" t="s">
        <v>27</v>
      </c>
    </row>
    <row r="1491" spans="1:13" x14ac:dyDescent="0.25">
      <c r="A1491" t="s">
        <v>295</v>
      </c>
      <c r="B1491" t="str">
        <f>TEXT(Tabla24[[#This Row],[Fecha]],"dddd")</f>
        <v>domingo</v>
      </c>
      <c r="C1491" t="str">
        <f>TEXT(Tabla24[[#This Row],[Fecha]],"mmmm")</f>
        <v>abril</v>
      </c>
      <c r="D1491" t="str">
        <f>TEXT(Tabla24[[#This Row],[Fecha]],"aaaa")</f>
        <v>2024</v>
      </c>
      <c r="E1491" t="s">
        <v>11</v>
      </c>
      <c r="F1491" t="s">
        <v>38</v>
      </c>
      <c r="G1491" t="s">
        <v>13</v>
      </c>
      <c r="H1491" t="s">
        <v>19</v>
      </c>
      <c r="I1491" t="s">
        <v>26</v>
      </c>
      <c r="J1491">
        <v>1</v>
      </c>
      <c r="K1491">
        <v>19087</v>
      </c>
      <c r="L1491">
        <f>Tabla24[[#This Row],[Precio_Unitario]]*Tabla24[[#This Row],[Unidades_Vendidas]]</f>
        <v>19087</v>
      </c>
      <c r="M1491" t="s">
        <v>16</v>
      </c>
    </row>
    <row r="1492" spans="1:13" x14ac:dyDescent="0.25">
      <c r="A1492" t="s">
        <v>253</v>
      </c>
      <c r="B1492" t="str">
        <f>TEXT(Tabla24[[#This Row],[Fecha]],"dddd")</f>
        <v>jueves</v>
      </c>
      <c r="C1492" t="str">
        <f>TEXT(Tabla24[[#This Row],[Fecha]],"mmmm")</f>
        <v>marzo</v>
      </c>
      <c r="D1492" t="str">
        <f>TEXT(Tabla24[[#This Row],[Fecha]],"aaaa")</f>
        <v>2024</v>
      </c>
      <c r="E1492" t="s">
        <v>22</v>
      </c>
      <c r="F1492" t="s">
        <v>38</v>
      </c>
      <c r="G1492" t="s">
        <v>44</v>
      </c>
      <c r="H1492" t="s">
        <v>25</v>
      </c>
      <c r="I1492" t="s">
        <v>40</v>
      </c>
      <c r="J1492">
        <v>19</v>
      </c>
      <c r="K1492">
        <v>51902</v>
      </c>
      <c r="L1492">
        <f>Tabla24[[#This Row],[Precio_Unitario]]*Tabla24[[#This Row],[Unidades_Vendidas]]</f>
        <v>986138</v>
      </c>
      <c r="M1492" t="s">
        <v>20</v>
      </c>
    </row>
    <row r="1493" spans="1:13" x14ac:dyDescent="0.25">
      <c r="A1493" t="s">
        <v>65</v>
      </c>
      <c r="B1493" t="str">
        <f>TEXT(Tabla24[[#This Row],[Fecha]],"dddd")</f>
        <v>viernes</v>
      </c>
      <c r="C1493" t="str">
        <f>TEXT(Tabla24[[#This Row],[Fecha]],"mmmm")</f>
        <v>abril</v>
      </c>
      <c r="D1493" t="str">
        <f>TEXT(Tabla24[[#This Row],[Fecha]],"aaaa")</f>
        <v>2024</v>
      </c>
      <c r="E1493" t="s">
        <v>18</v>
      </c>
      <c r="F1493" t="s">
        <v>34</v>
      </c>
      <c r="G1493" t="s">
        <v>13</v>
      </c>
      <c r="H1493" t="s">
        <v>14</v>
      </c>
      <c r="I1493" t="s">
        <v>40</v>
      </c>
      <c r="J1493">
        <v>3</v>
      </c>
      <c r="K1493">
        <v>57382</v>
      </c>
      <c r="L1493">
        <f>Tabla24[[#This Row],[Precio_Unitario]]*Tabla24[[#This Row],[Unidades_Vendidas]]</f>
        <v>172146</v>
      </c>
      <c r="M1493" t="s">
        <v>16</v>
      </c>
    </row>
    <row r="1494" spans="1:13" x14ac:dyDescent="0.25">
      <c r="A1494" t="s">
        <v>228</v>
      </c>
      <c r="B1494" t="str">
        <f>TEXT(Tabla24[[#This Row],[Fecha]],"dddd")</f>
        <v>martes</v>
      </c>
      <c r="C1494" t="str">
        <f>TEXT(Tabla24[[#This Row],[Fecha]],"mmmm")</f>
        <v>agosto</v>
      </c>
      <c r="D1494" t="str">
        <f>TEXT(Tabla24[[#This Row],[Fecha]],"aaaa")</f>
        <v>2024</v>
      </c>
      <c r="E1494" t="s">
        <v>42</v>
      </c>
      <c r="F1494" t="s">
        <v>38</v>
      </c>
      <c r="G1494" t="s">
        <v>39</v>
      </c>
      <c r="H1494" t="s">
        <v>35</v>
      </c>
      <c r="I1494" t="s">
        <v>40</v>
      </c>
      <c r="J1494">
        <v>13</v>
      </c>
      <c r="K1494">
        <v>17290</v>
      </c>
      <c r="L1494">
        <f>Tabla24[[#This Row],[Precio_Unitario]]*Tabla24[[#This Row],[Unidades_Vendidas]]</f>
        <v>224770</v>
      </c>
      <c r="M1494" t="s">
        <v>20</v>
      </c>
    </row>
    <row r="1495" spans="1:13" x14ac:dyDescent="0.25">
      <c r="A1495" t="s">
        <v>282</v>
      </c>
      <c r="B1495" t="str">
        <f>TEXT(Tabla24[[#This Row],[Fecha]],"dddd")</f>
        <v>domingo</v>
      </c>
      <c r="C1495" t="str">
        <f>TEXT(Tabla24[[#This Row],[Fecha]],"mmmm")</f>
        <v>junio</v>
      </c>
      <c r="D1495" t="str">
        <f>TEXT(Tabla24[[#This Row],[Fecha]],"aaaa")</f>
        <v>2024</v>
      </c>
      <c r="E1495" t="s">
        <v>18</v>
      </c>
      <c r="F1495" t="s">
        <v>23</v>
      </c>
      <c r="G1495" t="s">
        <v>48</v>
      </c>
      <c r="H1495" t="s">
        <v>35</v>
      </c>
      <c r="I1495" t="s">
        <v>26</v>
      </c>
      <c r="J1495">
        <v>14</v>
      </c>
      <c r="K1495">
        <v>47604</v>
      </c>
      <c r="L1495">
        <f>Tabla24[[#This Row],[Precio_Unitario]]*Tabla24[[#This Row],[Unidades_Vendidas]]</f>
        <v>666456</v>
      </c>
      <c r="M1495" t="s">
        <v>27</v>
      </c>
    </row>
    <row r="1496" spans="1:13" x14ac:dyDescent="0.25">
      <c r="A1496" t="s">
        <v>246</v>
      </c>
      <c r="B1496" t="str">
        <f>TEXT(Tabla24[[#This Row],[Fecha]],"dddd")</f>
        <v>martes</v>
      </c>
      <c r="C1496" t="str">
        <f>TEXT(Tabla24[[#This Row],[Fecha]],"mmmm")</f>
        <v>noviembre</v>
      </c>
      <c r="D1496" t="str">
        <f>TEXT(Tabla24[[#This Row],[Fecha]],"aaaa")</f>
        <v>2024</v>
      </c>
      <c r="E1496" t="s">
        <v>18</v>
      </c>
      <c r="F1496" t="s">
        <v>38</v>
      </c>
      <c r="G1496" t="s">
        <v>39</v>
      </c>
      <c r="H1496" t="s">
        <v>35</v>
      </c>
      <c r="I1496" t="s">
        <v>15</v>
      </c>
      <c r="J1496">
        <v>8</v>
      </c>
      <c r="K1496">
        <v>56188</v>
      </c>
      <c r="L1496">
        <f>Tabla24[[#This Row],[Precio_Unitario]]*Tabla24[[#This Row],[Unidades_Vendidas]]</f>
        <v>449504</v>
      </c>
      <c r="M1496" t="s">
        <v>20</v>
      </c>
    </row>
    <row r="1497" spans="1:13" x14ac:dyDescent="0.25">
      <c r="A1497" t="s">
        <v>71</v>
      </c>
      <c r="B1497" t="str">
        <f>TEXT(Tabla24[[#This Row],[Fecha]],"dddd")</f>
        <v>martes</v>
      </c>
      <c r="C1497" t="str">
        <f>TEXT(Tabla24[[#This Row],[Fecha]],"mmmm")</f>
        <v>julio</v>
      </c>
      <c r="D1497" t="str">
        <f>TEXT(Tabla24[[#This Row],[Fecha]],"aaaa")</f>
        <v>2024</v>
      </c>
      <c r="E1497" t="s">
        <v>22</v>
      </c>
      <c r="F1497" t="s">
        <v>38</v>
      </c>
      <c r="G1497" t="s">
        <v>13</v>
      </c>
      <c r="H1497" t="s">
        <v>30</v>
      </c>
      <c r="I1497" t="s">
        <v>26</v>
      </c>
      <c r="J1497">
        <v>16</v>
      </c>
      <c r="K1497">
        <v>28720</v>
      </c>
      <c r="L1497">
        <f>Tabla24[[#This Row],[Precio_Unitario]]*Tabla24[[#This Row],[Unidades_Vendidas]]</f>
        <v>459520</v>
      </c>
      <c r="M1497" t="s">
        <v>16</v>
      </c>
    </row>
    <row r="1498" spans="1:13" x14ac:dyDescent="0.25">
      <c r="A1498" t="s">
        <v>128</v>
      </c>
      <c r="B1498" t="str">
        <f>TEXT(Tabla24[[#This Row],[Fecha]],"dddd")</f>
        <v>miércoles</v>
      </c>
      <c r="C1498" t="str">
        <f>TEXT(Tabla24[[#This Row],[Fecha]],"mmmm")</f>
        <v>febrero</v>
      </c>
      <c r="D1498" t="str">
        <f>TEXT(Tabla24[[#This Row],[Fecha]],"aaaa")</f>
        <v>2024</v>
      </c>
      <c r="E1498" t="s">
        <v>33</v>
      </c>
      <c r="F1498" t="s">
        <v>12</v>
      </c>
      <c r="G1498" t="s">
        <v>44</v>
      </c>
      <c r="H1498" t="s">
        <v>19</v>
      </c>
      <c r="I1498" t="s">
        <v>26</v>
      </c>
      <c r="J1498">
        <v>5</v>
      </c>
      <c r="K1498">
        <v>52120</v>
      </c>
      <c r="L1498">
        <f>Tabla24[[#This Row],[Precio_Unitario]]*Tabla24[[#This Row],[Unidades_Vendidas]]</f>
        <v>260600</v>
      </c>
      <c r="M1498" t="s">
        <v>36</v>
      </c>
    </row>
    <row r="1499" spans="1:13" x14ac:dyDescent="0.25">
      <c r="A1499" t="s">
        <v>249</v>
      </c>
      <c r="B1499" t="str">
        <f>TEXT(Tabla24[[#This Row],[Fecha]],"dddd")</f>
        <v>sábado</v>
      </c>
      <c r="C1499" t="str">
        <f>TEXT(Tabla24[[#This Row],[Fecha]],"mmmm")</f>
        <v>mayo</v>
      </c>
      <c r="D1499" t="str">
        <f>TEXT(Tabla24[[#This Row],[Fecha]],"aaaa")</f>
        <v>2024</v>
      </c>
      <c r="E1499" t="s">
        <v>42</v>
      </c>
      <c r="F1499" t="s">
        <v>38</v>
      </c>
      <c r="G1499" t="s">
        <v>48</v>
      </c>
      <c r="H1499" t="s">
        <v>30</v>
      </c>
      <c r="I1499" t="s">
        <v>40</v>
      </c>
      <c r="J1499">
        <v>11</v>
      </c>
      <c r="K1499">
        <v>35957</v>
      </c>
      <c r="L1499">
        <f>Tabla24[[#This Row],[Precio_Unitario]]*Tabla24[[#This Row],[Unidades_Vendidas]]</f>
        <v>395527</v>
      </c>
      <c r="M1499" t="s">
        <v>20</v>
      </c>
    </row>
    <row r="1500" spans="1:13" x14ac:dyDescent="0.25">
      <c r="A1500" t="s">
        <v>166</v>
      </c>
      <c r="B1500" t="str">
        <f>TEXT(Tabla24[[#This Row],[Fecha]],"dddd")</f>
        <v>lunes</v>
      </c>
      <c r="C1500" t="str">
        <f>TEXT(Tabla24[[#This Row],[Fecha]],"mmmm")</f>
        <v>enero</v>
      </c>
      <c r="D1500" t="str">
        <f>TEXT(Tabla24[[#This Row],[Fecha]],"aaaa")</f>
        <v>2024</v>
      </c>
      <c r="E1500" t="s">
        <v>18</v>
      </c>
      <c r="F1500" t="s">
        <v>29</v>
      </c>
      <c r="G1500" t="s">
        <v>48</v>
      </c>
      <c r="H1500" t="s">
        <v>25</v>
      </c>
      <c r="I1500" t="s">
        <v>26</v>
      </c>
      <c r="J1500">
        <v>6</v>
      </c>
      <c r="K1500">
        <v>21174</v>
      </c>
      <c r="L1500">
        <f>Tabla24[[#This Row],[Precio_Unitario]]*Tabla24[[#This Row],[Unidades_Vendidas]]</f>
        <v>127044</v>
      </c>
      <c r="M1500" t="s">
        <v>27</v>
      </c>
    </row>
    <row r="1501" spans="1:13" x14ac:dyDescent="0.25">
      <c r="A1501" t="s">
        <v>158</v>
      </c>
      <c r="B1501" t="str">
        <f>TEXT(Tabla24[[#This Row],[Fecha]],"dddd")</f>
        <v>viernes</v>
      </c>
      <c r="C1501" t="str">
        <f>TEXT(Tabla24[[#This Row],[Fecha]],"mmmm")</f>
        <v>enero</v>
      </c>
      <c r="D1501" t="str">
        <f>TEXT(Tabla24[[#This Row],[Fecha]],"aaaa")</f>
        <v>2024</v>
      </c>
      <c r="E1501" t="s">
        <v>11</v>
      </c>
      <c r="F1501" t="s">
        <v>29</v>
      </c>
      <c r="G1501" t="s">
        <v>44</v>
      </c>
      <c r="H1501" t="s">
        <v>35</v>
      </c>
      <c r="I1501" t="s">
        <v>15</v>
      </c>
      <c r="J1501">
        <v>2</v>
      </c>
      <c r="K1501">
        <v>26691</v>
      </c>
      <c r="L1501">
        <f>Tabla24[[#This Row],[Precio_Unitario]]*Tabla24[[#This Row],[Unidades_Vendidas]]</f>
        <v>53382</v>
      </c>
      <c r="M1501" t="s">
        <v>27</v>
      </c>
    </row>
    <row r="1502" spans="1:13" x14ac:dyDescent="0.25">
      <c r="A1502" t="s">
        <v>226</v>
      </c>
      <c r="B1502" t="str">
        <f>TEXT(Tabla24[[#This Row],[Fecha]],"dddd")</f>
        <v>lunes</v>
      </c>
      <c r="C1502" t="str">
        <f>TEXT(Tabla24[[#This Row],[Fecha]],"mmmm")</f>
        <v>mayo</v>
      </c>
      <c r="D1502" t="str">
        <f>TEXT(Tabla24[[#This Row],[Fecha]],"aaaa")</f>
        <v>2024</v>
      </c>
      <c r="E1502" t="s">
        <v>22</v>
      </c>
      <c r="F1502" t="s">
        <v>29</v>
      </c>
      <c r="G1502" t="s">
        <v>13</v>
      </c>
      <c r="H1502" t="s">
        <v>35</v>
      </c>
      <c r="I1502" t="s">
        <v>40</v>
      </c>
      <c r="J1502">
        <v>20</v>
      </c>
      <c r="K1502">
        <v>20323</v>
      </c>
      <c r="L1502">
        <f>Tabla24[[#This Row],[Precio_Unitario]]*Tabla24[[#This Row],[Unidades_Vendidas]]</f>
        <v>406460</v>
      </c>
      <c r="M1502" t="s">
        <v>27</v>
      </c>
    </row>
    <row r="1503" spans="1:13" x14ac:dyDescent="0.25">
      <c r="A1503" t="s">
        <v>322</v>
      </c>
      <c r="B1503" t="str">
        <f>TEXT(Tabla24[[#This Row],[Fecha]],"dddd")</f>
        <v>miércoles</v>
      </c>
      <c r="C1503" t="str">
        <f>TEXT(Tabla24[[#This Row],[Fecha]],"mmmm")</f>
        <v>septiembre</v>
      </c>
      <c r="D1503" t="str">
        <f>TEXT(Tabla24[[#This Row],[Fecha]],"aaaa")</f>
        <v>2024</v>
      </c>
      <c r="E1503" t="s">
        <v>18</v>
      </c>
      <c r="F1503" t="s">
        <v>38</v>
      </c>
      <c r="G1503" t="s">
        <v>39</v>
      </c>
      <c r="H1503" t="s">
        <v>19</v>
      </c>
      <c r="I1503" t="s">
        <v>40</v>
      </c>
      <c r="J1503">
        <v>17</v>
      </c>
      <c r="K1503">
        <v>15484</v>
      </c>
      <c r="L1503">
        <f>Tabla24[[#This Row],[Precio_Unitario]]*Tabla24[[#This Row],[Unidades_Vendidas]]</f>
        <v>263228</v>
      </c>
      <c r="M1503" t="s">
        <v>27</v>
      </c>
    </row>
    <row r="1504" spans="1:13" x14ac:dyDescent="0.25">
      <c r="A1504" t="s">
        <v>270</v>
      </c>
      <c r="B1504" t="str">
        <f>TEXT(Tabla24[[#This Row],[Fecha]],"dddd")</f>
        <v>viernes</v>
      </c>
      <c r="C1504" t="str">
        <f>TEXT(Tabla24[[#This Row],[Fecha]],"mmmm")</f>
        <v>octubre</v>
      </c>
      <c r="D1504" t="str">
        <f>TEXT(Tabla24[[#This Row],[Fecha]],"aaaa")</f>
        <v>2024</v>
      </c>
      <c r="E1504" t="s">
        <v>42</v>
      </c>
      <c r="F1504" t="s">
        <v>12</v>
      </c>
      <c r="G1504" t="s">
        <v>44</v>
      </c>
      <c r="H1504" t="s">
        <v>30</v>
      </c>
      <c r="I1504" t="s">
        <v>26</v>
      </c>
      <c r="J1504">
        <v>3</v>
      </c>
      <c r="K1504">
        <v>41700</v>
      </c>
      <c r="L1504">
        <f>Tabla24[[#This Row],[Precio_Unitario]]*Tabla24[[#This Row],[Unidades_Vendidas]]</f>
        <v>125100</v>
      </c>
      <c r="M1504" t="s">
        <v>36</v>
      </c>
    </row>
    <row r="1505" spans="1:13" x14ac:dyDescent="0.25">
      <c r="A1505" t="s">
        <v>192</v>
      </c>
      <c r="B1505" t="str">
        <f>TEXT(Tabla24[[#This Row],[Fecha]],"dddd")</f>
        <v>martes</v>
      </c>
      <c r="C1505" t="str">
        <f>TEXT(Tabla24[[#This Row],[Fecha]],"mmmm")</f>
        <v>septiembre</v>
      </c>
      <c r="D1505" t="str">
        <f>TEXT(Tabla24[[#This Row],[Fecha]],"aaaa")</f>
        <v>2024</v>
      </c>
      <c r="E1505" t="s">
        <v>33</v>
      </c>
      <c r="F1505" t="s">
        <v>23</v>
      </c>
      <c r="G1505" t="s">
        <v>48</v>
      </c>
      <c r="H1505" t="s">
        <v>30</v>
      </c>
      <c r="I1505" t="s">
        <v>15</v>
      </c>
      <c r="J1505">
        <v>17</v>
      </c>
      <c r="K1505">
        <v>16911</v>
      </c>
      <c r="L1505">
        <f>Tabla24[[#This Row],[Precio_Unitario]]*Tabla24[[#This Row],[Unidades_Vendidas]]</f>
        <v>287487</v>
      </c>
      <c r="M1505" t="s">
        <v>16</v>
      </c>
    </row>
    <row r="1506" spans="1:13" x14ac:dyDescent="0.25">
      <c r="A1506" t="s">
        <v>126</v>
      </c>
      <c r="B1506" t="str">
        <f>TEXT(Tabla24[[#This Row],[Fecha]],"dddd")</f>
        <v>lunes</v>
      </c>
      <c r="C1506" t="str">
        <f>TEXT(Tabla24[[#This Row],[Fecha]],"mmmm")</f>
        <v>noviembre</v>
      </c>
      <c r="D1506" t="str">
        <f>TEXT(Tabla24[[#This Row],[Fecha]],"aaaa")</f>
        <v>2024</v>
      </c>
      <c r="E1506" t="s">
        <v>42</v>
      </c>
      <c r="F1506" t="s">
        <v>23</v>
      </c>
      <c r="G1506" t="s">
        <v>44</v>
      </c>
      <c r="H1506" t="s">
        <v>35</v>
      </c>
      <c r="I1506" t="s">
        <v>26</v>
      </c>
      <c r="J1506">
        <v>3</v>
      </c>
      <c r="K1506">
        <v>15047</v>
      </c>
      <c r="L1506">
        <f>Tabla24[[#This Row],[Precio_Unitario]]*Tabla24[[#This Row],[Unidades_Vendidas]]</f>
        <v>45141</v>
      </c>
      <c r="M1506" t="s">
        <v>16</v>
      </c>
    </row>
    <row r="1507" spans="1:13" x14ac:dyDescent="0.25">
      <c r="A1507" t="s">
        <v>131</v>
      </c>
      <c r="B1507" t="str">
        <f>TEXT(Tabla24[[#This Row],[Fecha]],"dddd")</f>
        <v>lunes</v>
      </c>
      <c r="C1507" t="str">
        <f>TEXT(Tabla24[[#This Row],[Fecha]],"mmmm")</f>
        <v>octubre</v>
      </c>
      <c r="D1507" t="str">
        <f>TEXT(Tabla24[[#This Row],[Fecha]],"aaaa")</f>
        <v>2024</v>
      </c>
      <c r="E1507" t="s">
        <v>18</v>
      </c>
      <c r="F1507" t="s">
        <v>34</v>
      </c>
      <c r="G1507" t="s">
        <v>48</v>
      </c>
      <c r="H1507" t="s">
        <v>19</v>
      </c>
      <c r="I1507" t="s">
        <v>26</v>
      </c>
      <c r="J1507">
        <v>18</v>
      </c>
      <c r="K1507">
        <v>53600</v>
      </c>
      <c r="L1507">
        <f>Tabla24[[#This Row],[Precio_Unitario]]*Tabla24[[#This Row],[Unidades_Vendidas]]</f>
        <v>964800</v>
      </c>
      <c r="M1507" t="s">
        <v>16</v>
      </c>
    </row>
    <row r="1508" spans="1:13" x14ac:dyDescent="0.25">
      <c r="A1508" t="s">
        <v>394</v>
      </c>
      <c r="B1508" t="str">
        <f>TEXT(Tabla24[[#This Row],[Fecha]],"dddd")</f>
        <v>martes</v>
      </c>
      <c r="C1508" t="str">
        <f>TEXT(Tabla24[[#This Row],[Fecha]],"mmmm")</f>
        <v>abril</v>
      </c>
      <c r="D1508" t="str">
        <f>TEXT(Tabla24[[#This Row],[Fecha]],"aaaa")</f>
        <v>2024</v>
      </c>
      <c r="E1508" t="s">
        <v>33</v>
      </c>
      <c r="F1508" t="s">
        <v>12</v>
      </c>
      <c r="G1508" t="s">
        <v>24</v>
      </c>
      <c r="H1508" t="s">
        <v>25</v>
      </c>
      <c r="I1508" t="s">
        <v>26</v>
      </c>
      <c r="J1508">
        <v>3</v>
      </c>
      <c r="K1508">
        <v>20451</v>
      </c>
      <c r="L1508">
        <f>Tabla24[[#This Row],[Precio_Unitario]]*Tabla24[[#This Row],[Unidades_Vendidas]]</f>
        <v>61353</v>
      </c>
      <c r="M1508" t="s">
        <v>36</v>
      </c>
    </row>
    <row r="1509" spans="1:13" x14ac:dyDescent="0.25">
      <c r="A1509" t="s">
        <v>349</v>
      </c>
      <c r="B1509" t="str">
        <f>TEXT(Tabla24[[#This Row],[Fecha]],"dddd")</f>
        <v>domingo</v>
      </c>
      <c r="C1509" t="str">
        <f>TEXT(Tabla24[[#This Row],[Fecha]],"mmmm")</f>
        <v>julio</v>
      </c>
      <c r="D1509" t="str">
        <f>TEXT(Tabla24[[#This Row],[Fecha]],"aaaa")</f>
        <v>2024</v>
      </c>
      <c r="E1509" t="s">
        <v>18</v>
      </c>
      <c r="F1509" t="s">
        <v>29</v>
      </c>
      <c r="G1509" t="s">
        <v>39</v>
      </c>
      <c r="H1509" t="s">
        <v>14</v>
      </c>
      <c r="I1509" t="s">
        <v>15</v>
      </c>
      <c r="J1509">
        <v>13</v>
      </c>
      <c r="K1509">
        <v>55870</v>
      </c>
      <c r="L1509">
        <f>Tabla24[[#This Row],[Precio_Unitario]]*Tabla24[[#This Row],[Unidades_Vendidas]]</f>
        <v>726310</v>
      </c>
      <c r="M1509" t="s">
        <v>16</v>
      </c>
    </row>
    <row r="1510" spans="1:13" x14ac:dyDescent="0.25">
      <c r="A1510" t="s">
        <v>269</v>
      </c>
      <c r="B1510" t="str">
        <f>TEXT(Tabla24[[#This Row],[Fecha]],"dddd")</f>
        <v>martes</v>
      </c>
      <c r="C1510" t="str">
        <f>TEXT(Tabla24[[#This Row],[Fecha]],"mmmm")</f>
        <v>marzo</v>
      </c>
      <c r="D1510" t="str">
        <f>TEXT(Tabla24[[#This Row],[Fecha]],"aaaa")</f>
        <v>2024</v>
      </c>
      <c r="E1510" t="s">
        <v>11</v>
      </c>
      <c r="F1510" t="s">
        <v>38</v>
      </c>
      <c r="G1510" t="s">
        <v>48</v>
      </c>
      <c r="H1510" t="s">
        <v>25</v>
      </c>
      <c r="I1510" t="s">
        <v>40</v>
      </c>
      <c r="J1510">
        <v>3</v>
      </c>
      <c r="K1510">
        <v>37887</v>
      </c>
      <c r="L1510">
        <f>Tabla24[[#This Row],[Precio_Unitario]]*Tabla24[[#This Row],[Unidades_Vendidas]]</f>
        <v>113661</v>
      </c>
      <c r="M1510" t="s">
        <v>27</v>
      </c>
    </row>
    <row r="1511" spans="1:13" x14ac:dyDescent="0.25">
      <c r="A1511" t="s">
        <v>104</v>
      </c>
      <c r="B1511" t="str">
        <f>TEXT(Tabla24[[#This Row],[Fecha]],"dddd")</f>
        <v>domingo</v>
      </c>
      <c r="C1511" t="str">
        <f>TEXT(Tabla24[[#This Row],[Fecha]],"mmmm")</f>
        <v>octubre</v>
      </c>
      <c r="D1511" t="str">
        <f>TEXT(Tabla24[[#This Row],[Fecha]],"aaaa")</f>
        <v>2024</v>
      </c>
      <c r="E1511" t="s">
        <v>33</v>
      </c>
      <c r="F1511" t="s">
        <v>29</v>
      </c>
      <c r="G1511" t="s">
        <v>13</v>
      </c>
      <c r="H1511" t="s">
        <v>19</v>
      </c>
      <c r="I1511" t="s">
        <v>26</v>
      </c>
      <c r="J1511">
        <v>13</v>
      </c>
      <c r="K1511">
        <v>40629</v>
      </c>
      <c r="L1511">
        <f>Tabla24[[#This Row],[Precio_Unitario]]*Tabla24[[#This Row],[Unidades_Vendidas]]</f>
        <v>528177</v>
      </c>
      <c r="M1511" t="s">
        <v>27</v>
      </c>
    </row>
    <row r="1512" spans="1:13" x14ac:dyDescent="0.25">
      <c r="A1512" t="s">
        <v>47</v>
      </c>
      <c r="B1512" t="str">
        <f>TEXT(Tabla24[[#This Row],[Fecha]],"dddd")</f>
        <v>miércoles</v>
      </c>
      <c r="C1512" t="str">
        <f>TEXT(Tabla24[[#This Row],[Fecha]],"mmmm")</f>
        <v>septiembre</v>
      </c>
      <c r="D1512" t="str">
        <f>TEXT(Tabla24[[#This Row],[Fecha]],"aaaa")</f>
        <v>2024</v>
      </c>
      <c r="E1512" t="s">
        <v>42</v>
      </c>
      <c r="F1512" t="s">
        <v>29</v>
      </c>
      <c r="G1512" t="s">
        <v>13</v>
      </c>
      <c r="H1512" t="s">
        <v>25</v>
      </c>
      <c r="I1512" t="s">
        <v>40</v>
      </c>
      <c r="J1512">
        <v>8</v>
      </c>
      <c r="K1512">
        <v>20923</v>
      </c>
      <c r="L1512">
        <f>Tabla24[[#This Row],[Precio_Unitario]]*Tabla24[[#This Row],[Unidades_Vendidas]]</f>
        <v>167384</v>
      </c>
      <c r="M1512" t="s">
        <v>16</v>
      </c>
    </row>
    <row r="1513" spans="1:13" x14ac:dyDescent="0.25">
      <c r="A1513" t="s">
        <v>87</v>
      </c>
      <c r="B1513" t="str">
        <f>TEXT(Tabla24[[#This Row],[Fecha]],"dddd")</f>
        <v>martes</v>
      </c>
      <c r="C1513" t="str">
        <f>TEXT(Tabla24[[#This Row],[Fecha]],"mmmm")</f>
        <v>noviembre</v>
      </c>
      <c r="D1513" t="str">
        <f>TEXT(Tabla24[[#This Row],[Fecha]],"aaaa")</f>
        <v>2024</v>
      </c>
      <c r="E1513" t="s">
        <v>22</v>
      </c>
      <c r="F1513" t="s">
        <v>23</v>
      </c>
      <c r="G1513" t="s">
        <v>48</v>
      </c>
      <c r="H1513" t="s">
        <v>25</v>
      </c>
      <c r="I1513" t="s">
        <v>15</v>
      </c>
      <c r="J1513">
        <v>19</v>
      </c>
      <c r="K1513">
        <v>16803</v>
      </c>
      <c r="L1513">
        <f>Tabla24[[#This Row],[Precio_Unitario]]*Tabla24[[#This Row],[Unidades_Vendidas]]</f>
        <v>319257</v>
      </c>
      <c r="M1513" t="s">
        <v>20</v>
      </c>
    </row>
    <row r="1514" spans="1:13" x14ac:dyDescent="0.25">
      <c r="A1514" t="s">
        <v>153</v>
      </c>
      <c r="B1514" t="str">
        <f>TEXT(Tabla24[[#This Row],[Fecha]],"dddd")</f>
        <v>lunes</v>
      </c>
      <c r="C1514" t="str">
        <f>TEXT(Tabla24[[#This Row],[Fecha]],"mmmm")</f>
        <v>enero</v>
      </c>
      <c r="D1514" t="str">
        <f>TEXT(Tabla24[[#This Row],[Fecha]],"aaaa")</f>
        <v>2024</v>
      </c>
      <c r="E1514" t="s">
        <v>42</v>
      </c>
      <c r="F1514" t="s">
        <v>34</v>
      </c>
      <c r="G1514" t="s">
        <v>24</v>
      </c>
      <c r="H1514" t="s">
        <v>25</v>
      </c>
      <c r="I1514" t="s">
        <v>15</v>
      </c>
      <c r="J1514">
        <v>8</v>
      </c>
      <c r="K1514">
        <v>29386</v>
      </c>
      <c r="L1514">
        <f>Tabla24[[#This Row],[Precio_Unitario]]*Tabla24[[#This Row],[Unidades_Vendidas]]</f>
        <v>235088</v>
      </c>
      <c r="M1514" t="s">
        <v>27</v>
      </c>
    </row>
    <row r="1515" spans="1:13" x14ac:dyDescent="0.25">
      <c r="A1515" t="s">
        <v>326</v>
      </c>
      <c r="B1515" t="str">
        <f>TEXT(Tabla24[[#This Row],[Fecha]],"dddd")</f>
        <v>sábado</v>
      </c>
      <c r="C1515" t="str">
        <f>TEXT(Tabla24[[#This Row],[Fecha]],"mmmm")</f>
        <v>julio</v>
      </c>
      <c r="D1515" t="str">
        <f>TEXT(Tabla24[[#This Row],[Fecha]],"aaaa")</f>
        <v>2024</v>
      </c>
      <c r="E1515" t="s">
        <v>18</v>
      </c>
      <c r="F1515" t="s">
        <v>34</v>
      </c>
      <c r="G1515" t="s">
        <v>39</v>
      </c>
      <c r="H1515" t="s">
        <v>14</v>
      </c>
      <c r="I1515" t="s">
        <v>26</v>
      </c>
      <c r="J1515">
        <v>20</v>
      </c>
      <c r="K1515">
        <v>23865</v>
      </c>
      <c r="L1515">
        <f>Tabla24[[#This Row],[Precio_Unitario]]*Tabla24[[#This Row],[Unidades_Vendidas]]</f>
        <v>477300</v>
      </c>
      <c r="M1515" t="s">
        <v>20</v>
      </c>
    </row>
    <row r="1516" spans="1:13" x14ac:dyDescent="0.25">
      <c r="A1516" t="s">
        <v>196</v>
      </c>
      <c r="B1516" t="str">
        <f>TEXT(Tabla24[[#This Row],[Fecha]],"dddd")</f>
        <v>lunes</v>
      </c>
      <c r="C1516" t="str">
        <f>TEXT(Tabla24[[#This Row],[Fecha]],"mmmm")</f>
        <v>junio</v>
      </c>
      <c r="D1516" t="str">
        <f>TEXT(Tabla24[[#This Row],[Fecha]],"aaaa")</f>
        <v>2024</v>
      </c>
      <c r="E1516" t="s">
        <v>42</v>
      </c>
      <c r="F1516" t="s">
        <v>34</v>
      </c>
      <c r="G1516" t="s">
        <v>13</v>
      </c>
      <c r="H1516" t="s">
        <v>25</v>
      </c>
      <c r="I1516" t="s">
        <v>40</v>
      </c>
      <c r="J1516">
        <v>12</v>
      </c>
      <c r="K1516">
        <v>24765</v>
      </c>
      <c r="L1516">
        <f>Tabla24[[#This Row],[Precio_Unitario]]*Tabla24[[#This Row],[Unidades_Vendidas]]</f>
        <v>297180</v>
      </c>
      <c r="M1516" t="s">
        <v>27</v>
      </c>
    </row>
    <row r="1517" spans="1:13" x14ac:dyDescent="0.25">
      <c r="A1517" t="s">
        <v>64</v>
      </c>
      <c r="B1517" t="str">
        <f>TEXT(Tabla24[[#This Row],[Fecha]],"dddd")</f>
        <v>martes</v>
      </c>
      <c r="C1517" t="str">
        <f>TEXT(Tabla24[[#This Row],[Fecha]],"mmmm")</f>
        <v>octubre</v>
      </c>
      <c r="D1517" t="str">
        <f>TEXT(Tabla24[[#This Row],[Fecha]],"aaaa")</f>
        <v>2024</v>
      </c>
      <c r="E1517" t="s">
        <v>42</v>
      </c>
      <c r="F1517" t="s">
        <v>34</v>
      </c>
      <c r="G1517" t="s">
        <v>48</v>
      </c>
      <c r="H1517" t="s">
        <v>19</v>
      </c>
      <c r="I1517" t="s">
        <v>40</v>
      </c>
      <c r="J1517">
        <v>2</v>
      </c>
      <c r="K1517">
        <v>27513</v>
      </c>
      <c r="L1517">
        <f>Tabla24[[#This Row],[Precio_Unitario]]*Tabla24[[#This Row],[Unidades_Vendidas]]</f>
        <v>55026</v>
      </c>
      <c r="M1517" t="s">
        <v>27</v>
      </c>
    </row>
    <row r="1518" spans="1:13" x14ac:dyDescent="0.25">
      <c r="A1518" t="s">
        <v>313</v>
      </c>
      <c r="B1518" t="str">
        <f>TEXT(Tabla24[[#This Row],[Fecha]],"dddd")</f>
        <v>jueves</v>
      </c>
      <c r="C1518" t="str">
        <f>TEXT(Tabla24[[#This Row],[Fecha]],"mmmm")</f>
        <v>agosto</v>
      </c>
      <c r="D1518" t="str">
        <f>TEXT(Tabla24[[#This Row],[Fecha]],"aaaa")</f>
        <v>2024</v>
      </c>
      <c r="E1518" t="s">
        <v>42</v>
      </c>
      <c r="F1518" t="s">
        <v>34</v>
      </c>
      <c r="G1518" t="s">
        <v>44</v>
      </c>
      <c r="H1518" t="s">
        <v>19</v>
      </c>
      <c r="I1518" t="s">
        <v>15</v>
      </c>
      <c r="J1518">
        <v>15</v>
      </c>
      <c r="K1518">
        <v>43207</v>
      </c>
      <c r="L1518">
        <f>Tabla24[[#This Row],[Precio_Unitario]]*Tabla24[[#This Row],[Unidades_Vendidas]]</f>
        <v>648105</v>
      </c>
      <c r="M1518" t="s">
        <v>20</v>
      </c>
    </row>
    <row r="1519" spans="1:13" x14ac:dyDescent="0.25">
      <c r="A1519" t="s">
        <v>205</v>
      </c>
      <c r="B1519" t="str">
        <f>TEXT(Tabla24[[#This Row],[Fecha]],"dddd")</f>
        <v>sábado</v>
      </c>
      <c r="C1519" t="str">
        <f>TEXT(Tabla24[[#This Row],[Fecha]],"mmmm")</f>
        <v>marzo</v>
      </c>
      <c r="D1519" t="str">
        <f>TEXT(Tabla24[[#This Row],[Fecha]],"aaaa")</f>
        <v>2024</v>
      </c>
      <c r="E1519" t="s">
        <v>18</v>
      </c>
      <c r="F1519" t="s">
        <v>34</v>
      </c>
      <c r="G1519" t="s">
        <v>39</v>
      </c>
      <c r="H1519" t="s">
        <v>14</v>
      </c>
      <c r="I1519" t="s">
        <v>40</v>
      </c>
      <c r="J1519">
        <v>6</v>
      </c>
      <c r="K1519">
        <v>44944</v>
      </c>
      <c r="L1519">
        <f>Tabla24[[#This Row],[Precio_Unitario]]*Tabla24[[#This Row],[Unidades_Vendidas]]</f>
        <v>269664</v>
      </c>
      <c r="M1519" t="s">
        <v>20</v>
      </c>
    </row>
    <row r="1520" spans="1:13" x14ac:dyDescent="0.25">
      <c r="A1520" t="s">
        <v>228</v>
      </c>
      <c r="B1520" t="str">
        <f>TEXT(Tabla24[[#This Row],[Fecha]],"dddd")</f>
        <v>martes</v>
      </c>
      <c r="C1520" t="str">
        <f>TEXT(Tabla24[[#This Row],[Fecha]],"mmmm")</f>
        <v>agosto</v>
      </c>
      <c r="D1520" t="str">
        <f>TEXT(Tabla24[[#This Row],[Fecha]],"aaaa")</f>
        <v>2024</v>
      </c>
      <c r="E1520" t="s">
        <v>33</v>
      </c>
      <c r="F1520" t="s">
        <v>29</v>
      </c>
      <c r="G1520" t="s">
        <v>24</v>
      </c>
      <c r="H1520" t="s">
        <v>19</v>
      </c>
      <c r="I1520" t="s">
        <v>15</v>
      </c>
      <c r="J1520">
        <v>9</v>
      </c>
      <c r="K1520">
        <v>35941</v>
      </c>
      <c r="L1520">
        <f>Tabla24[[#This Row],[Precio_Unitario]]*Tabla24[[#This Row],[Unidades_Vendidas]]</f>
        <v>323469</v>
      </c>
      <c r="M1520" t="s">
        <v>27</v>
      </c>
    </row>
    <row r="1521" spans="1:13" x14ac:dyDescent="0.25">
      <c r="A1521" t="s">
        <v>317</v>
      </c>
      <c r="B1521" t="str">
        <f>TEXT(Tabla24[[#This Row],[Fecha]],"dddd")</f>
        <v>viernes</v>
      </c>
      <c r="C1521" t="str">
        <f>TEXT(Tabla24[[#This Row],[Fecha]],"mmmm")</f>
        <v>febrero</v>
      </c>
      <c r="D1521" t="str">
        <f>TEXT(Tabla24[[#This Row],[Fecha]],"aaaa")</f>
        <v>2024</v>
      </c>
      <c r="E1521" t="s">
        <v>33</v>
      </c>
      <c r="F1521" t="s">
        <v>38</v>
      </c>
      <c r="G1521" t="s">
        <v>39</v>
      </c>
      <c r="H1521" t="s">
        <v>30</v>
      </c>
      <c r="I1521" t="s">
        <v>40</v>
      </c>
      <c r="J1521">
        <v>17</v>
      </c>
      <c r="K1521">
        <v>37869</v>
      </c>
      <c r="L1521">
        <f>Tabla24[[#This Row],[Precio_Unitario]]*Tabla24[[#This Row],[Unidades_Vendidas]]</f>
        <v>643773</v>
      </c>
      <c r="M1521" t="s">
        <v>36</v>
      </c>
    </row>
    <row r="1522" spans="1:13" x14ac:dyDescent="0.25">
      <c r="A1522" t="s">
        <v>31</v>
      </c>
      <c r="B1522" t="str">
        <f>TEXT(Tabla24[[#This Row],[Fecha]],"dddd")</f>
        <v>miércoles</v>
      </c>
      <c r="C1522" t="str">
        <f>TEXT(Tabla24[[#This Row],[Fecha]],"mmmm")</f>
        <v>abril</v>
      </c>
      <c r="D1522" t="str">
        <f>TEXT(Tabla24[[#This Row],[Fecha]],"aaaa")</f>
        <v>2024</v>
      </c>
      <c r="E1522" t="s">
        <v>18</v>
      </c>
      <c r="F1522" t="s">
        <v>29</v>
      </c>
      <c r="G1522" t="s">
        <v>13</v>
      </c>
      <c r="H1522" t="s">
        <v>19</v>
      </c>
      <c r="I1522" t="s">
        <v>26</v>
      </c>
      <c r="J1522">
        <v>11</v>
      </c>
      <c r="K1522">
        <v>30696</v>
      </c>
      <c r="L1522">
        <f>Tabla24[[#This Row],[Precio_Unitario]]*Tabla24[[#This Row],[Unidades_Vendidas]]</f>
        <v>337656</v>
      </c>
      <c r="M1522" t="s">
        <v>27</v>
      </c>
    </row>
    <row r="1523" spans="1:13" x14ac:dyDescent="0.25">
      <c r="A1523" t="s">
        <v>336</v>
      </c>
      <c r="B1523" t="str">
        <f>TEXT(Tabla24[[#This Row],[Fecha]],"dddd")</f>
        <v>jueves</v>
      </c>
      <c r="C1523" t="str">
        <f>TEXT(Tabla24[[#This Row],[Fecha]],"mmmm")</f>
        <v>julio</v>
      </c>
      <c r="D1523" t="str">
        <f>TEXT(Tabla24[[#This Row],[Fecha]],"aaaa")</f>
        <v>2024</v>
      </c>
      <c r="E1523" t="s">
        <v>22</v>
      </c>
      <c r="F1523" t="s">
        <v>34</v>
      </c>
      <c r="G1523" t="s">
        <v>39</v>
      </c>
      <c r="H1523" t="s">
        <v>14</v>
      </c>
      <c r="I1523" t="s">
        <v>40</v>
      </c>
      <c r="J1523">
        <v>18</v>
      </c>
      <c r="K1523">
        <v>17081</v>
      </c>
      <c r="L1523">
        <f>Tabla24[[#This Row],[Precio_Unitario]]*Tabla24[[#This Row],[Unidades_Vendidas]]</f>
        <v>307458</v>
      </c>
      <c r="M1523" t="s">
        <v>27</v>
      </c>
    </row>
    <row r="1524" spans="1:13" x14ac:dyDescent="0.25">
      <c r="A1524" t="s">
        <v>106</v>
      </c>
      <c r="B1524" t="str">
        <f>TEXT(Tabla24[[#This Row],[Fecha]],"dddd")</f>
        <v>domingo</v>
      </c>
      <c r="C1524" t="str">
        <f>TEXT(Tabla24[[#This Row],[Fecha]],"mmmm")</f>
        <v>diciembre</v>
      </c>
      <c r="D1524" t="str">
        <f>TEXT(Tabla24[[#This Row],[Fecha]],"aaaa")</f>
        <v>2024</v>
      </c>
      <c r="E1524" t="s">
        <v>42</v>
      </c>
      <c r="F1524" t="s">
        <v>12</v>
      </c>
      <c r="G1524" t="s">
        <v>13</v>
      </c>
      <c r="H1524" t="s">
        <v>35</v>
      </c>
      <c r="I1524" t="s">
        <v>15</v>
      </c>
      <c r="J1524">
        <v>14</v>
      </c>
      <c r="K1524">
        <v>40687</v>
      </c>
      <c r="L1524">
        <f>Tabla24[[#This Row],[Precio_Unitario]]*Tabla24[[#This Row],[Unidades_Vendidas]]</f>
        <v>569618</v>
      </c>
      <c r="M1524" t="s">
        <v>36</v>
      </c>
    </row>
    <row r="1525" spans="1:13" x14ac:dyDescent="0.25">
      <c r="A1525" t="s">
        <v>272</v>
      </c>
      <c r="B1525" t="str">
        <f>TEXT(Tabla24[[#This Row],[Fecha]],"dddd")</f>
        <v>lunes</v>
      </c>
      <c r="C1525" t="str">
        <f>TEXT(Tabla24[[#This Row],[Fecha]],"mmmm")</f>
        <v>abril</v>
      </c>
      <c r="D1525" t="str">
        <f>TEXT(Tabla24[[#This Row],[Fecha]],"aaaa")</f>
        <v>2024</v>
      </c>
      <c r="E1525" t="s">
        <v>11</v>
      </c>
      <c r="F1525" t="s">
        <v>38</v>
      </c>
      <c r="G1525" t="s">
        <v>48</v>
      </c>
      <c r="H1525" t="s">
        <v>19</v>
      </c>
      <c r="I1525" t="s">
        <v>15</v>
      </c>
      <c r="J1525">
        <v>7</v>
      </c>
      <c r="K1525">
        <v>48281</v>
      </c>
      <c r="L1525">
        <f>Tabla24[[#This Row],[Precio_Unitario]]*Tabla24[[#This Row],[Unidades_Vendidas]]</f>
        <v>337967</v>
      </c>
      <c r="M1525" t="s">
        <v>20</v>
      </c>
    </row>
    <row r="1526" spans="1:13" x14ac:dyDescent="0.25">
      <c r="A1526" t="s">
        <v>217</v>
      </c>
      <c r="B1526" t="str">
        <f>TEXT(Tabla24[[#This Row],[Fecha]],"dddd")</f>
        <v>sábado</v>
      </c>
      <c r="C1526" t="str">
        <f>TEXT(Tabla24[[#This Row],[Fecha]],"mmmm")</f>
        <v>diciembre</v>
      </c>
      <c r="D1526" t="str">
        <f>TEXT(Tabla24[[#This Row],[Fecha]],"aaaa")</f>
        <v>2024</v>
      </c>
      <c r="E1526" t="s">
        <v>18</v>
      </c>
      <c r="F1526" t="s">
        <v>38</v>
      </c>
      <c r="G1526" t="s">
        <v>44</v>
      </c>
      <c r="H1526" t="s">
        <v>19</v>
      </c>
      <c r="I1526" t="s">
        <v>15</v>
      </c>
      <c r="J1526">
        <v>10</v>
      </c>
      <c r="K1526">
        <v>45090</v>
      </c>
      <c r="L1526">
        <f>Tabla24[[#This Row],[Precio_Unitario]]*Tabla24[[#This Row],[Unidades_Vendidas]]</f>
        <v>450900</v>
      </c>
      <c r="M1526" t="s">
        <v>16</v>
      </c>
    </row>
    <row r="1527" spans="1:13" x14ac:dyDescent="0.25">
      <c r="A1527" t="s">
        <v>193</v>
      </c>
      <c r="B1527" t="str">
        <f>TEXT(Tabla24[[#This Row],[Fecha]],"dddd")</f>
        <v>miércoles</v>
      </c>
      <c r="C1527" t="str">
        <f>TEXT(Tabla24[[#This Row],[Fecha]],"mmmm")</f>
        <v>junio</v>
      </c>
      <c r="D1527" t="str">
        <f>TEXT(Tabla24[[#This Row],[Fecha]],"aaaa")</f>
        <v>2024</v>
      </c>
      <c r="E1527" t="s">
        <v>11</v>
      </c>
      <c r="F1527" t="s">
        <v>38</v>
      </c>
      <c r="G1527" t="s">
        <v>44</v>
      </c>
      <c r="H1527" t="s">
        <v>35</v>
      </c>
      <c r="I1527" t="s">
        <v>40</v>
      </c>
      <c r="J1527">
        <v>12</v>
      </c>
      <c r="K1527">
        <v>40684</v>
      </c>
      <c r="L1527">
        <f>Tabla24[[#This Row],[Precio_Unitario]]*Tabla24[[#This Row],[Unidades_Vendidas]]</f>
        <v>488208</v>
      </c>
      <c r="M1527" t="s">
        <v>16</v>
      </c>
    </row>
    <row r="1528" spans="1:13" x14ac:dyDescent="0.25">
      <c r="A1528" t="s">
        <v>326</v>
      </c>
      <c r="B1528" t="str">
        <f>TEXT(Tabla24[[#This Row],[Fecha]],"dddd")</f>
        <v>sábado</v>
      </c>
      <c r="C1528" t="str">
        <f>TEXT(Tabla24[[#This Row],[Fecha]],"mmmm")</f>
        <v>julio</v>
      </c>
      <c r="D1528" t="str">
        <f>TEXT(Tabla24[[#This Row],[Fecha]],"aaaa")</f>
        <v>2024</v>
      </c>
      <c r="E1528" t="s">
        <v>18</v>
      </c>
      <c r="F1528" t="s">
        <v>34</v>
      </c>
      <c r="G1528" t="s">
        <v>39</v>
      </c>
      <c r="H1528" t="s">
        <v>14</v>
      </c>
      <c r="I1528" t="s">
        <v>40</v>
      </c>
      <c r="J1528">
        <v>11</v>
      </c>
      <c r="K1528">
        <v>27814</v>
      </c>
      <c r="L1528">
        <f>Tabla24[[#This Row],[Precio_Unitario]]*Tabla24[[#This Row],[Unidades_Vendidas]]</f>
        <v>305954</v>
      </c>
      <c r="M1528" t="s">
        <v>20</v>
      </c>
    </row>
    <row r="1529" spans="1:13" x14ac:dyDescent="0.25">
      <c r="A1529" t="s">
        <v>336</v>
      </c>
      <c r="B1529" t="str">
        <f>TEXT(Tabla24[[#This Row],[Fecha]],"dddd")</f>
        <v>jueves</v>
      </c>
      <c r="C1529" t="str">
        <f>TEXT(Tabla24[[#This Row],[Fecha]],"mmmm")</f>
        <v>julio</v>
      </c>
      <c r="D1529" t="str">
        <f>TEXT(Tabla24[[#This Row],[Fecha]],"aaaa")</f>
        <v>2024</v>
      </c>
      <c r="E1529" t="s">
        <v>11</v>
      </c>
      <c r="F1529" t="s">
        <v>12</v>
      </c>
      <c r="G1529" t="s">
        <v>48</v>
      </c>
      <c r="H1529" t="s">
        <v>30</v>
      </c>
      <c r="I1529" t="s">
        <v>26</v>
      </c>
      <c r="J1529">
        <v>14</v>
      </c>
      <c r="K1529">
        <v>30468</v>
      </c>
      <c r="L1529">
        <f>Tabla24[[#This Row],[Precio_Unitario]]*Tabla24[[#This Row],[Unidades_Vendidas]]</f>
        <v>426552</v>
      </c>
      <c r="M1529" t="s">
        <v>16</v>
      </c>
    </row>
    <row r="1530" spans="1:13" x14ac:dyDescent="0.25">
      <c r="A1530" t="s">
        <v>144</v>
      </c>
      <c r="B1530" t="str">
        <f>TEXT(Tabla24[[#This Row],[Fecha]],"dddd")</f>
        <v>sábado</v>
      </c>
      <c r="C1530" t="str">
        <f>TEXT(Tabla24[[#This Row],[Fecha]],"mmmm")</f>
        <v>abril</v>
      </c>
      <c r="D1530" t="str">
        <f>TEXT(Tabla24[[#This Row],[Fecha]],"aaaa")</f>
        <v>2024</v>
      </c>
      <c r="E1530" t="s">
        <v>42</v>
      </c>
      <c r="F1530" t="s">
        <v>12</v>
      </c>
      <c r="G1530" t="s">
        <v>39</v>
      </c>
      <c r="H1530" t="s">
        <v>25</v>
      </c>
      <c r="I1530" t="s">
        <v>40</v>
      </c>
      <c r="J1530">
        <v>5</v>
      </c>
      <c r="K1530">
        <v>58808</v>
      </c>
      <c r="L1530">
        <f>Tabla24[[#This Row],[Precio_Unitario]]*Tabla24[[#This Row],[Unidades_Vendidas]]</f>
        <v>294040</v>
      </c>
      <c r="M1530" t="s">
        <v>27</v>
      </c>
    </row>
    <row r="1531" spans="1:13" x14ac:dyDescent="0.25">
      <c r="A1531" t="s">
        <v>77</v>
      </c>
      <c r="B1531" t="str">
        <f>TEXT(Tabla24[[#This Row],[Fecha]],"dddd")</f>
        <v>jueves</v>
      </c>
      <c r="C1531" t="str">
        <f>TEXT(Tabla24[[#This Row],[Fecha]],"mmmm")</f>
        <v>junio</v>
      </c>
      <c r="D1531" t="str">
        <f>TEXT(Tabla24[[#This Row],[Fecha]],"aaaa")</f>
        <v>2024</v>
      </c>
      <c r="E1531" t="s">
        <v>11</v>
      </c>
      <c r="F1531" t="s">
        <v>34</v>
      </c>
      <c r="G1531" t="s">
        <v>48</v>
      </c>
      <c r="H1531" t="s">
        <v>25</v>
      </c>
      <c r="I1531" t="s">
        <v>40</v>
      </c>
      <c r="J1531">
        <v>13</v>
      </c>
      <c r="K1531">
        <v>30734</v>
      </c>
      <c r="L1531">
        <f>Tabla24[[#This Row],[Precio_Unitario]]*Tabla24[[#This Row],[Unidades_Vendidas]]</f>
        <v>399542</v>
      </c>
      <c r="M1531" t="s">
        <v>36</v>
      </c>
    </row>
    <row r="1532" spans="1:13" x14ac:dyDescent="0.25">
      <c r="A1532" t="s">
        <v>172</v>
      </c>
      <c r="B1532" t="str">
        <f>TEXT(Tabla24[[#This Row],[Fecha]],"dddd")</f>
        <v>domingo</v>
      </c>
      <c r="C1532" t="str">
        <f>TEXT(Tabla24[[#This Row],[Fecha]],"mmmm")</f>
        <v>marzo</v>
      </c>
      <c r="D1532" t="str">
        <f>TEXT(Tabla24[[#This Row],[Fecha]],"aaaa")</f>
        <v>2024</v>
      </c>
      <c r="E1532" t="s">
        <v>33</v>
      </c>
      <c r="F1532" t="s">
        <v>23</v>
      </c>
      <c r="G1532" t="s">
        <v>24</v>
      </c>
      <c r="H1532" t="s">
        <v>35</v>
      </c>
      <c r="I1532" t="s">
        <v>26</v>
      </c>
      <c r="J1532">
        <v>1</v>
      </c>
      <c r="K1532">
        <v>53242</v>
      </c>
      <c r="L1532">
        <f>Tabla24[[#This Row],[Precio_Unitario]]*Tabla24[[#This Row],[Unidades_Vendidas]]</f>
        <v>53242</v>
      </c>
      <c r="M1532" t="s">
        <v>20</v>
      </c>
    </row>
    <row r="1533" spans="1:13" x14ac:dyDescent="0.25">
      <c r="A1533" t="s">
        <v>347</v>
      </c>
      <c r="B1533" t="str">
        <f>TEXT(Tabla24[[#This Row],[Fecha]],"dddd")</f>
        <v>viernes</v>
      </c>
      <c r="C1533" t="str">
        <f>TEXT(Tabla24[[#This Row],[Fecha]],"mmmm")</f>
        <v>julio</v>
      </c>
      <c r="D1533" t="str">
        <f>TEXT(Tabla24[[#This Row],[Fecha]],"aaaa")</f>
        <v>2024</v>
      </c>
      <c r="E1533" t="s">
        <v>42</v>
      </c>
      <c r="F1533" t="s">
        <v>34</v>
      </c>
      <c r="G1533" t="s">
        <v>39</v>
      </c>
      <c r="H1533" t="s">
        <v>14</v>
      </c>
      <c r="I1533" t="s">
        <v>40</v>
      </c>
      <c r="J1533">
        <v>18</v>
      </c>
      <c r="K1533">
        <v>57945</v>
      </c>
      <c r="L1533">
        <f>Tabla24[[#This Row],[Precio_Unitario]]*Tabla24[[#This Row],[Unidades_Vendidas]]</f>
        <v>1043010</v>
      </c>
      <c r="M1533" t="s">
        <v>16</v>
      </c>
    </row>
    <row r="1534" spans="1:13" x14ac:dyDescent="0.25">
      <c r="A1534" t="s">
        <v>206</v>
      </c>
      <c r="B1534" t="str">
        <f>TEXT(Tabla24[[#This Row],[Fecha]],"dddd")</f>
        <v>viernes</v>
      </c>
      <c r="C1534" t="str">
        <f>TEXT(Tabla24[[#This Row],[Fecha]],"mmmm")</f>
        <v>febrero</v>
      </c>
      <c r="D1534" t="str">
        <f>TEXT(Tabla24[[#This Row],[Fecha]],"aaaa")</f>
        <v>2024</v>
      </c>
      <c r="E1534" t="s">
        <v>22</v>
      </c>
      <c r="F1534" t="s">
        <v>12</v>
      </c>
      <c r="G1534" t="s">
        <v>44</v>
      </c>
      <c r="H1534" t="s">
        <v>25</v>
      </c>
      <c r="I1534" t="s">
        <v>40</v>
      </c>
      <c r="J1534">
        <v>17</v>
      </c>
      <c r="K1534">
        <v>32675</v>
      </c>
      <c r="L1534">
        <f>Tabla24[[#This Row],[Precio_Unitario]]*Tabla24[[#This Row],[Unidades_Vendidas]]</f>
        <v>555475</v>
      </c>
      <c r="M1534" t="s">
        <v>16</v>
      </c>
    </row>
    <row r="1535" spans="1:13" x14ac:dyDescent="0.25">
      <c r="A1535" t="s">
        <v>321</v>
      </c>
      <c r="B1535" t="str">
        <f>TEXT(Tabla24[[#This Row],[Fecha]],"dddd")</f>
        <v>sábado</v>
      </c>
      <c r="C1535" t="str">
        <f>TEXT(Tabla24[[#This Row],[Fecha]],"mmmm")</f>
        <v>noviembre</v>
      </c>
      <c r="D1535" t="str">
        <f>TEXT(Tabla24[[#This Row],[Fecha]],"aaaa")</f>
        <v>2024</v>
      </c>
      <c r="E1535" t="s">
        <v>22</v>
      </c>
      <c r="F1535" t="s">
        <v>23</v>
      </c>
      <c r="G1535" t="s">
        <v>48</v>
      </c>
      <c r="H1535" t="s">
        <v>30</v>
      </c>
      <c r="I1535" t="s">
        <v>26</v>
      </c>
      <c r="J1535">
        <v>14</v>
      </c>
      <c r="K1535">
        <v>55897</v>
      </c>
      <c r="L1535">
        <f>Tabla24[[#This Row],[Precio_Unitario]]*Tabla24[[#This Row],[Unidades_Vendidas]]</f>
        <v>782558</v>
      </c>
      <c r="M1535" t="s">
        <v>16</v>
      </c>
    </row>
    <row r="1536" spans="1:13" x14ac:dyDescent="0.25">
      <c r="A1536" t="s">
        <v>208</v>
      </c>
      <c r="B1536" t="str">
        <f>TEXT(Tabla24[[#This Row],[Fecha]],"dddd")</f>
        <v>lunes</v>
      </c>
      <c r="C1536" t="str">
        <f>TEXT(Tabla24[[#This Row],[Fecha]],"mmmm")</f>
        <v>junio</v>
      </c>
      <c r="D1536" t="str">
        <f>TEXT(Tabla24[[#This Row],[Fecha]],"aaaa")</f>
        <v>2024</v>
      </c>
      <c r="E1536" t="s">
        <v>11</v>
      </c>
      <c r="F1536" t="s">
        <v>29</v>
      </c>
      <c r="G1536" t="s">
        <v>44</v>
      </c>
      <c r="H1536" t="s">
        <v>30</v>
      </c>
      <c r="I1536" t="s">
        <v>40</v>
      </c>
      <c r="J1536">
        <v>13</v>
      </c>
      <c r="K1536">
        <v>16756</v>
      </c>
      <c r="L1536">
        <f>Tabla24[[#This Row],[Precio_Unitario]]*Tabla24[[#This Row],[Unidades_Vendidas]]</f>
        <v>217828</v>
      </c>
      <c r="M1536" t="s">
        <v>16</v>
      </c>
    </row>
    <row r="1537" spans="1:13" x14ac:dyDescent="0.25">
      <c r="A1537" t="s">
        <v>220</v>
      </c>
      <c r="B1537" t="str">
        <f>TEXT(Tabla24[[#This Row],[Fecha]],"dddd")</f>
        <v>lunes</v>
      </c>
      <c r="C1537" t="str">
        <f>TEXT(Tabla24[[#This Row],[Fecha]],"mmmm")</f>
        <v>enero</v>
      </c>
      <c r="D1537" t="str">
        <f>TEXT(Tabla24[[#This Row],[Fecha]],"aaaa")</f>
        <v>2024</v>
      </c>
      <c r="E1537" t="s">
        <v>33</v>
      </c>
      <c r="F1537" t="s">
        <v>23</v>
      </c>
      <c r="G1537" t="s">
        <v>13</v>
      </c>
      <c r="H1537" t="s">
        <v>14</v>
      </c>
      <c r="I1537" t="s">
        <v>15</v>
      </c>
      <c r="J1537">
        <v>16</v>
      </c>
      <c r="K1537">
        <v>55116</v>
      </c>
      <c r="L1537">
        <f>Tabla24[[#This Row],[Precio_Unitario]]*Tabla24[[#This Row],[Unidades_Vendidas]]</f>
        <v>881856</v>
      </c>
      <c r="M1537" t="s">
        <v>27</v>
      </c>
    </row>
    <row r="1538" spans="1:13" x14ac:dyDescent="0.25">
      <c r="A1538" t="s">
        <v>226</v>
      </c>
      <c r="B1538" t="str">
        <f>TEXT(Tabla24[[#This Row],[Fecha]],"dddd")</f>
        <v>lunes</v>
      </c>
      <c r="C1538" t="str">
        <f>TEXT(Tabla24[[#This Row],[Fecha]],"mmmm")</f>
        <v>mayo</v>
      </c>
      <c r="D1538" t="str">
        <f>TEXT(Tabla24[[#This Row],[Fecha]],"aaaa")</f>
        <v>2024</v>
      </c>
      <c r="E1538" t="s">
        <v>18</v>
      </c>
      <c r="F1538" t="s">
        <v>12</v>
      </c>
      <c r="G1538" t="s">
        <v>39</v>
      </c>
      <c r="H1538" t="s">
        <v>35</v>
      </c>
      <c r="I1538" t="s">
        <v>15</v>
      </c>
      <c r="J1538">
        <v>18</v>
      </c>
      <c r="K1538">
        <v>21479</v>
      </c>
      <c r="L1538">
        <f>Tabla24[[#This Row],[Precio_Unitario]]*Tabla24[[#This Row],[Unidades_Vendidas]]</f>
        <v>386622</v>
      </c>
      <c r="M1538" t="s">
        <v>20</v>
      </c>
    </row>
    <row r="1539" spans="1:13" x14ac:dyDescent="0.25">
      <c r="A1539" t="s">
        <v>170</v>
      </c>
      <c r="B1539" t="str">
        <f>TEXT(Tabla24[[#This Row],[Fecha]],"dddd")</f>
        <v>viernes</v>
      </c>
      <c r="C1539" t="str">
        <f>TEXT(Tabla24[[#This Row],[Fecha]],"mmmm")</f>
        <v>agosto</v>
      </c>
      <c r="D1539" t="str">
        <f>TEXT(Tabla24[[#This Row],[Fecha]],"aaaa")</f>
        <v>2024</v>
      </c>
      <c r="E1539" t="s">
        <v>18</v>
      </c>
      <c r="F1539" t="s">
        <v>29</v>
      </c>
      <c r="G1539" t="s">
        <v>39</v>
      </c>
      <c r="H1539" t="s">
        <v>25</v>
      </c>
      <c r="I1539" t="s">
        <v>26</v>
      </c>
      <c r="J1539">
        <v>11</v>
      </c>
      <c r="K1539">
        <v>45070</v>
      </c>
      <c r="L1539">
        <f>Tabla24[[#This Row],[Precio_Unitario]]*Tabla24[[#This Row],[Unidades_Vendidas]]</f>
        <v>495770</v>
      </c>
      <c r="M1539" t="s">
        <v>16</v>
      </c>
    </row>
    <row r="1540" spans="1:13" x14ac:dyDescent="0.25">
      <c r="A1540" t="s">
        <v>346</v>
      </c>
      <c r="B1540" t="str">
        <f>TEXT(Tabla24[[#This Row],[Fecha]],"dddd")</f>
        <v>domingo</v>
      </c>
      <c r="C1540" t="str">
        <f>TEXT(Tabla24[[#This Row],[Fecha]],"mmmm")</f>
        <v>septiembre</v>
      </c>
      <c r="D1540" t="str">
        <f>TEXT(Tabla24[[#This Row],[Fecha]],"aaaa")</f>
        <v>2024</v>
      </c>
      <c r="E1540" t="s">
        <v>18</v>
      </c>
      <c r="F1540" t="s">
        <v>12</v>
      </c>
      <c r="G1540" t="s">
        <v>13</v>
      </c>
      <c r="H1540" t="s">
        <v>14</v>
      </c>
      <c r="I1540" t="s">
        <v>15</v>
      </c>
      <c r="J1540">
        <v>6</v>
      </c>
      <c r="K1540">
        <v>17522</v>
      </c>
      <c r="L1540">
        <f>Tabla24[[#This Row],[Precio_Unitario]]*Tabla24[[#This Row],[Unidades_Vendidas]]</f>
        <v>105132</v>
      </c>
      <c r="M1540" t="s">
        <v>20</v>
      </c>
    </row>
    <row r="1541" spans="1:13" x14ac:dyDescent="0.25">
      <c r="A1541" t="s">
        <v>57</v>
      </c>
      <c r="B1541" t="str">
        <f>TEXT(Tabla24[[#This Row],[Fecha]],"dddd")</f>
        <v>lunes</v>
      </c>
      <c r="C1541" t="str">
        <f>TEXT(Tabla24[[#This Row],[Fecha]],"mmmm")</f>
        <v>junio</v>
      </c>
      <c r="D1541" t="str">
        <f>TEXT(Tabla24[[#This Row],[Fecha]],"aaaa")</f>
        <v>2024</v>
      </c>
      <c r="E1541" t="s">
        <v>22</v>
      </c>
      <c r="F1541" t="s">
        <v>38</v>
      </c>
      <c r="G1541" t="s">
        <v>39</v>
      </c>
      <c r="H1541" t="s">
        <v>19</v>
      </c>
      <c r="I1541" t="s">
        <v>15</v>
      </c>
      <c r="J1541">
        <v>19</v>
      </c>
      <c r="K1541">
        <v>31663</v>
      </c>
      <c r="L1541">
        <f>Tabla24[[#This Row],[Precio_Unitario]]*Tabla24[[#This Row],[Unidades_Vendidas]]</f>
        <v>601597</v>
      </c>
      <c r="M1541" t="s">
        <v>36</v>
      </c>
    </row>
    <row r="1542" spans="1:13" x14ac:dyDescent="0.25">
      <c r="A1542" t="s">
        <v>226</v>
      </c>
      <c r="B1542" t="str">
        <f>TEXT(Tabla24[[#This Row],[Fecha]],"dddd")</f>
        <v>lunes</v>
      </c>
      <c r="C1542" t="str">
        <f>TEXT(Tabla24[[#This Row],[Fecha]],"mmmm")</f>
        <v>mayo</v>
      </c>
      <c r="D1542" t="str">
        <f>TEXT(Tabla24[[#This Row],[Fecha]],"aaaa")</f>
        <v>2024</v>
      </c>
      <c r="E1542" t="s">
        <v>22</v>
      </c>
      <c r="F1542" t="s">
        <v>34</v>
      </c>
      <c r="G1542" t="s">
        <v>13</v>
      </c>
      <c r="H1542" t="s">
        <v>30</v>
      </c>
      <c r="I1542" t="s">
        <v>26</v>
      </c>
      <c r="J1542">
        <v>6</v>
      </c>
      <c r="K1542">
        <v>57676</v>
      </c>
      <c r="L1542">
        <f>Tabla24[[#This Row],[Precio_Unitario]]*Tabla24[[#This Row],[Unidades_Vendidas]]</f>
        <v>346056</v>
      </c>
      <c r="M1542" t="s">
        <v>16</v>
      </c>
    </row>
    <row r="1543" spans="1:13" x14ac:dyDescent="0.25">
      <c r="A1543" t="s">
        <v>115</v>
      </c>
      <c r="B1543" t="str">
        <f>TEXT(Tabla24[[#This Row],[Fecha]],"dddd")</f>
        <v>lunes</v>
      </c>
      <c r="C1543" t="str">
        <f>TEXT(Tabla24[[#This Row],[Fecha]],"mmmm")</f>
        <v>agosto</v>
      </c>
      <c r="D1543" t="str">
        <f>TEXT(Tabla24[[#This Row],[Fecha]],"aaaa")</f>
        <v>2024</v>
      </c>
      <c r="E1543" t="s">
        <v>22</v>
      </c>
      <c r="F1543" t="s">
        <v>38</v>
      </c>
      <c r="G1543" t="s">
        <v>44</v>
      </c>
      <c r="H1543" t="s">
        <v>25</v>
      </c>
      <c r="I1543" t="s">
        <v>15</v>
      </c>
      <c r="J1543">
        <v>6</v>
      </c>
      <c r="K1543">
        <v>20918</v>
      </c>
      <c r="L1543">
        <f>Tabla24[[#This Row],[Precio_Unitario]]*Tabla24[[#This Row],[Unidades_Vendidas]]</f>
        <v>125508</v>
      </c>
      <c r="M1543" t="s">
        <v>27</v>
      </c>
    </row>
    <row r="1544" spans="1:13" x14ac:dyDescent="0.25">
      <c r="A1544" t="s">
        <v>281</v>
      </c>
      <c r="B1544" t="str">
        <f>TEXT(Tabla24[[#This Row],[Fecha]],"dddd")</f>
        <v>sábado</v>
      </c>
      <c r="C1544" t="str">
        <f>TEXT(Tabla24[[#This Row],[Fecha]],"mmmm")</f>
        <v>enero</v>
      </c>
      <c r="D1544" t="str">
        <f>TEXT(Tabla24[[#This Row],[Fecha]],"aaaa")</f>
        <v>2024</v>
      </c>
      <c r="E1544" t="s">
        <v>11</v>
      </c>
      <c r="F1544" t="s">
        <v>38</v>
      </c>
      <c r="G1544" t="s">
        <v>48</v>
      </c>
      <c r="H1544" t="s">
        <v>25</v>
      </c>
      <c r="I1544" t="s">
        <v>26</v>
      </c>
      <c r="J1544">
        <v>7</v>
      </c>
      <c r="K1544">
        <v>31127</v>
      </c>
      <c r="L1544">
        <f>Tabla24[[#This Row],[Precio_Unitario]]*Tabla24[[#This Row],[Unidades_Vendidas]]</f>
        <v>217889</v>
      </c>
      <c r="M1544" t="s">
        <v>36</v>
      </c>
    </row>
    <row r="1545" spans="1:13" x14ac:dyDescent="0.25">
      <c r="A1545" t="s">
        <v>262</v>
      </c>
      <c r="B1545" t="str">
        <f>TEXT(Tabla24[[#This Row],[Fecha]],"dddd")</f>
        <v>viernes</v>
      </c>
      <c r="C1545" t="str">
        <f>TEXT(Tabla24[[#This Row],[Fecha]],"mmmm")</f>
        <v>enero</v>
      </c>
      <c r="D1545" t="str">
        <f>TEXT(Tabla24[[#This Row],[Fecha]],"aaaa")</f>
        <v>2024</v>
      </c>
      <c r="E1545" t="s">
        <v>33</v>
      </c>
      <c r="F1545" t="s">
        <v>34</v>
      </c>
      <c r="G1545" t="s">
        <v>44</v>
      </c>
      <c r="H1545" t="s">
        <v>19</v>
      </c>
      <c r="I1545" t="s">
        <v>26</v>
      </c>
      <c r="J1545">
        <v>3</v>
      </c>
      <c r="K1545">
        <v>25764</v>
      </c>
      <c r="L1545">
        <f>Tabla24[[#This Row],[Precio_Unitario]]*Tabla24[[#This Row],[Unidades_Vendidas]]</f>
        <v>77292</v>
      </c>
      <c r="M1545" t="s">
        <v>27</v>
      </c>
    </row>
    <row r="1546" spans="1:13" x14ac:dyDescent="0.25">
      <c r="A1546" t="s">
        <v>249</v>
      </c>
      <c r="B1546" t="str">
        <f>TEXT(Tabla24[[#This Row],[Fecha]],"dddd")</f>
        <v>sábado</v>
      </c>
      <c r="C1546" t="str">
        <f>TEXT(Tabla24[[#This Row],[Fecha]],"mmmm")</f>
        <v>mayo</v>
      </c>
      <c r="D1546" t="str">
        <f>TEXT(Tabla24[[#This Row],[Fecha]],"aaaa")</f>
        <v>2024</v>
      </c>
      <c r="E1546" t="s">
        <v>22</v>
      </c>
      <c r="F1546" t="s">
        <v>29</v>
      </c>
      <c r="G1546" t="s">
        <v>48</v>
      </c>
      <c r="H1546" t="s">
        <v>19</v>
      </c>
      <c r="I1546" t="s">
        <v>26</v>
      </c>
      <c r="J1546">
        <v>10</v>
      </c>
      <c r="K1546">
        <v>22337</v>
      </c>
      <c r="L1546">
        <f>Tabla24[[#This Row],[Precio_Unitario]]*Tabla24[[#This Row],[Unidades_Vendidas]]</f>
        <v>223370</v>
      </c>
      <c r="M1546" t="s">
        <v>36</v>
      </c>
    </row>
    <row r="1547" spans="1:13" x14ac:dyDescent="0.25">
      <c r="A1547" t="s">
        <v>101</v>
      </c>
      <c r="B1547" t="str">
        <f>TEXT(Tabla24[[#This Row],[Fecha]],"dddd")</f>
        <v>miércoles</v>
      </c>
      <c r="C1547" t="str">
        <f>TEXT(Tabla24[[#This Row],[Fecha]],"mmmm")</f>
        <v>diciembre</v>
      </c>
      <c r="D1547" t="str">
        <f>TEXT(Tabla24[[#This Row],[Fecha]],"aaaa")</f>
        <v>2024</v>
      </c>
      <c r="E1547" t="s">
        <v>33</v>
      </c>
      <c r="F1547" t="s">
        <v>34</v>
      </c>
      <c r="G1547" t="s">
        <v>39</v>
      </c>
      <c r="H1547" t="s">
        <v>35</v>
      </c>
      <c r="I1547" t="s">
        <v>15</v>
      </c>
      <c r="J1547">
        <v>13</v>
      </c>
      <c r="K1547">
        <v>29189</v>
      </c>
      <c r="L1547">
        <f>Tabla24[[#This Row],[Precio_Unitario]]*Tabla24[[#This Row],[Unidades_Vendidas]]</f>
        <v>379457</v>
      </c>
      <c r="M1547" t="s">
        <v>16</v>
      </c>
    </row>
    <row r="1548" spans="1:13" x14ac:dyDescent="0.25">
      <c r="A1548" t="s">
        <v>358</v>
      </c>
      <c r="B1548" t="str">
        <f>TEXT(Tabla24[[#This Row],[Fecha]],"dddd")</f>
        <v>martes</v>
      </c>
      <c r="C1548" t="str">
        <f>TEXT(Tabla24[[#This Row],[Fecha]],"mmmm")</f>
        <v>octubre</v>
      </c>
      <c r="D1548" t="str">
        <f>TEXT(Tabla24[[#This Row],[Fecha]],"aaaa")</f>
        <v>2024</v>
      </c>
      <c r="E1548" t="s">
        <v>22</v>
      </c>
      <c r="F1548" t="s">
        <v>29</v>
      </c>
      <c r="G1548" t="s">
        <v>48</v>
      </c>
      <c r="H1548" t="s">
        <v>25</v>
      </c>
      <c r="I1548" t="s">
        <v>26</v>
      </c>
      <c r="J1548">
        <v>7</v>
      </c>
      <c r="K1548">
        <v>20329</v>
      </c>
      <c r="L1548">
        <f>Tabla24[[#This Row],[Precio_Unitario]]*Tabla24[[#This Row],[Unidades_Vendidas]]</f>
        <v>142303</v>
      </c>
      <c r="M1548" t="s">
        <v>20</v>
      </c>
    </row>
    <row r="1549" spans="1:13" x14ac:dyDescent="0.25">
      <c r="A1549" t="s">
        <v>366</v>
      </c>
      <c r="B1549" t="str">
        <f>TEXT(Tabla24[[#This Row],[Fecha]],"dddd")</f>
        <v>sábado</v>
      </c>
      <c r="C1549" t="str">
        <f>TEXT(Tabla24[[#This Row],[Fecha]],"mmmm")</f>
        <v>febrero</v>
      </c>
      <c r="D1549" t="str">
        <f>TEXT(Tabla24[[#This Row],[Fecha]],"aaaa")</f>
        <v>2024</v>
      </c>
      <c r="E1549" t="s">
        <v>42</v>
      </c>
      <c r="F1549" t="s">
        <v>12</v>
      </c>
      <c r="G1549" t="s">
        <v>44</v>
      </c>
      <c r="H1549" t="s">
        <v>14</v>
      </c>
      <c r="I1549" t="s">
        <v>26</v>
      </c>
      <c r="J1549">
        <v>18</v>
      </c>
      <c r="K1549">
        <v>27548</v>
      </c>
      <c r="L1549">
        <f>Tabla24[[#This Row],[Precio_Unitario]]*Tabla24[[#This Row],[Unidades_Vendidas]]</f>
        <v>495864</v>
      </c>
      <c r="M1549" t="s">
        <v>20</v>
      </c>
    </row>
    <row r="1550" spans="1:13" x14ac:dyDescent="0.25">
      <c r="A1550" t="s">
        <v>302</v>
      </c>
      <c r="B1550" t="str">
        <f>TEXT(Tabla24[[#This Row],[Fecha]],"dddd")</f>
        <v>viernes</v>
      </c>
      <c r="C1550" t="str">
        <f>TEXT(Tabla24[[#This Row],[Fecha]],"mmmm")</f>
        <v>diciembre</v>
      </c>
      <c r="D1550" t="str">
        <f>TEXT(Tabla24[[#This Row],[Fecha]],"aaaa")</f>
        <v>2024</v>
      </c>
      <c r="E1550" t="s">
        <v>33</v>
      </c>
      <c r="F1550" t="s">
        <v>38</v>
      </c>
      <c r="G1550" t="s">
        <v>24</v>
      </c>
      <c r="H1550" t="s">
        <v>35</v>
      </c>
      <c r="I1550" t="s">
        <v>40</v>
      </c>
      <c r="J1550">
        <v>1</v>
      </c>
      <c r="K1550">
        <v>30075</v>
      </c>
      <c r="L1550">
        <f>Tabla24[[#This Row],[Precio_Unitario]]*Tabla24[[#This Row],[Unidades_Vendidas]]</f>
        <v>30075</v>
      </c>
      <c r="M1550" t="s">
        <v>27</v>
      </c>
    </row>
    <row r="1551" spans="1:13" x14ac:dyDescent="0.25">
      <c r="A1551" t="s">
        <v>202</v>
      </c>
      <c r="B1551" t="str">
        <f>TEXT(Tabla24[[#This Row],[Fecha]],"dddd")</f>
        <v>viernes</v>
      </c>
      <c r="C1551" t="str">
        <f>TEXT(Tabla24[[#This Row],[Fecha]],"mmmm")</f>
        <v>octubre</v>
      </c>
      <c r="D1551" t="str">
        <f>TEXT(Tabla24[[#This Row],[Fecha]],"aaaa")</f>
        <v>2024</v>
      </c>
      <c r="E1551" t="s">
        <v>18</v>
      </c>
      <c r="F1551" t="s">
        <v>29</v>
      </c>
      <c r="G1551" t="s">
        <v>39</v>
      </c>
      <c r="H1551" t="s">
        <v>30</v>
      </c>
      <c r="I1551" t="s">
        <v>15</v>
      </c>
      <c r="J1551">
        <v>3</v>
      </c>
      <c r="K1551">
        <v>26227</v>
      </c>
      <c r="L1551">
        <f>Tabla24[[#This Row],[Precio_Unitario]]*Tabla24[[#This Row],[Unidades_Vendidas]]</f>
        <v>78681</v>
      </c>
      <c r="M1551" t="s">
        <v>27</v>
      </c>
    </row>
    <row r="1552" spans="1:13" x14ac:dyDescent="0.25">
      <c r="A1552" t="s">
        <v>109</v>
      </c>
      <c r="B1552" t="str">
        <f>TEXT(Tabla24[[#This Row],[Fecha]],"dddd")</f>
        <v>miércoles</v>
      </c>
      <c r="C1552" t="str">
        <f>TEXT(Tabla24[[#This Row],[Fecha]],"mmmm")</f>
        <v>mayo</v>
      </c>
      <c r="D1552" t="str">
        <f>TEXT(Tabla24[[#This Row],[Fecha]],"aaaa")</f>
        <v>2024</v>
      </c>
      <c r="E1552" t="s">
        <v>33</v>
      </c>
      <c r="F1552" t="s">
        <v>12</v>
      </c>
      <c r="G1552" t="s">
        <v>13</v>
      </c>
      <c r="H1552" t="s">
        <v>25</v>
      </c>
      <c r="I1552" t="s">
        <v>26</v>
      </c>
      <c r="J1552">
        <v>18</v>
      </c>
      <c r="K1552">
        <v>23300</v>
      </c>
      <c r="L1552">
        <f>Tabla24[[#This Row],[Precio_Unitario]]*Tabla24[[#This Row],[Unidades_Vendidas]]</f>
        <v>419400</v>
      </c>
      <c r="M1552" t="s">
        <v>20</v>
      </c>
    </row>
    <row r="1553" spans="1:13" x14ac:dyDescent="0.25">
      <c r="A1553" t="s">
        <v>267</v>
      </c>
      <c r="B1553" t="str">
        <f>TEXT(Tabla24[[#This Row],[Fecha]],"dddd")</f>
        <v>martes</v>
      </c>
      <c r="C1553" t="str">
        <f>TEXT(Tabla24[[#This Row],[Fecha]],"mmmm")</f>
        <v>febrero</v>
      </c>
      <c r="D1553" t="str">
        <f>TEXT(Tabla24[[#This Row],[Fecha]],"aaaa")</f>
        <v>2024</v>
      </c>
      <c r="E1553" t="s">
        <v>33</v>
      </c>
      <c r="F1553" t="s">
        <v>38</v>
      </c>
      <c r="G1553" t="s">
        <v>44</v>
      </c>
      <c r="H1553" t="s">
        <v>25</v>
      </c>
      <c r="I1553" t="s">
        <v>40</v>
      </c>
      <c r="J1553">
        <v>13</v>
      </c>
      <c r="K1553">
        <v>46762</v>
      </c>
      <c r="L1553">
        <f>Tabla24[[#This Row],[Precio_Unitario]]*Tabla24[[#This Row],[Unidades_Vendidas]]</f>
        <v>607906</v>
      </c>
      <c r="M1553" t="s">
        <v>36</v>
      </c>
    </row>
    <row r="1554" spans="1:13" x14ac:dyDescent="0.25">
      <c r="A1554" t="s">
        <v>181</v>
      </c>
      <c r="B1554" t="str">
        <f>TEXT(Tabla24[[#This Row],[Fecha]],"dddd")</f>
        <v>viernes</v>
      </c>
      <c r="C1554" t="str">
        <f>TEXT(Tabla24[[#This Row],[Fecha]],"mmmm")</f>
        <v>agosto</v>
      </c>
      <c r="D1554" t="str">
        <f>TEXT(Tabla24[[#This Row],[Fecha]],"aaaa")</f>
        <v>2024</v>
      </c>
      <c r="E1554" t="s">
        <v>11</v>
      </c>
      <c r="F1554" t="s">
        <v>29</v>
      </c>
      <c r="G1554" t="s">
        <v>48</v>
      </c>
      <c r="H1554" t="s">
        <v>25</v>
      </c>
      <c r="I1554" t="s">
        <v>26</v>
      </c>
      <c r="J1554">
        <v>15</v>
      </c>
      <c r="K1554">
        <v>40784</v>
      </c>
      <c r="L1554">
        <f>Tabla24[[#This Row],[Precio_Unitario]]*Tabla24[[#This Row],[Unidades_Vendidas]]</f>
        <v>611760</v>
      </c>
      <c r="M1554" t="s">
        <v>20</v>
      </c>
    </row>
    <row r="1555" spans="1:13" x14ac:dyDescent="0.25">
      <c r="A1555" t="s">
        <v>100</v>
      </c>
      <c r="B1555" t="str">
        <f>TEXT(Tabla24[[#This Row],[Fecha]],"dddd")</f>
        <v>jueves</v>
      </c>
      <c r="C1555" t="str">
        <f>TEXT(Tabla24[[#This Row],[Fecha]],"mmmm")</f>
        <v>junio</v>
      </c>
      <c r="D1555" t="str">
        <f>TEXT(Tabla24[[#This Row],[Fecha]],"aaaa")</f>
        <v>2024</v>
      </c>
      <c r="E1555" t="s">
        <v>18</v>
      </c>
      <c r="F1555" t="s">
        <v>34</v>
      </c>
      <c r="G1555" t="s">
        <v>24</v>
      </c>
      <c r="H1555" t="s">
        <v>30</v>
      </c>
      <c r="I1555" t="s">
        <v>40</v>
      </c>
      <c r="J1555">
        <v>13</v>
      </c>
      <c r="K1555">
        <v>47131</v>
      </c>
      <c r="L1555">
        <f>Tabla24[[#This Row],[Precio_Unitario]]*Tabla24[[#This Row],[Unidades_Vendidas]]</f>
        <v>612703</v>
      </c>
      <c r="M1555" t="s">
        <v>27</v>
      </c>
    </row>
    <row r="1556" spans="1:13" x14ac:dyDescent="0.25">
      <c r="A1556" t="s">
        <v>227</v>
      </c>
      <c r="B1556" t="str">
        <f>TEXT(Tabla24[[#This Row],[Fecha]],"dddd")</f>
        <v>jueves</v>
      </c>
      <c r="C1556" t="str">
        <f>TEXT(Tabla24[[#This Row],[Fecha]],"mmmm")</f>
        <v>enero</v>
      </c>
      <c r="D1556" t="str">
        <f>TEXT(Tabla24[[#This Row],[Fecha]],"aaaa")</f>
        <v>2024</v>
      </c>
      <c r="E1556" t="s">
        <v>22</v>
      </c>
      <c r="F1556" t="s">
        <v>34</v>
      </c>
      <c r="G1556" t="s">
        <v>44</v>
      </c>
      <c r="H1556" t="s">
        <v>30</v>
      </c>
      <c r="I1556" t="s">
        <v>26</v>
      </c>
      <c r="J1556">
        <v>17</v>
      </c>
      <c r="K1556">
        <v>58909</v>
      </c>
      <c r="L1556">
        <f>Tabla24[[#This Row],[Precio_Unitario]]*Tabla24[[#This Row],[Unidades_Vendidas]]</f>
        <v>1001453</v>
      </c>
      <c r="M1556" t="s">
        <v>16</v>
      </c>
    </row>
    <row r="1557" spans="1:13" x14ac:dyDescent="0.25">
      <c r="A1557" t="s">
        <v>96</v>
      </c>
      <c r="B1557" t="str">
        <f>TEXT(Tabla24[[#This Row],[Fecha]],"dddd")</f>
        <v>domingo</v>
      </c>
      <c r="C1557" t="str">
        <f>TEXT(Tabla24[[#This Row],[Fecha]],"mmmm")</f>
        <v>agosto</v>
      </c>
      <c r="D1557" t="str">
        <f>TEXT(Tabla24[[#This Row],[Fecha]],"aaaa")</f>
        <v>2024</v>
      </c>
      <c r="E1557" t="s">
        <v>42</v>
      </c>
      <c r="F1557" t="s">
        <v>38</v>
      </c>
      <c r="G1557" t="s">
        <v>13</v>
      </c>
      <c r="H1557" t="s">
        <v>30</v>
      </c>
      <c r="I1557" t="s">
        <v>26</v>
      </c>
      <c r="J1557">
        <v>6</v>
      </c>
      <c r="K1557">
        <v>23544</v>
      </c>
      <c r="L1557">
        <f>Tabla24[[#This Row],[Precio_Unitario]]*Tabla24[[#This Row],[Unidades_Vendidas]]</f>
        <v>141264</v>
      </c>
      <c r="M1557" t="s">
        <v>20</v>
      </c>
    </row>
    <row r="1558" spans="1:13" x14ac:dyDescent="0.25">
      <c r="A1558" t="s">
        <v>152</v>
      </c>
      <c r="B1558" t="str">
        <f>TEXT(Tabla24[[#This Row],[Fecha]],"dddd")</f>
        <v>lunes</v>
      </c>
      <c r="C1558" t="str">
        <f>TEXT(Tabla24[[#This Row],[Fecha]],"mmmm")</f>
        <v>febrero</v>
      </c>
      <c r="D1558" t="str">
        <f>TEXT(Tabla24[[#This Row],[Fecha]],"aaaa")</f>
        <v>2024</v>
      </c>
      <c r="E1558" t="s">
        <v>42</v>
      </c>
      <c r="F1558" t="s">
        <v>38</v>
      </c>
      <c r="G1558" t="s">
        <v>48</v>
      </c>
      <c r="H1558" t="s">
        <v>35</v>
      </c>
      <c r="I1558" t="s">
        <v>26</v>
      </c>
      <c r="J1558">
        <v>5</v>
      </c>
      <c r="K1558">
        <v>19540</v>
      </c>
      <c r="L1558">
        <f>Tabla24[[#This Row],[Precio_Unitario]]*Tabla24[[#This Row],[Unidades_Vendidas]]</f>
        <v>97700</v>
      </c>
      <c r="M1558" t="s">
        <v>20</v>
      </c>
    </row>
    <row r="1559" spans="1:13" x14ac:dyDescent="0.25">
      <c r="A1559" t="s">
        <v>17</v>
      </c>
      <c r="B1559" t="str">
        <f>TEXT(Tabla24[[#This Row],[Fecha]],"dddd")</f>
        <v>lunes</v>
      </c>
      <c r="C1559" t="str">
        <f>TEXT(Tabla24[[#This Row],[Fecha]],"mmmm")</f>
        <v>septiembre</v>
      </c>
      <c r="D1559" t="str">
        <f>TEXT(Tabla24[[#This Row],[Fecha]],"aaaa")</f>
        <v>2024</v>
      </c>
      <c r="E1559" t="s">
        <v>18</v>
      </c>
      <c r="F1559" t="s">
        <v>29</v>
      </c>
      <c r="G1559" t="s">
        <v>48</v>
      </c>
      <c r="H1559" t="s">
        <v>25</v>
      </c>
      <c r="I1559" t="s">
        <v>15</v>
      </c>
      <c r="J1559">
        <v>19</v>
      </c>
      <c r="K1559">
        <v>32583</v>
      </c>
      <c r="L1559">
        <f>Tabla24[[#This Row],[Precio_Unitario]]*Tabla24[[#This Row],[Unidades_Vendidas]]</f>
        <v>619077</v>
      </c>
      <c r="M1559" t="s">
        <v>36</v>
      </c>
    </row>
    <row r="1560" spans="1:13" x14ac:dyDescent="0.25">
      <c r="A1560" t="s">
        <v>87</v>
      </c>
      <c r="B1560" t="str">
        <f>TEXT(Tabla24[[#This Row],[Fecha]],"dddd")</f>
        <v>martes</v>
      </c>
      <c r="C1560" t="str">
        <f>TEXT(Tabla24[[#This Row],[Fecha]],"mmmm")</f>
        <v>noviembre</v>
      </c>
      <c r="D1560" t="str">
        <f>TEXT(Tabla24[[#This Row],[Fecha]],"aaaa")</f>
        <v>2024</v>
      </c>
      <c r="E1560" t="s">
        <v>42</v>
      </c>
      <c r="F1560" t="s">
        <v>29</v>
      </c>
      <c r="G1560" t="s">
        <v>13</v>
      </c>
      <c r="H1560" t="s">
        <v>14</v>
      </c>
      <c r="I1560" t="s">
        <v>26</v>
      </c>
      <c r="J1560">
        <v>7</v>
      </c>
      <c r="K1560">
        <v>16519</v>
      </c>
      <c r="L1560">
        <f>Tabla24[[#This Row],[Precio_Unitario]]*Tabla24[[#This Row],[Unidades_Vendidas]]</f>
        <v>115633</v>
      </c>
      <c r="M1560" t="s">
        <v>36</v>
      </c>
    </row>
    <row r="1561" spans="1:13" x14ac:dyDescent="0.25">
      <c r="A1561" t="s">
        <v>178</v>
      </c>
      <c r="B1561" t="str">
        <f>TEXT(Tabla24[[#This Row],[Fecha]],"dddd")</f>
        <v>jueves</v>
      </c>
      <c r="C1561" t="str">
        <f>TEXT(Tabla24[[#This Row],[Fecha]],"mmmm")</f>
        <v>julio</v>
      </c>
      <c r="D1561" t="str">
        <f>TEXT(Tabla24[[#This Row],[Fecha]],"aaaa")</f>
        <v>2024</v>
      </c>
      <c r="E1561" t="s">
        <v>11</v>
      </c>
      <c r="F1561" t="s">
        <v>23</v>
      </c>
      <c r="G1561" t="s">
        <v>13</v>
      </c>
      <c r="H1561" t="s">
        <v>30</v>
      </c>
      <c r="I1561" t="s">
        <v>40</v>
      </c>
      <c r="J1561">
        <v>6</v>
      </c>
      <c r="K1561">
        <v>39511</v>
      </c>
      <c r="L1561">
        <f>Tabla24[[#This Row],[Precio_Unitario]]*Tabla24[[#This Row],[Unidades_Vendidas]]</f>
        <v>237066</v>
      </c>
      <c r="M1561" t="s">
        <v>27</v>
      </c>
    </row>
    <row r="1562" spans="1:13" x14ac:dyDescent="0.25">
      <c r="A1562" t="s">
        <v>232</v>
      </c>
      <c r="B1562" t="str">
        <f>TEXT(Tabla24[[#This Row],[Fecha]],"dddd")</f>
        <v>sábado</v>
      </c>
      <c r="C1562" t="str">
        <f>TEXT(Tabla24[[#This Row],[Fecha]],"mmmm")</f>
        <v>octubre</v>
      </c>
      <c r="D1562" t="str">
        <f>TEXT(Tabla24[[#This Row],[Fecha]],"aaaa")</f>
        <v>2024</v>
      </c>
      <c r="E1562" t="s">
        <v>42</v>
      </c>
      <c r="F1562" t="s">
        <v>38</v>
      </c>
      <c r="G1562" t="s">
        <v>48</v>
      </c>
      <c r="H1562" t="s">
        <v>35</v>
      </c>
      <c r="I1562" t="s">
        <v>26</v>
      </c>
      <c r="J1562">
        <v>8</v>
      </c>
      <c r="K1562">
        <v>15352</v>
      </c>
      <c r="L1562">
        <f>Tabla24[[#This Row],[Precio_Unitario]]*Tabla24[[#This Row],[Unidades_Vendidas]]</f>
        <v>122816</v>
      </c>
      <c r="M1562" t="s">
        <v>16</v>
      </c>
    </row>
    <row r="1563" spans="1:13" x14ac:dyDescent="0.25">
      <c r="A1563" t="s">
        <v>194</v>
      </c>
      <c r="B1563" t="str">
        <f>TEXT(Tabla24[[#This Row],[Fecha]],"dddd")</f>
        <v>jueves</v>
      </c>
      <c r="C1563" t="str">
        <f>TEXT(Tabla24[[#This Row],[Fecha]],"mmmm")</f>
        <v>noviembre</v>
      </c>
      <c r="D1563" t="str">
        <f>TEXT(Tabla24[[#This Row],[Fecha]],"aaaa")</f>
        <v>2024</v>
      </c>
      <c r="E1563" t="s">
        <v>42</v>
      </c>
      <c r="F1563" t="s">
        <v>29</v>
      </c>
      <c r="G1563" t="s">
        <v>48</v>
      </c>
      <c r="H1563" t="s">
        <v>30</v>
      </c>
      <c r="I1563" t="s">
        <v>40</v>
      </c>
      <c r="J1563">
        <v>19</v>
      </c>
      <c r="K1563">
        <v>17064</v>
      </c>
      <c r="L1563">
        <f>Tabla24[[#This Row],[Precio_Unitario]]*Tabla24[[#This Row],[Unidades_Vendidas]]</f>
        <v>324216</v>
      </c>
      <c r="M1563" t="s">
        <v>27</v>
      </c>
    </row>
    <row r="1564" spans="1:13" x14ac:dyDescent="0.25">
      <c r="A1564" t="s">
        <v>282</v>
      </c>
      <c r="B1564" t="str">
        <f>TEXT(Tabla24[[#This Row],[Fecha]],"dddd")</f>
        <v>domingo</v>
      </c>
      <c r="C1564" t="str">
        <f>TEXT(Tabla24[[#This Row],[Fecha]],"mmmm")</f>
        <v>junio</v>
      </c>
      <c r="D1564" t="str">
        <f>TEXT(Tabla24[[#This Row],[Fecha]],"aaaa")</f>
        <v>2024</v>
      </c>
      <c r="E1564" t="s">
        <v>22</v>
      </c>
      <c r="F1564" t="s">
        <v>38</v>
      </c>
      <c r="G1564" t="s">
        <v>39</v>
      </c>
      <c r="H1564" t="s">
        <v>30</v>
      </c>
      <c r="I1564" t="s">
        <v>26</v>
      </c>
      <c r="J1564">
        <v>13</v>
      </c>
      <c r="K1564">
        <v>25758</v>
      </c>
      <c r="L1564">
        <f>Tabla24[[#This Row],[Precio_Unitario]]*Tabla24[[#This Row],[Unidades_Vendidas]]</f>
        <v>334854</v>
      </c>
      <c r="M1564" t="s">
        <v>16</v>
      </c>
    </row>
    <row r="1565" spans="1:13" x14ac:dyDescent="0.25">
      <c r="A1565" t="s">
        <v>70</v>
      </c>
      <c r="B1565" t="str">
        <f>TEXT(Tabla24[[#This Row],[Fecha]],"dddd")</f>
        <v>martes</v>
      </c>
      <c r="C1565" t="str">
        <f>TEXT(Tabla24[[#This Row],[Fecha]],"mmmm")</f>
        <v>julio</v>
      </c>
      <c r="D1565" t="str">
        <f>TEXT(Tabla24[[#This Row],[Fecha]],"aaaa")</f>
        <v>2024</v>
      </c>
      <c r="E1565" t="s">
        <v>18</v>
      </c>
      <c r="F1565" t="s">
        <v>23</v>
      </c>
      <c r="G1565" t="s">
        <v>44</v>
      </c>
      <c r="H1565" t="s">
        <v>14</v>
      </c>
      <c r="I1565" t="s">
        <v>15</v>
      </c>
      <c r="J1565">
        <v>1</v>
      </c>
      <c r="K1565">
        <v>17773</v>
      </c>
      <c r="L1565">
        <f>Tabla24[[#This Row],[Precio_Unitario]]*Tabla24[[#This Row],[Unidades_Vendidas]]</f>
        <v>17773</v>
      </c>
      <c r="M1565" t="s">
        <v>27</v>
      </c>
    </row>
    <row r="1566" spans="1:13" x14ac:dyDescent="0.25">
      <c r="A1566" t="s">
        <v>293</v>
      </c>
      <c r="B1566" t="str">
        <f>TEXT(Tabla24[[#This Row],[Fecha]],"dddd")</f>
        <v>jueves</v>
      </c>
      <c r="C1566" t="str">
        <f>TEXT(Tabla24[[#This Row],[Fecha]],"mmmm")</f>
        <v>mayo</v>
      </c>
      <c r="D1566" t="str">
        <f>TEXT(Tabla24[[#This Row],[Fecha]],"aaaa")</f>
        <v>2024</v>
      </c>
      <c r="E1566" t="s">
        <v>42</v>
      </c>
      <c r="F1566" t="s">
        <v>38</v>
      </c>
      <c r="G1566" t="s">
        <v>24</v>
      </c>
      <c r="H1566" t="s">
        <v>35</v>
      </c>
      <c r="I1566" t="s">
        <v>15</v>
      </c>
      <c r="J1566">
        <v>9</v>
      </c>
      <c r="K1566">
        <v>19967</v>
      </c>
      <c r="L1566">
        <f>Tabla24[[#This Row],[Precio_Unitario]]*Tabla24[[#This Row],[Unidades_Vendidas]]</f>
        <v>179703</v>
      </c>
      <c r="M1566" t="s">
        <v>36</v>
      </c>
    </row>
    <row r="1567" spans="1:13" x14ac:dyDescent="0.25">
      <c r="A1567" t="s">
        <v>52</v>
      </c>
      <c r="B1567" t="str">
        <f>TEXT(Tabla24[[#This Row],[Fecha]],"dddd")</f>
        <v>jueves</v>
      </c>
      <c r="C1567" t="str">
        <f>TEXT(Tabla24[[#This Row],[Fecha]],"mmmm")</f>
        <v>diciembre</v>
      </c>
      <c r="D1567" t="str">
        <f>TEXT(Tabla24[[#This Row],[Fecha]],"aaaa")</f>
        <v>2024</v>
      </c>
      <c r="E1567" t="s">
        <v>33</v>
      </c>
      <c r="F1567" t="s">
        <v>34</v>
      </c>
      <c r="G1567" t="s">
        <v>44</v>
      </c>
      <c r="H1567" t="s">
        <v>14</v>
      </c>
      <c r="I1567" t="s">
        <v>26</v>
      </c>
      <c r="J1567">
        <v>6</v>
      </c>
      <c r="K1567">
        <v>27883</v>
      </c>
      <c r="L1567">
        <f>Tabla24[[#This Row],[Precio_Unitario]]*Tabla24[[#This Row],[Unidades_Vendidas]]</f>
        <v>167298</v>
      </c>
      <c r="M1567" t="s">
        <v>20</v>
      </c>
    </row>
    <row r="1568" spans="1:13" x14ac:dyDescent="0.25">
      <c r="A1568" t="s">
        <v>395</v>
      </c>
      <c r="B1568" t="str">
        <f>TEXT(Tabla24[[#This Row],[Fecha]],"dddd")</f>
        <v>lunes</v>
      </c>
      <c r="C1568" t="str">
        <f>TEXT(Tabla24[[#This Row],[Fecha]],"mmmm")</f>
        <v>enero</v>
      </c>
      <c r="D1568" t="str">
        <f>TEXT(Tabla24[[#This Row],[Fecha]],"aaaa")</f>
        <v>2024</v>
      </c>
      <c r="E1568" t="s">
        <v>42</v>
      </c>
      <c r="F1568" t="s">
        <v>34</v>
      </c>
      <c r="G1568" t="s">
        <v>48</v>
      </c>
      <c r="H1568" t="s">
        <v>25</v>
      </c>
      <c r="I1568" t="s">
        <v>26</v>
      </c>
      <c r="J1568">
        <v>4</v>
      </c>
      <c r="K1568">
        <v>44921</v>
      </c>
      <c r="L1568">
        <f>Tabla24[[#This Row],[Precio_Unitario]]*Tabla24[[#This Row],[Unidades_Vendidas]]</f>
        <v>179684</v>
      </c>
      <c r="M1568" t="s">
        <v>27</v>
      </c>
    </row>
    <row r="1569" spans="1:13" x14ac:dyDescent="0.25">
      <c r="A1569" t="s">
        <v>249</v>
      </c>
      <c r="B1569" t="str">
        <f>TEXT(Tabla24[[#This Row],[Fecha]],"dddd")</f>
        <v>sábado</v>
      </c>
      <c r="C1569" t="str">
        <f>TEXT(Tabla24[[#This Row],[Fecha]],"mmmm")</f>
        <v>mayo</v>
      </c>
      <c r="D1569" t="str">
        <f>TEXT(Tabla24[[#This Row],[Fecha]],"aaaa")</f>
        <v>2024</v>
      </c>
      <c r="E1569" t="s">
        <v>18</v>
      </c>
      <c r="F1569" t="s">
        <v>12</v>
      </c>
      <c r="G1569" t="s">
        <v>48</v>
      </c>
      <c r="H1569" t="s">
        <v>25</v>
      </c>
      <c r="I1569" t="s">
        <v>15</v>
      </c>
      <c r="J1569">
        <v>6</v>
      </c>
      <c r="K1569">
        <v>54936</v>
      </c>
      <c r="L1569">
        <f>Tabla24[[#This Row],[Precio_Unitario]]*Tabla24[[#This Row],[Unidades_Vendidas]]</f>
        <v>329616</v>
      </c>
      <c r="M1569" t="s">
        <v>36</v>
      </c>
    </row>
    <row r="1570" spans="1:13" x14ac:dyDescent="0.25">
      <c r="A1570" t="s">
        <v>135</v>
      </c>
      <c r="B1570" t="str">
        <f>TEXT(Tabla24[[#This Row],[Fecha]],"dddd")</f>
        <v>miércoles</v>
      </c>
      <c r="C1570" t="str">
        <f>TEXT(Tabla24[[#This Row],[Fecha]],"mmmm")</f>
        <v>junio</v>
      </c>
      <c r="D1570" t="str">
        <f>TEXT(Tabla24[[#This Row],[Fecha]],"aaaa")</f>
        <v>2024</v>
      </c>
      <c r="E1570" t="s">
        <v>42</v>
      </c>
      <c r="F1570" t="s">
        <v>34</v>
      </c>
      <c r="G1570" t="s">
        <v>39</v>
      </c>
      <c r="H1570" t="s">
        <v>14</v>
      </c>
      <c r="I1570" t="s">
        <v>26</v>
      </c>
      <c r="J1570">
        <v>1</v>
      </c>
      <c r="K1570">
        <v>58920</v>
      </c>
      <c r="L1570">
        <f>Tabla24[[#This Row],[Precio_Unitario]]*Tabla24[[#This Row],[Unidades_Vendidas]]</f>
        <v>58920</v>
      </c>
      <c r="M1570" t="s">
        <v>16</v>
      </c>
    </row>
    <row r="1571" spans="1:13" x14ac:dyDescent="0.25">
      <c r="A1571" t="s">
        <v>105</v>
      </c>
      <c r="B1571" t="str">
        <f>TEXT(Tabla24[[#This Row],[Fecha]],"dddd")</f>
        <v>martes</v>
      </c>
      <c r="C1571" t="str">
        <f>TEXT(Tabla24[[#This Row],[Fecha]],"mmmm")</f>
        <v>enero</v>
      </c>
      <c r="D1571" t="str">
        <f>TEXT(Tabla24[[#This Row],[Fecha]],"aaaa")</f>
        <v>2024</v>
      </c>
      <c r="E1571" t="s">
        <v>11</v>
      </c>
      <c r="F1571" t="s">
        <v>38</v>
      </c>
      <c r="G1571" t="s">
        <v>48</v>
      </c>
      <c r="H1571" t="s">
        <v>30</v>
      </c>
      <c r="I1571" t="s">
        <v>26</v>
      </c>
      <c r="J1571">
        <v>7</v>
      </c>
      <c r="K1571">
        <v>53156</v>
      </c>
      <c r="L1571">
        <f>Tabla24[[#This Row],[Precio_Unitario]]*Tabla24[[#This Row],[Unidades_Vendidas]]</f>
        <v>372092</v>
      </c>
      <c r="M1571" t="s">
        <v>16</v>
      </c>
    </row>
    <row r="1572" spans="1:13" x14ac:dyDescent="0.25">
      <c r="A1572" t="s">
        <v>188</v>
      </c>
      <c r="B1572" t="str">
        <f>TEXT(Tabla24[[#This Row],[Fecha]],"dddd")</f>
        <v>miércoles</v>
      </c>
      <c r="C1572" t="str">
        <f>TEXT(Tabla24[[#This Row],[Fecha]],"mmmm")</f>
        <v>enero</v>
      </c>
      <c r="D1572" t="str">
        <f>TEXT(Tabla24[[#This Row],[Fecha]],"aaaa")</f>
        <v>2024</v>
      </c>
      <c r="E1572" t="s">
        <v>42</v>
      </c>
      <c r="F1572" t="s">
        <v>34</v>
      </c>
      <c r="G1572" t="s">
        <v>13</v>
      </c>
      <c r="H1572" t="s">
        <v>35</v>
      </c>
      <c r="I1572" t="s">
        <v>15</v>
      </c>
      <c r="J1572">
        <v>20</v>
      </c>
      <c r="K1572">
        <v>41799</v>
      </c>
      <c r="L1572">
        <f>Tabla24[[#This Row],[Precio_Unitario]]*Tabla24[[#This Row],[Unidades_Vendidas]]</f>
        <v>835980</v>
      </c>
      <c r="M1572" t="s">
        <v>20</v>
      </c>
    </row>
    <row r="1573" spans="1:13" x14ac:dyDescent="0.25">
      <c r="A1573" t="s">
        <v>62</v>
      </c>
      <c r="B1573" t="str">
        <f>TEXT(Tabla24[[#This Row],[Fecha]],"dddd")</f>
        <v>sábado</v>
      </c>
      <c r="C1573" t="str">
        <f>TEXT(Tabla24[[#This Row],[Fecha]],"mmmm")</f>
        <v>mayo</v>
      </c>
      <c r="D1573" t="str">
        <f>TEXT(Tabla24[[#This Row],[Fecha]],"aaaa")</f>
        <v>2024</v>
      </c>
      <c r="E1573" t="s">
        <v>22</v>
      </c>
      <c r="F1573" t="s">
        <v>12</v>
      </c>
      <c r="G1573" t="s">
        <v>39</v>
      </c>
      <c r="H1573" t="s">
        <v>35</v>
      </c>
      <c r="I1573" t="s">
        <v>15</v>
      </c>
      <c r="J1573">
        <v>10</v>
      </c>
      <c r="K1573">
        <v>18294</v>
      </c>
      <c r="L1573">
        <f>Tabla24[[#This Row],[Precio_Unitario]]*Tabla24[[#This Row],[Unidades_Vendidas]]</f>
        <v>182940</v>
      </c>
      <c r="M1573" t="s">
        <v>27</v>
      </c>
    </row>
    <row r="1574" spans="1:13" x14ac:dyDescent="0.25">
      <c r="A1574" t="s">
        <v>221</v>
      </c>
      <c r="B1574" t="str">
        <f>TEXT(Tabla24[[#This Row],[Fecha]],"dddd")</f>
        <v>viernes</v>
      </c>
      <c r="C1574" t="str">
        <f>TEXT(Tabla24[[#This Row],[Fecha]],"mmmm")</f>
        <v>noviembre</v>
      </c>
      <c r="D1574" t="str">
        <f>TEXT(Tabla24[[#This Row],[Fecha]],"aaaa")</f>
        <v>2024</v>
      </c>
      <c r="E1574" t="s">
        <v>22</v>
      </c>
      <c r="F1574" t="s">
        <v>12</v>
      </c>
      <c r="G1574" t="s">
        <v>44</v>
      </c>
      <c r="H1574" t="s">
        <v>19</v>
      </c>
      <c r="I1574" t="s">
        <v>26</v>
      </c>
      <c r="J1574">
        <v>12</v>
      </c>
      <c r="K1574">
        <v>30384</v>
      </c>
      <c r="L1574">
        <f>Tabla24[[#This Row],[Precio_Unitario]]*Tabla24[[#This Row],[Unidades_Vendidas]]</f>
        <v>364608</v>
      </c>
      <c r="M1574" t="s">
        <v>20</v>
      </c>
    </row>
    <row r="1575" spans="1:13" x14ac:dyDescent="0.25">
      <c r="A1575" t="s">
        <v>207</v>
      </c>
      <c r="B1575" t="str">
        <f>TEXT(Tabla24[[#This Row],[Fecha]],"dddd")</f>
        <v>sábado</v>
      </c>
      <c r="C1575" t="str">
        <f>TEXT(Tabla24[[#This Row],[Fecha]],"mmmm")</f>
        <v>abril</v>
      </c>
      <c r="D1575" t="str">
        <f>TEXT(Tabla24[[#This Row],[Fecha]],"aaaa")</f>
        <v>2024</v>
      </c>
      <c r="E1575" t="s">
        <v>42</v>
      </c>
      <c r="F1575" t="s">
        <v>38</v>
      </c>
      <c r="G1575" t="s">
        <v>39</v>
      </c>
      <c r="H1575" t="s">
        <v>35</v>
      </c>
      <c r="I1575" t="s">
        <v>26</v>
      </c>
      <c r="J1575">
        <v>6</v>
      </c>
      <c r="K1575">
        <v>57091</v>
      </c>
      <c r="L1575">
        <f>Tabla24[[#This Row],[Precio_Unitario]]*Tabla24[[#This Row],[Unidades_Vendidas]]</f>
        <v>342546</v>
      </c>
      <c r="M1575" t="s">
        <v>27</v>
      </c>
    </row>
    <row r="1576" spans="1:13" x14ac:dyDescent="0.25">
      <c r="A1576" t="s">
        <v>386</v>
      </c>
      <c r="B1576" t="str">
        <f>TEXT(Tabla24[[#This Row],[Fecha]],"dddd")</f>
        <v>lunes</v>
      </c>
      <c r="C1576" t="str">
        <f>TEXT(Tabla24[[#This Row],[Fecha]],"mmmm")</f>
        <v>mayo</v>
      </c>
      <c r="D1576" t="str">
        <f>TEXT(Tabla24[[#This Row],[Fecha]],"aaaa")</f>
        <v>2024</v>
      </c>
      <c r="E1576" t="s">
        <v>22</v>
      </c>
      <c r="F1576" t="s">
        <v>38</v>
      </c>
      <c r="G1576" t="s">
        <v>24</v>
      </c>
      <c r="H1576" t="s">
        <v>30</v>
      </c>
      <c r="I1576" t="s">
        <v>40</v>
      </c>
      <c r="J1576">
        <v>12</v>
      </c>
      <c r="K1576">
        <v>26717</v>
      </c>
      <c r="L1576">
        <f>Tabla24[[#This Row],[Precio_Unitario]]*Tabla24[[#This Row],[Unidades_Vendidas]]</f>
        <v>320604</v>
      </c>
      <c r="M1576" t="s">
        <v>36</v>
      </c>
    </row>
    <row r="1577" spans="1:13" x14ac:dyDescent="0.25">
      <c r="A1577" t="s">
        <v>189</v>
      </c>
      <c r="B1577" t="str">
        <f>TEXT(Tabla24[[#This Row],[Fecha]],"dddd")</f>
        <v>sábado</v>
      </c>
      <c r="C1577" t="str">
        <f>TEXT(Tabla24[[#This Row],[Fecha]],"mmmm")</f>
        <v>abril</v>
      </c>
      <c r="D1577" t="str">
        <f>TEXT(Tabla24[[#This Row],[Fecha]],"aaaa")</f>
        <v>2024</v>
      </c>
      <c r="E1577" t="s">
        <v>42</v>
      </c>
      <c r="F1577" t="s">
        <v>38</v>
      </c>
      <c r="G1577" t="s">
        <v>44</v>
      </c>
      <c r="H1577" t="s">
        <v>25</v>
      </c>
      <c r="I1577" t="s">
        <v>15</v>
      </c>
      <c r="J1577">
        <v>19</v>
      </c>
      <c r="K1577">
        <v>54384</v>
      </c>
      <c r="L1577">
        <f>Tabla24[[#This Row],[Precio_Unitario]]*Tabla24[[#This Row],[Unidades_Vendidas]]</f>
        <v>1033296</v>
      </c>
      <c r="M1577" t="s">
        <v>16</v>
      </c>
    </row>
    <row r="1578" spans="1:13" x14ac:dyDescent="0.25">
      <c r="A1578" t="s">
        <v>381</v>
      </c>
      <c r="B1578" t="str">
        <f>TEXT(Tabla24[[#This Row],[Fecha]],"dddd")</f>
        <v>sábado</v>
      </c>
      <c r="C1578" t="str">
        <f>TEXT(Tabla24[[#This Row],[Fecha]],"mmmm")</f>
        <v>septiembre</v>
      </c>
      <c r="D1578" t="str">
        <f>TEXT(Tabla24[[#This Row],[Fecha]],"aaaa")</f>
        <v>2024</v>
      </c>
      <c r="E1578" t="s">
        <v>22</v>
      </c>
      <c r="F1578" t="s">
        <v>38</v>
      </c>
      <c r="G1578" t="s">
        <v>39</v>
      </c>
      <c r="H1578" t="s">
        <v>25</v>
      </c>
      <c r="I1578" t="s">
        <v>40</v>
      </c>
      <c r="J1578">
        <v>19</v>
      </c>
      <c r="K1578">
        <v>25850</v>
      </c>
      <c r="L1578">
        <f>Tabla24[[#This Row],[Precio_Unitario]]*Tabla24[[#This Row],[Unidades_Vendidas]]</f>
        <v>491150</v>
      </c>
      <c r="M1578" t="s">
        <v>16</v>
      </c>
    </row>
    <row r="1579" spans="1:13" x14ac:dyDescent="0.25">
      <c r="A1579" t="s">
        <v>352</v>
      </c>
      <c r="B1579" t="str">
        <f>TEXT(Tabla24[[#This Row],[Fecha]],"dddd")</f>
        <v>miércoles</v>
      </c>
      <c r="C1579" t="str">
        <f>TEXT(Tabla24[[#This Row],[Fecha]],"mmmm")</f>
        <v>enero</v>
      </c>
      <c r="D1579" t="str">
        <f>TEXT(Tabla24[[#This Row],[Fecha]],"aaaa")</f>
        <v>2024</v>
      </c>
      <c r="E1579" t="s">
        <v>33</v>
      </c>
      <c r="F1579" t="s">
        <v>34</v>
      </c>
      <c r="G1579" t="s">
        <v>24</v>
      </c>
      <c r="H1579" t="s">
        <v>19</v>
      </c>
      <c r="I1579" t="s">
        <v>15</v>
      </c>
      <c r="J1579">
        <v>20</v>
      </c>
      <c r="K1579">
        <v>24083</v>
      </c>
      <c r="L1579">
        <f>Tabla24[[#This Row],[Precio_Unitario]]*Tabla24[[#This Row],[Unidades_Vendidas]]</f>
        <v>481660</v>
      </c>
      <c r="M1579" t="s">
        <v>27</v>
      </c>
    </row>
    <row r="1580" spans="1:13" x14ac:dyDescent="0.25">
      <c r="A1580" t="s">
        <v>381</v>
      </c>
      <c r="B1580" t="str">
        <f>TEXT(Tabla24[[#This Row],[Fecha]],"dddd")</f>
        <v>sábado</v>
      </c>
      <c r="C1580" t="str">
        <f>TEXT(Tabla24[[#This Row],[Fecha]],"mmmm")</f>
        <v>septiembre</v>
      </c>
      <c r="D1580" t="str">
        <f>TEXT(Tabla24[[#This Row],[Fecha]],"aaaa")</f>
        <v>2024</v>
      </c>
      <c r="E1580" t="s">
        <v>33</v>
      </c>
      <c r="F1580" t="s">
        <v>23</v>
      </c>
      <c r="G1580" t="s">
        <v>44</v>
      </c>
      <c r="H1580" t="s">
        <v>14</v>
      </c>
      <c r="I1580" t="s">
        <v>40</v>
      </c>
      <c r="J1580">
        <v>11</v>
      </c>
      <c r="K1580">
        <v>32543</v>
      </c>
      <c r="L1580">
        <f>Tabla24[[#This Row],[Precio_Unitario]]*Tabla24[[#This Row],[Unidades_Vendidas]]</f>
        <v>357973</v>
      </c>
      <c r="M1580" t="s">
        <v>27</v>
      </c>
    </row>
    <row r="1581" spans="1:13" x14ac:dyDescent="0.25">
      <c r="A1581" t="s">
        <v>286</v>
      </c>
      <c r="B1581" t="str">
        <f>TEXT(Tabla24[[#This Row],[Fecha]],"dddd")</f>
        <v>domingo</v>
      </c>
      <c r="C1581" t="str">
        <f>TEXT(Tabla24[[#This Row],[Fecha]],"mmmm")</f>
        <v>agosto</v>
      </c>
      <c r="D1581" t="str">
        <f>TEXT(Tabla24[[#This Row],[Fecha]],"aaaa")</f>
        <v>2024</v>
      </c>
      <c r="E1581" t="s">
        <v>22</v>
      </c>
      <c r="F1581" t="s">
        <v>34</v>
      </c>
      <c r="G1581" t="s">
        <v>44</v>
      </c>
      <c r="H1581" t="s">
        <v>14</v>
      </c>
      <c r="I1581" t="s">
        <v>26</v>
      </c>
      <c r="J1581">
        <v>5</v>
      </c>
      <c r="K1581">
        <v>30206</v>
      </c>
      <c r="L1581">
        <f>Tabla24[[#This Row],[Precio_Unitario]]*Tabla24[[#This Row],[Unidades_Vendidas]]</f>
        <v>151030</v>
      </c>
      <c r="M1581" t="s">
        <v>16</v>
      </c>
    </row>
    <row r="1582" spans="1:13" x14ac:dyDescent="0.25">
      <c r="A1582" t="s">
        <v>77</v>
      </c>
      <c r="B1582" t="str">
        <f>TEXT(Tabla24[[#This Row],[Fecha]],"dddd")</f>
        <v>jueves</v>
      </c>
      <c r="C1582" t="str">
        <f>TEXT(Tabla24[[#This Row],[Fecha]],"mmmm")</f>
        <v>junio</v>
      </c>
      <c r="D1582" t="str">
        <f>TEXT(Tabla24[[#This Row],[Fecha]],"aaaa")</f>
        <v>2024</v>
      </c>
      <c r="E1582" t="s">
        <v>18</v>
      </c>
      <c r="F1582" t="s">
        <v>34</v>
      </c>
      <c r="G1582" t="s">
        <v>24</v>
      </c>
      <c r="H1582" t="s">
        <v>19</v>
      </c>
      <c r="I1582" t="s">
        <v>15</v>
      </c>
      <c r="J1582">
        <v>4</v>
      </c>
      <c r="K1582">
        <v>49357</v>
      </c>
      <c r="L1582">
        <f>Tabla24[[#This Row],[Precio_Unitario]]*Tabla24[[#This Row],[Unidades_Vendidas]]</f>
        <v>197428</v>
      </c>
      <c r="M1582" t="s">
        <v>36</v>
      </c>
    </row>
    <row r="1583" spans="1:13" x14ac:dyDescent="0.25">
      <c r="A1583" t="s">
        <v>266</v>
      </c>
      <c r="B1583" t="str">
        <f>TEXT(Tabla24[[#This Row],[Fecha]],"dddd")</f>
        <v>miércoles</v>
      </c>
      <c r="C1583" t="str">
        <f>TEXT(Tabla24[[#This Row],[Fecha]],"mmmm")</f>
        <v>octubre</v>
      </c>
      <c r="D1583" t="str">
        <f>TEXT(Tabla24[[#This Row],[Fecha]],"aaaa")</f>
        <v>2024</v>
      </c>
      <c r="E1583" t="s">
        <v>33</v>
      </c>
      <c r="F1583" t="s">
        <v>23</v>
      </c>
      <c r="G1583" t="s">
        <v>48</v>
      </c>
      <c r="H1583" t="s">
        <v>25</v>
      </c>
      <c r="I1583" t="s">
        <v>40</v>
      </c>
      <c r="J1583">
        <v>3</v>
      </c>
      <c r="K1583">
        <v>30393</v>
      </c>
      <c r="L1583">
        <f>Tabla24[[#This Row],[Precio_Unitario]]*Tabla24[[#This Row],[Unidades_Vendidas]]</f>
        <v>91179</v>
      </c>
      <c r="M1583" t="s">
        <v>16</v>
      </c>
    </row>
    <row r="1584" spans="1:13" x14ac:dyDescent="0.25">
      <c r="A1584" t="s">
        <v>190</v>
      </c>
      <c r="B1584" t="str">
        <f>TEXT(Tabla24[[#This Row],[Fecha]],"dddd")</f>
        <v>sábado</v>
      </c>
      <c r="C1584" t="str">
        <f>TEXT(Tabla24[[#This Row],[Fecha]],"mmmm")</f>
        <v>agosto</v>
      </c>
      <c r="D1584" t="str">
        <f>TEXT(Tabla24[[#This Row],[Fecha]],"aaaa")</f>
        <v>2024</v>
      </c>
      <c r="E1584" t="s">
        <v>33</v>
      </c>
      <c r="F1584" t="s">
        <v>12</v>
      </c>
      <c r="G1584" t="s">
        <v>39</v>
      </c>
      <c r="H1584" t="s">
        <v>25</v>
      </c>
      <c r="I1584" t="s">
        <v>40</v>
      </c>
      <c r="J1584">
        <v>6</v>
      </c>
      <c r="K1584">
        <v>49966</v>
      </c>
      <c r="L1584">
        <f>Tabla24[[#This Row],[Precio_Unitario]]*Tabla24[[#This Row],[Unidades_Vendidas]]</f>
        <v>299796</v>
      </c>
      <c r="M1584" t="s">
        <v>36</v>
      </c>
    </row>
    <row r="1585" spans="1:13" x14ac:dyDescent="0.25">
      <c r="A1585" t="s">
        <v>315</v>
      </c>
      <c r="B1585" t="str">
        <f>TEXT(Tabla24[[#This Row],[Fecha]],"dddd")</f>
        <v>domingo</v>
      </c>
      <c r="C1585" t="str">
        <f>TEXT(Tabla24[[#This Row],[Fecha]],"mmmm")</f>
        <v>diciembre</v>
      </c>
      <c r="D1585" t="str">
        <f>TEXT(Tabla24[[#This Row],[Fecha]],"aaaa")</f>
        <v>2024</v>
      </c>
      <c r="E1585" t="s">
        <v>33</v>
      </c>
      <c r="F1585" t="s">
        <v>38</v>
      </c>
      <c r="G1585" t="s">
        <v>39</v>
      </c>
      <c r="H1585" t="s">
        <v>30</v>
      </c>
      <c r="I1585" t="s">
        <v>26</v>
      </c>
      <c r="J1585">
        <v>13</v>
      </c>
      <c r="K1585">
        <v>25207</v>
      </c>
      <c r="L1585">
        <f>Tabla24[[#This Row],[Precio_Unitario]]*Tabla24[[#This Row],[Unidades_Vendidas]]</f>
        <v>327691</v>
      </c>
      <c r="M1585" t="s">
        <v>36</v>
      </c>
    </row>
    <row r="1586" spans="1:13" x14ac:dyDescent="0.25">
      <c r="A1586" t="s">
        <v>154</v>
      </c>
      <c r="B1586" t="str">
        <f>TEXT(Tabla24[[#This Row],[Fecha]],"dddd")</f>
        <v>sábado</v>
      </c>
      <c r="C1586" t="str">
        <f>TEXT(Tabla24[[#This Row],[Fecha]],"mmmm")</f>
        <v>noviembre</v>
      </c>
      <c r="D1586" t="str">
        <f>TEXT(Tabla24[[#This Row],[Fecha]],"aaaa")</f>
        <v>2024</v>
      </c>
      <c r="E1586" t="s">
        <v>22</v>
      </c>
      <c r="F1586" t="s">
        <v>38</v>
      </c>
      <c r="G1586" t="s">
        <v>48</v>
      </c>
      <c r="H1586" t="s">
        <v>30</v>
      </c>
      <c r="I1586" t="s">
        <v>26</v>
      </c>
      <c r="J1586">
        <v>7</v>
      </c>
      <c r="K1586">
        <v>22990</v>
      </c>
      <c r="L1586">
        <f>Tabla24[[#This Row],[Precio_Unitario]]*Tabla24[[#This Row],[Unidades_Vendidas]]</f>
        <v>160930</v>
      </c>
      <c r="M1586" t="s">
        <v>16</v>
      </c>
    </row>
    <row r="1587" spans="1:13" x14ac:dyDescent="0.25">
      <c r="A1587" t="s">
        <v>297</v>
      </c>
      <c r="B1587" t="str">
        <f>TEXT(Tabla24[[#This Row],[Fecha]],"dddd")</f>
        <v>viernes</v>
      </c>
      <c r="C1587" t="str">
        <f>TEXT(Tabla24[[#This Row],[Fecha]],"mmmm")</f>
        <v>abril</v>
      </c>
      <c r="D1587" t="str">
        <f>TEXT(Tabla24[[#This Row],[Fecha]],"aaaa")</f>
        <v>2024</v>
      </c>
      <c r="E1587" t="s">
        <v>18</v>
      </c>
      <c r="F1587" t="s">
        <v>23</v>
      </c>
      <c r="G1587" t="s">
        <v>48</v>
      </c>
      <c r="H1587" t="s">
        <v>30</v>
      </c>
      <c r="I1587" t="s">
        <v>40</v>
      </c>
      <c r="J1587">
        <v>8</v>
      </c>
      <c r="K1587">
        <v>47633</v>
      </c>
      <c r="L1587">
        <f>Tabla24[[#This Row],[Precio_Unitario]]*Tabla24[[#This Row],[Unidades_Vendidas]]</f>
        <v>381064</v>
      </c>
      <c r="M1587" t="s">
        <v>20</v>
      </c>
    </row>
    <row r="1588" spans="1:13" x14ac:dyDescent="0.25">
      <c r="A1588" t="s">
        <v>46</v>
      </c>
      <c r="B1588" t="str">
        <f>TEXT(Tabla24[[#This Row],[Fecha]],"dddd")</f>
        <v>miércoles</v>
      </c>
      <c r="C1588" t="str">
        <f>TEXT(Tabla24[[#This Row],[Fecha]],"mmmm")</f>
        <v>marzo</v>
      </c>
      <c r="D1588" t="str">
        <f>TEXT(Tabla24[[#This Row],[Fecha]],"aaaa")</f>
        <v>2024</v>
      </c>
      <c r="E1588" t="s">
        <v>18</v>
      </c>
      <c r="F1588" t="s">
        <v>23</v>
      </c>
      <c r="G1588" t="s">
        <v>48</v>
      </c>
      <c r="H1588" t="s">
        <v>19</v>
      </c>
      <c r="I1588" t="s">
        <v>15</v>
      </c>
      <c r="J1588">
        <v>17</v>
      </c>
      <c r="K1588">
        <v>28387</v>
      </c>
      <c r="L1588">
        <f>Tabla24[[#This Row],[Precio_Unitario]]*Tabla24[[#This Row],[Unidades_Vendidas]]</f>
        <v>482579</v>
      </c>
      <c r="M1588" t="s">
        <v>36</v>
      </c>
    </row>
    <row r="1589" spans="1:13" x14ac:dyDescent="0.25">
      <c r="A1589" t="s">
        <v>262</v>
      </c>
      <c r="B1589" t="str">
        <f>TEXT(Tabla24[[#This Row],[Fecha]],"dddd")</f>
        <v>viernes</v>
      </c>
      <c r="C1589" t="str">
        <f>TEXT(Tabla24[[#This Row],[Fecha]],"mmmm")</f>
        <v>enero</v>
      </c>
      <c r="D1589" t="str">
        <f>TEXT(Tabla24[[#This Row],[Fecha]],"aaaa")</f>
        <v>2024</v>
      </c>
      <c r="E1589" t="s">
        <v>11</v>
      </c>
      <c r="F1589" t="s">
        <v>38</v>
      </c>
      <c r="G1589" t="s">
        <v>44</v>
      </c>
      <c r="H1589" t="s">
        <v>14</v>
      </c>
      <c r="I1589" t="s">
        <v>15</v>
      </c>
      <c r="J1589">
        <v>3</v>
      </c>
      <c r="K1589">
        <v>48629</v>
      </c>
      <c r="L1589">
        <f>Tabla24[[#This Row],[Precio_Unitario]]*Tabla24[[#This Row],[Unidades_Vendidas]]</f>
        <v>145887</v>
      </c>
      <c r="M1589" t="s">
        <v>16</v>
      </c>
    </row>
    <row r="1590" spans="1:13" x14ac:dyDescent="0.25">
      <c r="A1590" t="s">
        <v>281</v>
      </c>
      <c r="B1590" t="str">
        <f>TEXT(Tabla24[[#This Row],[Fecha]],"dddd")</f>
        <v>sábado</v>
      </c>
      <c r="C1590" t="str">
        <f>TEXT(Tabla24[[#This Row],[Fecha]],"mmmm")</f>
        <v>enero</v>
      </c>
      <c r="D1590" t="str">
        <f>TEXT(Tabla24[[#This Row],[Fecha]],"aaaa")</f>
        <v>2024</v>
      </c>
      <c r="E1590" t="s">
        <v>22</v>
      </c>
      <c r="F1590" t="s">
        <v>34</v>
      </c>
      <c r="G1590" t="s">
        <v>24</v>
      </c>
      <c r="H1590" t="s">
        <v>25</v>
      </c>
      <c r="I1590" t="s">
        <v>15</v>
      </c>
      <c r="J1590">
        <v>11</v>
      </c>
      <c r="K1590">
        <v>25646</v>
      </c>
      <c r="L1590">
        <f>Tabla24[[#This Row],[Precio_Unitario]]*Tabla24[[#This Row],[Unidades_Vendidas]]</f>
        <v>282106</v>
      </c>
      <c r="M1590" t="s">
        <v>20</v>
      </c>
    </row>
    <row r="1591" spans="1:13" x14ac:dyDescent="0.25">
      <c r="A1591" t="s">
        <v>205</v>
      </c>
      <c r="B1591" t="str">
        <f>TEXT(Tabla24[[#This Row],[Fecha]],"dddd")</f>
        <v>sábado</v>
      </c>
      <c r="C1591" t="str">
        <f>TEXT(Tabla24[[#This Row],[Fecha]],"mmmm")</f>
        <v>marzo</v>
      </c>
      <c r="D1591" t="str">
        <f>TEXT(Tabla24[[#This Row],[Fecha]],"aaaa")</f>
        <v>2024</v>
      </c>
      <c r="E1591" t="s">
        <v>11</v>
      </c>
      <c r="F1591" t="s">
        <v>34</v>
      </c>
      <c r="G1591" t="s">
        <v>44</v>
      </c>
      <c r="H1591" t="s">
        <v>14</v>
      </c>
      <c r="I1591" t="s">
        <v>26</v>
      </c>
      <c r="J1591">
        <v>7</v>
      </c>
      <c r="K1591">
        <v>47544</v>
      </c>
      <c r="L1591">
        <f>Tabla24[[#This Row],[Precio_Unitario]]*Tabla24[[#This Row],[Unidades_Vendidas]]</f>
        <v>332808</v>
      </c>
      <c r="M1591" t="s">
        <v>27</v>
      </c>
    </row>
    <row r="1592" spans="1:13" x14ac:dyDescent="0.25">
      <c r="A1592" t="s">
        <v>214</v>
      </c>
      <c r="B1592" t="str">
        <f>TEXT(Tabla24[[#This Row],[Fecha]],"dddd")</f>
        <v>lunes</v>
      </c>
      <c r="C1592" t="str">
        <f>TEXT(Tabla24[[#This Row],[Fecha]],"mmmm")</f>
        <v>noviembre</v>
      </c>
      <c r="D1592" t="str">
        <f>TEXT(Tabla24[[#This Row],[Fecha]],"aaaa")</f>
        <v>2024</v>
      </c>
      <c r="E1592" t="s">
        <v>22</v>
      </c>
      <c r="F1592" t="s">
        <v>23</v>
      </c>
      <c r="G1592" t="s">
        <v>39</v>
      </c>
      <c r="H1592" t="s">
        <v>19</v>
      </c>
      <c r="I1592" t="s">
        <v>15</v>
      </c>
      <c r="J1592">
        <v>5</v>
      </c>
      <c r="K1592">
        <v>58467</v>
      </c>
      <c r="L1592">
        <f>Tabla24[[#This Row],[Precio_Unitario]]*Tabla24[[#This Row],[Unidades_Vendidas]]</f>
        <v>292335</v>
      </c>
      <c r="M1592" t="s">
        <v>36</v>
      </c>
    </row>
    <row r="1593" spans="1:13" x14ac:dyDescent="0.25">
      <c r="A1593" t="s">
        <v>195</v>
      </c>
      <c r="B1593" t="str">
        <f>TEXT(Tabla24[[#This Row],[Fecha]],"dddd")</f>
        <v>martes</v>
      </c>
      <c r="C1593" t="str">
        <f>TEXT(Tabla24[[#This Row],[Fecha]],"mmmm")</f>
        <v>enero</v>
      </c>
      <c r="D1593" t="str">
        <f>TEXT(Tabla24[[#This Row],[Fecha]],"aaaa")</f>
        <v>2024</v>
      </c>
      <c r="E1593" t="s">
        <v>11</v>
      </c>
      <c r="F1593" t="s">
        <v>34</v>
      </c>
      <c r="G1593" t="s">
        <v>48</v>
      </c>
      <c r="H1593" t="s">
        <v>30</v>
      </c>
      <c r="I1593" t="s">
        <v>26</v>
      </c>
      <c r="J1593">
        <v>12</v>
      </c>
      <c r="K1593">
        <v>33781</v>
      </c>
      <c r="L1593">
        <f>Tabla24[[#This Row],[Precio_Unitario]]*Tabla24[[#This Row],[Unidades_Vendidas]]</f>
        <v>405372</v>
      </c>
      <c r="M1593" t="s">
        <v>16</v>
      </c>
    </row>
    <row r="1594" spans="1:13" x14ac:dyDescent="0.25">
      <c r="A1594" t="s">
        <v>396</v>
      </c>
      <c r="B1594" t="str">
        <f>TEXT(Tabla24[[#This Row],[Fecha]],"dddd")</f>
        <v>viernes</v>
      </c>
      <c r="C1594" t="str">
        <f>TEXT(Tabla24[[#This Row],[Fecha]],"mmmm")</f>
        <v>mayo</v>
      </c>
      <c r="D1594" t="str">
        <f>TEXT(Tabla24[[#This Row],[Fecha]],"aaaa")</f>
        <v>2024</v>
      </c>
      <c r="E1594" t="s">
        <v>22</v>
      </c>
      <c r="F1594" t="s">
        <v>29</v>
      </c>
      <c r="G1594" t="s">
        <v>48</v>
      </c>
      <c r="H1594" t="s">
        <v>35</v>
      </c>
      <c r="I1594" t="s">
        <v>26</v>
      </c>
      <c r="J1594">
        <v>11</v>
      </c>
      <c r="K1594">
        <v>27305</v>
      </c>
      <c r="L1594">
        <f>Tabla24[[#This Row],[Precio_Unitario]]*Tabla24[[#This Row],[Unidades_Vendidas]]</f>
        <v>300355</v>
      </c>
      <c r="M1594" t="s">
        <v>36</v>
      </c>
    </row>
    <row r="1595" spans="1:13" x14ac:dyDescent="0.25">
      <c r="A1595" t="s">
        <v>182</v>
      </c>
      <c r="B1595" t="str">
        <f>TEXT(Tabla24[[#This Row],[Fecha]],"dddd")</f>
        <v>martes</v>
      </c>
      <c r="C1595" t="str">
        <f>TEXT(Tabla24[[#This Row],[Fecha]],"mmmm")</f>
        <v>diciembre</v>
      </c>
      <c r="D1595" t="str">
        <f>TEXT(Tabla24[[#This Row],[Fecha]],"aaaa")</f>
        <v>2024</v>
      </c>
      <c r="E1595" t="s">
        <v>18</v>
      </c>
      <c r="F1595" t="s">
        <v>23</v>
      </c>
      <c r="G1595" t="s">
        <v>24</v>
      </c>
      <c r="H1595" t="s">
        <v>19</v>
      </c>
      <c r="I1595" t="s">
        <v>15</v>
      </c>
      <c r="J1595">
        <v>10</v>
      </c>
      <c r="K1595">
        <v>48740</v>
      </c>
      <c r="L1595">
        <f>Tabla24[[#This Row],[Precio_Unitario]]*Tabla24[[#This Row],[Unidades_Vendidas]]</f>
        <v>487400</v>
      </c>
      <c r="M1595" t="s">
        <v>16</v>
      </c>
    </row>
    <row r="1596" spans="1:13" x14ac:dyDescent="0.25">
      <c r="A1596" t="s">
        <v>324</v>
      </c>
      <c r="B1596" t="str">
        <f>TEXT(Tabla24[[#This Row],[Fecha]],"dddd")</f>
        <v>martes</v>
      </c>
      <c r="C1596" t="str">
        <f>TEXT(Tabla24[[#This Row],[Fecha]],"mmmm")</f>
        <v>marzo</v>
      </c>
      <c r="D1596" t="str">
        <f>TEXT(Tabla24[[#This Row],[Fecha]],"aaaa")</f>
        <v>2024</v>
      </c>
      <c r="E1596" t="s">
        <v>33</v>
      </c>
      <c r="F1596" t="s">
        <v>38</v>
      </c>
      <c r="G1596" t="s">
        <v>39</v>
      </c>
      <c r="H1596" t="s">
        <v>14</v>
      </c>
      <c r="I1596" t="s">
        <v>15</v>
      </c>
      <c r="J1596">
        <v>9</v>
      </c>
      <c r="K1596">
        <v>39689</v>
      </c>
      <c r="L1596">
        <f>Tabla24[[#This Row],[Precio_Unitario]]*Tabla24[[#This Row],[Unidades_Vendidas]]</f>
        <v>357201</v>
      </c>
      <c r="M1596" t="s">
        <v>27</v>
      </c>
    </row>
    <row r="1597" spans="1:13" x14ac:dyDescent="0.25">
      <c r="A1597" t="s">
        <v>232</v>
      </c>
      <c r="B1597" t="str">
        <f>TEXT(Tabla24[[#This Row],[Fecha]],"dddd")</f>
        <v>sábado</v>
      </c>
      <c r="C1597" t="str">
        <f>TEXT(Tabla24[[#This Row],[Fecha]],"mmmm")</f>
        <v>octubre</v>
      </c>
      <c r="D1597" t="str">
        <f>TEXT(Tabla24[[#This Row],[Fecha]],"aaaa")</f>
        <v>2024</v>
      </c>
      <c r="E1597" t="s">
        <v>18</v>
      </c>
      <c r="F1597" t="s">
        <v>12</v>
      </c>
      <c r="G1597" t="s">
        <v>48</v>
      </c>
      <c r="H1597" t="s">
        <v>30</v>
      </c>
      <c r="I1597" t="s">
        <v>15</v>
      </c>
      <c r="J1597">
        <v>17</v>
      </c>
      <c r="K1597">
        <v>33601</v>
      </c>
      <c r="L1597">
        <f>Tabla24[[#This Row],[Precio_Unitario]]*Tabla24[[#This Row],[Unidades_Vendidas]]</f>
        <v>571217</v>
      </c>
      <c r="M1597" t="s">
        <v>36</v>
      </c>
    </row>
    <row r="1598" spans="1:13" x14ac:dyDescent="0.25">
      <c r="A1598" t="s">
        <v>193</v>
      </c>
      <c r="B1598" t="str">
        <f>TEXT(Tabla24[[#This Row],[Fecha]],"dddd")</f>
        <v>miércoles</v>
      </c>
      <c r="C1598" t="str">
        <f>TEXT(Tabla24[[#This Row],[Fecha]],"mmmm")</f>
        <v>junio</v>
      </c>
      <c r="D1598" t="str">
        <f>TEXT(Tabla24[[#This Row],[Fecha]],"aaaa")</f>
        <v>2024</v>
      </c>
      <c r="E1598" t="s">
        <v>22</v>
      </c>
      <c r="F1598" t="s">
        <v>34</v>
      </c>
      <c r="G1598" t="s">
        <v>13</v>
      </c>
      <c r="H1598" t="s">
        <v>19</v>
      </c>
      <c r="I1598" t="s">
        <v>26</v>
      </c>
      <c r="J1598">
        <v>2</v>
      </c>
      <c r="K1598">
        <v>16363</v>
      </c>
      <c r="L1598">
        <f>Tabla24[[#This Row],[Precio_Unitario]]*Tabla24[[#This Row],[Unidades_Vendidas]]</f>
        <v>32726</v>
      </c>
      <c r="M1598" t="s">
        <v>27</v>
      </c>
    </row>
    <row r="1599" spans="1:13" x14ac:dyDescent="0.25">
      <c r="A1599" t="s">
        <v>164</v>
      </c>
      <c r="B1599" t="str">
        <f>TEXT(Tabla24[[#This Row],[Fecha]],"dddd")</f>
        <v>domingo</v>
      </c>
      <c r="C1599" t="str">
        <f>TEXT(Tabla24[[#This Row],[Fecha]],"mmmm")</f>
        <v>junio</v>
      </c>
      <c r="D1599" t="str">
        <f>TEXT(Tabla24[[#This Row],[Fecha]],"aaaa")</f>
        <v>2024</v>
      </c>
      <c r="E1599" t="s">
        <v>33</v>
      </c>
      <c r="F1599" t="s">
        <v>12</v>
      </c>
      <c r="G1599" t="s">
        <v>13</v>
      </c>
      <c r="H1599" t="s">
        <v>14</v>
      </c>
      <c r="I1599" t="s">
        <v>15</v>
      </c>
      <c r="J1599">
        <v>17</v>
      </c>
      <c r="K1599">
        <v>56285</v>
      </c>
      <c r="L1599">
        <f>Tabla24[[#This Row],[Precio_Unitario]]*Tabla24[[#This Row],[Unidades_Vendidas]]</f>
        <v>956845</v>
      </c>
      <c r="M1599" t="s">
        <v>16</v>
      </c>
    </row>
    <row r="1600" spans="1:13" x14ac:dyDescent="0.25">
      <c r="A1600" t="s">
        <v>264</v>
      </c>
      <c r="B1600" t="str">
        <f>TEXT(Tabla24[[#This Row],[Fecha]],"dddd")</f>
        <v>lunes</v>
      </c>
      <c r="C1600" t="str">
        <f>TEXT(Tabla24[[#This Row],[Fecha]],"mmmm")</f>
        <v>diciembre</v>
      </c>
      <c r="D1600" t="str">
        <f>TEXT(Tabla24[[#This Row],[Fecha]],"aaaa")</f>
        <v>2024</v>
      </c>
      <c r="E1600" t="s">
        <v>33</v>
      </c>
      <c r="F1600" t="s">
        <v>23</v>
      </c>
      <c r="G1600" t="s">
        <v>48</v>
      </c>
      <c r="H1600" t="s">
        <v>25</v>
      </c>
      <c r="I1600" t="s">
        <v>40</v>
      </c>
      <c r="J1600">
        <v>20</v>
      </c>
      <c r="K1600">
        <v>49081</v>
      </c>
      <c r="L1600">
        <f>Tabla24[[#This Row],[Precio_Unitario]]*Tabla24[[#This Row],[Unidades_Vendidas]]</f>
        <v>981620</v>
      </c>
      <c r="M1600" t="s">
        <v>20</v>
      </c>
    </row>
    <row r="1601" spans="1:13" x14ac:dyDescent="0.25">
      <c r="A1601" t="s">
        <v>60</v>
      </c>
      <c r="B1601" t="str">
        <f>TEXT(Tabla24[[#This Row],[Fecha]],"dddd")</f>
        <v>lunes</v>
      </c>
      <c r="C1601" t="str">
        <f>TEXT(Tabla24[[#This Row],[Fecha]],"mmmm")</f>
        <v>junio</v>
      </c>
      <c r="D1601" t="str">
        <f>TEXT(Tabla24[[#This Row],[Fecha]],"aaaa")</f>
        <v>2024</v>
      </c>
      <c r="E1601" t="s">
        <v>11</v>
      </c>
      <c r="F1601" t="s">
        <v>12</v>
      </c>
      <c r="G1601" t="s">
        <v>48</v>
      </c>
      <c r="H1601" t="s">
        <v>35</v>
      </c>
      <c r="I1601" t="s">
        <v>26</v>
      </c>
      <c r="J1601">
        <v>15</v>
      </c>
      <c r="K1601">
        <v>30453</v>
      </c>
      <c r="L1601">
        <f>Tabla24[[#This Row],[Precio_Unitario]]*Tabla24[[#This Row],[Unidades_Vendidas]]</f>
        <v>456795</v>
      </c>
      <c r="M1601" t="s">
        <v>20</v>
      </c>
    </row>
    <row r="1602" spans="1:13" x14ac:dyDescent="0.25">
      <c r="A1602" t="s">
        <v>208</v>
      </c>
      <c r="B1602" t="str">
        <f>TEXT(Tabla24[[#This Row],[Fecha]],"dddd")</f>
        <v>lunes</v>
      </c>
      <c r="C1602" t="str">
        <f>TEXT(Tabla24[[#This Row],[Fecha]],"mmmm")</f>
        <v>junio</v>
      </c>
      <c r="D1602" t="str">
        <f>TEXT(Tabla24[[#This Row],[Fecha]],"aaaa")</f>
        <v>2024</v>
      </c>
      <c r="E1602" t="s">
        <v>22</v>
      </c>
      <c r="F1602" t="s">
        <v>12</v>
      </c>
      <c r="G1602" t="s">
        <v>44</v>
      </c>
      <c r="H1602" t="s">
        <v>14</v>
      </c>
      <c r="I1602" t="s">
        <v>40</v>
      </c>
      <c r="J1602">
        <v>11</v>
      </c>
      <c r="K1602">
        <v>41784</v>
      </c>
      <c r="L1602">
        <f>Tabla24[[#This Row],[Precio_Unitario]]*Tabla24[[#This Row],[Unidades_Vendidas]]</f>
        <v>459624</v>
      </c>
      <c r="M1602" t="s">
        <v>36</v>
      </c>
    </row>
    <row r="1603" spans="1:13" x14ac:dyDescent="0.25">
      <c r="A1603" t="s">
        <v>322</v>
      </c>
      <c r="B1603" t="str">
        <f>TEXT(Tabla24[[#This Row],[Fecha]],"dddd")</f>
        <v>miércoles</v>
      </c>
      <c r="C1603" t="str">
        <f>TEXT(Tabla24[[#This Row],[Fecha]],"mmmm")</f>
        <v>septiembre</v>
      </c>
      <c r="D1603" t="str">
        <f>TEXT(Tabla24[[#This Row],[Fecha]],"aaaa")</f>
        <v>2024</v>
      </c>
      <c r="E1603" t="s">
        <v>33</v>
      </c>
      <c r="F1603" t="s">
        <v>34</v>
      </c>
      <c r="G1603" t="s">
        <v>39</v>
      </c>
      <c r="H1603" t="s">
        <v>25</v>
      </c>
      <c r="I1603" t="s">
        <v>40</v>
      </c>
      <c r="J1603">
        <v>9</v>
      </c>
      <c r="K1603">
        <v>26889</v>
      </c>
      <c r="L1603">
        <f>Tabla24[[#This Row],[Precio_Unitario]]*Tabla24[[#This Row],[Unidades_Vendidas]]</f>
        <v>242001</v>
      </c>
      <c r="M1603" t="s">
        <v>27</v>
      </c>
    </row>
    <row r="1604" spans="1:13" x14ac:dyDescent="0.25">
      <c r="A1604" t="s">
        <v>153</v>
      </c>
      <c r="B1604" t="str">
        <f>TEXT(Tabla24[[#This Row],[Fecha]],"dddd")</f>
        <v>lunes</v>
      </c>
      <c r="C1604" t="str">
        <f>TEXT(Tabla24[[#This Row],[Fecha]],"mmmm")</f>
        <v>enero</v>
      </c>
      <c r="D1604" t="str">
        <f>TEXT(Tabla24[[#This Row],[Fecha]],"aaaa")</f>
        <v>2024</v>
      </c>
      <c r="E1604" t="s">
        <v>18</v>
      </c>
      <c r="F1604" t="s">
        <v>29</v>
      </c>
      <c r="G1604" t="s">
        <v>13</v>
      </c>
      <c r="H1604" t="s">
        <v>25</v>
      </c>
      <c r="I1604" t="s">
        <v>40</v>
      </c>
      <c r="J1604">
        <v>5</v>
      </c>
      <c r="K1604">
        <v>46806</v>
      </c>
      <c r="L1604">
        <f>Tabla24[[#This Row],[Precio_Unitario]]*Tabla24[[#This Row],[Unidades_Vendidas]]</f>
        <v>234030</v>
      </c>
      <c r="M1604" t="s">
        <v>20</v>
      </c>
    </row>
    <row r="1605" spans="1:13" x14ac:dyDescent="0.25">
      <c r="A1605" t="s">
        <v>32</v>
      </c>
      <c r="B1605" t="str">
        <f>TEXT(Tabla24[[#This Row],[Fecha]],"dddd")</f>
        <v>viernes</v>
      </c>
      <c r="C1605" t="str">
        <f>TEXT(Tabla24[[#This Row],[Fecha]],"mmmm")</f>
        <v>mayo</v>
      </c>
      <c r="D1605" t="str">
        <f>TEXT(Tabla24[[#This Row],[Fecha]],"aaaa")</f>
        <v>2024</v>
      </c>
      <c r="E1605" t="s">
        <v>22</v>
      </c>
      <c r="F1605" t="s">
        <v>12</v>
      </c>
      <c r="G1605" t="s">
        <v>24</v>
      </c>
      <c r="H1605" t="s">
        <v>25</v>
      </c>
      <c r="I1605" t="s">
        <v>40</v>
      </c>
      <c r="J1605">
        <v>13</v>
      </c>
      <c r="K1605">
        <v>32901</v>
      </c>
      <c r="L1605">
        <f>Tabla24[[#This Row],[Precio_Unitario]]*Tabla24[[#This Row],[Unidades_Vendidas]]</f>
        <v>427713</v>
      </c>
      <c r="M1605" t="s">
        <v>27</v>
      </c>
    </row>
    <row r="1606" spans="1:13" x14ac:dyDescent="0.25">
      <c r="A1606" t="s">
        <v>205</v>
      </c>
      <c r="B1606" t="str">
        <f>TEXT(Tabla24[[#This Row],[Fecha]],"dddd")</f>
        <v>sábado</v>
      </c>
      <c r="C1606" t="str">
        <f>TEXT(Tabla24[[#This Row],[Fecha]],"mmmm")</f>
        <v>marzo</v>
      </c>
      <c r="D1606" t="str">
        <f>TEXT(Tabla24[[#This Row],[Fecha]],"aaaa")</f>
        <v>2024</v>
      </c>
      <c r="E1606" t="s">
        <v>42</v>
      </c>
      <c r="F1606" t="s">
        <v>12</v>
      </c>
      <c r="G1606" t="s">
        <v>44</v>
      </c>
      <c r="H1606" t="s">
        <v>14</v>
      </c>
      <c r="I1606" t="s">
        <v>15</v>
      </c>
      <c r="J1606">
        <v>11</v>
      </c>
      <c r="K1606">
        <v>49406</v>
      </c>
      <c r="L1606">
        <f>Tabla24[[#This Row],[Precio_Unitario]]*Tabla24[[#This Row],[Unidades_Vendidas]]</f>
        <v>543466</v>
      </c>
      <c r="M1606" t="s">
        <v>27</v>
      </c>
    </row>
    <row r="1607" spans="1:13" x14ac:dyDescent="0.25">
      <c r="A1607" t="s">
        <v>185</v>
      </c>
      <c r="B1607" t="str">
        <f>TEXT(Tabla24[[#This Row],[Fecha]],"dddd")</f>
        <v>domingo</v>
      </c>
      <c r="C1607" t="str">
        <f>TEXT(Tabla24[[#This Row],[Fecha]],"mmmm")</f>
        <v>noviembre</v>
      </c>
      <c r="D1607" t="str">
        <f>TEXT(Tabla24[[#This Row],[Fecha]],"aaaa")</f>
        <v>2024</v>
      </c>
      <c r="E1607" t="s">
        <v>22</v>
      </c>
      <c r="F1607" t="s">
        <v>29</v>
      </c>
      <c r="G1607" t="s">
        <v>24</v>
      </c>
      <c r="H1607" t="s">
        <v>30</v>
      </c>
      <c r="I1607" t="s">
        <v>15</v>
      </c>
      <c r="J1607">
        <v>4</v>
      </c>
      <c r="K1607">
        <v>38226</v>
      </c>
      <c r="L1607">
        <f>Tabla24[[#This Row],[Precio_Unitario]]*Tabla24[[#This Row],[Unidades_Vendidas]]</f>
        <v>152904</v>
      </c>
      <c r="M1607" t="s">
        <v>20</v>
      </c>
    </row>
    <row r="1608" spans="1:13" x14ac:dyDescent="0.25">
      <c r="A1608" t="s">
        <v>249</v>
      </c>
      <c r="B1608" t="str">
        <f>TEXT(Tabla24[[#This Row],[Fecha]],"dddd")</f>
        <v>sábado</v>
      </c>
      <c r="C1608" t="str">
        <f>TEXT(Tabla24[[#This Row],[Fecha]],"mmmm")</f>
        <v>mayo</v>
      </c>
      <c r="D1608" t="str">
        <f>TEXT(Tabla24[[#This Row],[Fecha]],"aaaa")</f>
        <v>2024</v>
      </c>
      <c r="E1608" t="s">
        <v>11</v>
      </c>
      <c r="F1608" t="s">
        <v>12</v>
      </c>
      <c r="G1608" t="s">
        <v>24</v>
      </c>
      <c r="H1608" t="s">
        <v>35</v>
      </c>
      <c r="I1608" t="s">
        <v>40</v>
      </c>
      <c r="J1608">
        <v>6</v>
      </c>
      <c r="K1608">
        <v>53875</v>
      </c>
      <c r="L1608">
        <f>Tabla24[[#This Row],[Precio_Unitario]]*Tabla24[[#This Row],[Unidades_Vendidas]]</f>
        <v>323250</v>
      </c>
      <c r="M1608" t="s">
        <v>27</v>
      </c>
    </row>
    <row r="1609" spans="1:13" x14ac:dyDescent="0.25">
      <c r="A1609" t="s">
        <v>179</v>
      </c>
      <c r="B1609" t="str">
        <f>TEXT(Tabla24[[#This Row],[Fecha]],"dddd")</f>
        <v>jueves</v>
      </c>
      <c r="C1609" t="str">
        <f>TEXT(Tabla24[[#This Row],[Fecha]],"mmmm")</f>
        <v>febrero</v>
      </c>
      <c r="D1609" t="str">
        <f>TEXT(Tabla24[[#This Row],[Fecha]],"aaaa")</f>
        <v>2024</v>
      </c>
      <c r="E1609" t="s">
        <v>22</v>
      </c>
      <c r="F1609" t="s">
        <v>29</v>
      </c>
      <c r="G1609" t="s">
        <v>13</v>
      </c>
      <c r="H1609" t="s">
        <v>14</v>
      </c>
      <c r="I1609" t="s">
        <v>26</v>
      </c>
      <c r="J1609">
        <v>14</v>
      </c>
      <c r="K1609">
        <v>59076</v>
      </c>
      <c r="L1609">
        <f>Tabla24[[#This Row],[Precio_Unitario]]*Tabla24[[#This Row],[Unidades_Vendidas]]</f>
        <v>827064</v>
      </c>
      <c r="M1609" t="s">
        <v>16</v>
      </c>
    </row>
    <row r="1610" spans="1:13" x14ac:dyDescent="0.25">
      <c r="A1610" t="s">
        <v>94</v>
      </c>
      <c r="B1610" t="str">
        <f>TEXT(Tabla24[[#This Row],[Fecha]],"dddd")</f>
        <v>miércoles</v>
      </c>
      <c r="C1610" t="str">
        <f>TEXT(Tabla24[[#This Row],[Fecha]],"mmmm")</f>
        <v>mayo</v>
      </c>
      <c r="D1610" t="str">
        <f>TEXT(Tabla24[[#This Row],[Fecha]],"aaaa")</f>
        <v>2024</v>
      </c>
      <c r="E1610" t="s">
        <v>42</v>
      </c>
      <c r="F1610" t="s">
        <v>12</v>
      </c>
      <c r="G1610" t="s">
        <v>44</v>
      </c>
      <c r="H1610" t="s">
        <v>14</v>
      </c>
      <c r="I1610" t="s">
        <v>40</v>
      </c>
      <c r="J1610">
        <v>2</v>
      </c>
      <c r="K1610">
        <v>56747</v>
      </c>
      <c r="L1610">
        <f>Tabla24[[#This Row],[Precio_Unitario]]*Tabla24[[#This Row],[Unidades_Vendidas]]</f>
        <v>113494</v>
      </c>
      <c r="M1610" t="s">
        <v>36</v>
      </c>
    </row>
    <row r="1611" spans="1:13" x14ac:dyDescent="0.25">
      <c r="A1611" t="s">
        <v>136</v>
      </c>
      <c r="B1611" t="str">
        <f>TEXT(Tabla24[[#This Row],[Fecha]],"dddd")</f>
        <v>domingo</v>
      </c>
      <c r="C1611" t="str">
        <f>TEXT(Tabla24[[#This Row],[Fecha]],"mmmm")</f>
        <v>noviembre</v>
      </c>
      <c r="D1611" t="str">
        <f>TEXT(Tabla24[[#This Row],[Fecha]],"aaaa")</f>
        <v>2024</v>
      </c>
      <c r="E1611" t="s">
        <v>42</v>
      </c>
      <c r="F1611" t="s">
        <v>23</v>
      </c>
      <c r="G1611" t="s">
        <v>48</v>
      </c>
      <c r="H1611" t="s">
        <v>30</v>
      </c>
      <c r="I1611" t="s">
        <v>40</v>
      </c>
      <c r="J1611">
        <v>4</v>
      </c>
      <c r="K1611">
        <v>17867</v>
      </c>
      <c r="L1611">
        <f>Tabla24[[#This Row],[Precio_Unitario]]*Tabla24[[#This Row],[Unidades_Vendidas]]</f>
        <v>71468</v>
      </c>
      <c r="M1611" t="s">
        <v>27</v>
      </c>
    </row>
    <row r="1612" spans="1:13" x14ac:dyDescent="0.25">
      <c r="A1612" t="s">
        <v>297</v>
      </c>
      <c r="B1612" t="str">
        <f>TEXT(Tabla24[[#This Row],[Fecha]],"dddd")</f>
        <v>viernes</v>
      </c>
      <c r="C1612" t="str">
        <f>TEXT(Tabla24[[#This Row],[Fecha]],"mmmm")</f>
        <v>abril</v>
      </c>
      <c r="D1612" t="str">
        <f>TEXT(Tabla24[[#This Row],[Fecha]],"aaaa")</f>
        <v>2024</v>
      </c>
      <c r="E1612" t="s">
        <v>22</v>
      </c>
      <c r="F1612" t="s">
        <v>34</v>
      </c>
      <c r="G1612" t="s">
        <v>13</v>
      </c>
      <c r="H1612" t="s">
        <v>25</v>
      </c>
      <c r="I1612" t="s">
        <v>40</v>
      </c>
      <c r="J1612">
        <v>19</v>
      </c>
      <c r="K1612">
        <v>30681</v>
      </c>
      <c r="L1612">
        <f>Tabla24[[#This Row],[Precio_Unitario]]*Tabla24[[#This Row],[Unidades_Vendidas]]</f>
        <v>582939</v>
      </c>
      <c r="M1612" t="s">
        <v>16</v>
      </c>
    </row>
    <row r="1613" spans="1:13" x14ac:dyDescent="0.25">
      <c r="A1613" t="s">
        <v>119</v>
      </c>
      <c r="B1613" t="str">
        <f>TEXT(Tabla24[[#This Row],[Fecha]],"dddd")</f>
        <v>miércoles</v>
      </c>
      <c r="C1613" t="str">
        <f>TEXT(Tabla24[[#This Row],[Fecha]],"mmmm")</f>
        <v>julio</v>
      </c>
      <c r="D1613" t="str">
        <f>TEXT(Tabla24[[#This Row],[Fecha]],"aaaa")</f>
        <v>2024</v>
      </c>
      <c r="E1613" t="s">
        <v>18</v>
      </c>
      <c r="F1613" t="s">
        <v>23</v>
      </c>
      <c r="G1613" t="s">
        <v>39</v>
      </c>
      <c r="H1613" t="s">
        <v>19</v>
      </c>
      <c r="I1613" t="s">
        <v>26</v>
      </c>
      <c r="J1613">
        <v>1</v>
      </c>
      <c r="K1613">
        <v>35134</v>
      </c>
      <c r="L1613">
        <f>Tabla24[[#This Row],[Precio_Unitario]]*Tabla24[[#This Row],[Unidades_Vendidas]]</f>
        <v>35134</v>
      </c>
      <c r="M1613" t="s">
        <v>27</v>
      </c>
    </row>
    <row r="1614" spans="1:13" x14ac:dyDescent="0.25">
      <c r="A1614" t="s">
        <v>190</v>
      </c>
      <c r="B1614" t="str">
        <f>TEXT(Tabla24[[#This Row],[Fecha]],"dddd")</f>
        <v>sábado</v>
      </c>
      <c r="C1614" t="str">
        <f>TEXT(Tabla24[[#This Row],[Fecha]],"mmmm")</f>
        <v>agosto</v>
      </c>
      <c r="D1614" t="str">
        <f>TEXT(Tabla24[[#This Row],[Fecha]],"aaaa")</f>
        <v>2024</v>
      </c>
      <c r="E1614" t="s">
        <v>18</v>
      </c>
      <c r="F1614" t="s">
        <v>12</v>
      </c>
      <c r="G1614" t="s">
        <v>44</v>
      </c>
      <c r="H1614" t="s">
        <v>30</v>
      </c>
      <c r="I1614" t="s">
        <v>26</v>
      </c>
      <c r="J1614">
        <v>15</v>
      </c>
      <c r="K1614">
        <v>15807</v>
      </c>
      <c r="L1614">
        <f>Tabla24[[#This Row],[Precio_Unitario]]*Tabla24[[#This Row],[Unidades_Vendidas]]</f>
        <v>237105</v>
      </c>
      <c r="M1614" t="s">
        <v>20</v>
      </c>
    </row>
    <row r="1615" spans="1:13" x14ac:dyDescent="0.25">
      <c r="A1615" t="s">
        <v>136</v>
      </c>
      <c r="B1615" t="str">
        <f>TEXT(Tabla24[[#This Row],[Fecha]],"dddd")</f>
        <v>domingo</v>
      </c>
      <c r="C1615" t="str">
        <f>TEXT(Tabla24[[#This Row],[Fecha]],"mmmm")</f>
        <v>noviembre</v>
      </c>
      <c r="D1615" t="str">
        <f>TEXT(Tabla24[[#This Row],[Fecha]],"aaaa")</f>
        <v>2024</v>
      </c>
      <c r="E1615" t="s">
        <v>22</v>
      </c>
      <c r="F1615" t="s">
        <v>34</v>
      </c>
      <c r="G1615" t="s">
        <v>24</v>
      </c>
      <c r="H1615" t="s">
        <v>35</v>
      </c>
      <c r="I1615" t="s">
        <v>40</v>
      </c>
      <c r="J1615">
        <v>13</v>
      </c>
      <c r="K1615">
        <v>48338</v>
      </c>
      <c r="L1615">
        <f>Tabla24[[#This Row],[Precio_Unitario]]*Tabla24[[#This Row],[Unidades_Vendidas]]</f>
        <v>628394</v>
      </c>
      <c r="M1615" t="s">
        <v>20</v>
      </c>
    </row>
    <row r="1616" spans="1:13" x14ac:dyDescent="0.25">
      <c r="A1616" t="s">
        <v>89</v>
      </c>
      <c r="B1616" t="str">
        <f>TEXT(Tabla24[[#This Row],[Fecha]],"dddd")</f>
        <v>lunes</v>
      </c>
      <c r="C1616" t="str">
        <f>TEXT(Tabla24[[#This Row],[Fecha]],"mmmm")</f>
        <v>agosto</v>
      </c>
      <c r="D1616" t="str">
        <f>TEXT(Tabla24[[#This Row],[Fecha]],"aaaa")</f>
        <v>2024</v>
      </c>
      <c r="E1616" t="s">
        <v>18</v>
      </c>
      <c r="F1616" t="s">
        <v>23</v>
      </c>
      <c r="G1616" t="s">
        <v>39</v>
      </c>
      <c r="H1616" t="s">
        <v>25</v>
      </c>
      <c r="I1616" t="s">
        <v>40</v>
      </c>
      <c r="J1616">
        <v>3</v>
      </c>
      <c r="K1616">
        <v>50768</v>
      </c>
      <c r="L1616">
        <f>Tabla24[[#This Row],[Precio_Unitario]]*Tabla24[[#This Row],[Unidades_Vendidas]]</f>
        <v>152304</v>
      </c>
      <c r="M1616" t="s">
        <v>16</v>
      </c>
    </row>
    <row r="1617" spans="1:13" x14ac:dyDescent="0.25">
      <c r="A1617" t="s">
        <v>118</v>
      </c>
      <c r="B1617" t="str">
        <f>TEXT(Tabla24[[#This Row],[Fecha]],"dddd")</f>
        <v>jueves</v>
      </c>
      <c r="C1617" t="str">
        <f>TEXT(Tabla24[[#This Row],[Fecha]],"mmmm")</f>
        <v>enero</v>
      </c>
      <c r="D1617" t="str">
        <f>TEXT(Tabla24[[#This Row],[Fecha]],"aaaa")</f>
        <v>2024</v>
      </c>
      <c r="E1617" t="s">
        <v>22</v>
      </c>
      <c r="F1617" t="s">
        <v>12</v>
      </c>
      <c r="G1617" t="s">
        <v>24</v>
      </c>
      <c r="H1617" t="s">
        <v>30</v>
      </c>
      <c r="I1617" t="s">
        <v>40</v>
      </c>
      <c r="J1617">
        <v>3</v>
      </c>
      <c r="K1617">
        <v>34124</v>
      </c>
      <c r="L1617">
        <f>Tabla24[[#This Row],[Precio_Unitario]]*Tabla24[[#This Row],[Unidades_Vendidas]]</f>
        <v>102372</v>
      </c>
      <c r="M1617" t="s">
        <v>16</v>
      </c>
    </row>
    <row r="1618" spans="1:13" x14ac:dyDescent="0.25">
      <c r="A1618" t="s">
        <v>351</v>
      </c>
      <c r="B1618" t="str">
        <f>TEXT(Tabla24[[#This Row],[Fecha]],"dddd")</f>
        <v>lunes</v>
      </c>
      <c r="C1618" t="str">
        <f>TEXT(Tabla24[[#This Row],[Fecha]],"mmmm")</f>
        <v>abril</v>
      </c>
      <c r="D1618" t="str">
        <f>TEXT(Tabla24[[#This Row],[Fecha]],"aaaa")</f>
        <v>2024</v>
      </c>
      <c r="E1618" t="s">
        <v>22</v>
      </c>
      <c r="F1618" t="s">
        <v>23</v>
      </c>
      <c r="G1618" t="s">
        <v>24</v>
      </c>
      <c r="H1618" t="s">
        <v>30</v>
      </c>
      <c r="I1618" t="s">
        <v>15</v>
      </c>
      <c r="J1618">
        <v>1</v>
      </c>
      <c r="K1618">
        <v>15307</v>
      </c>
      <c r="L1618">
        <f>Tabla24[[#This Row],[Precio_Unitario]]*Tabla24[[#This Row],[Unidades_Vendidas]]</f>
        <v>15307</v>
      </c>
      <c r="M1618" t="s">
        <v>27</v>
      </c>
    </row>
    <row r="1619" spans="1:13" x14ac:dyDescent="0.25">
      <c r="A1619" t="s">
        <v>238</v>
      </c>
      <c r="B1619" t="str">
        <f>TEXT(Tabla24[[#This Row],[Fecha]],"dddd")</f>
        <v>miércoles</v>
      </c>
      <c r="C1619" t="str">
        <f>TEXT(Tabla24[[#This Row],[Fecha]],"mmmm")</f>
        <v>noviembre</v>
      </c>
      <c r="D1619" t="str">
        <f>TEXT(Tabla24[[#This Row],[Fecha]],"aaaa")</f>
        <v>2024</v>
      </c>
      <c r="E1619" t="s">
        <v>11</v>
      </c>
      <c r="F1619" t="s">
        <v>38</v>
      </c>
      <c r="G1619" t="s">
        <v>48</v>
      </c>
      <c r="H1619" t="s">
        <v>30</v>
      </c>
      <c r="I1619" t="s">
        <v>40</v>
      </c>
      <c r="J1619">
        <v>7</v>
      </c>
      <c r="K1619">
        <v>29770</v>
      </c>
      <c r="L1619">
        <f>Tabla24[[#This Row],[Precio_Unitario]]*Tabla24[[#This Row],[Unidades_Vendidas]]</f>
        <v>208390</v>
      </c>
      <c r="M1619" t="s">
        <v>27</v>
      </c>
    </row>
    <row r="1620" spans="1:13" x14ac:dyDescent="0.25">
      <c r="A1620" t="s">
        <v>115</v>
      </c>
      <c r="B1620" t="str">
        <f>TEXT(Tabla24[[#This Row],[Fecha]],"dddd")</f>
        <v>lunes</v>
      </c>
      <c r="C1620" t="str">
        <f>TEXT(Tabla24[[#This Row],[Fecha]],"mmmm")</f>
        <v>agosto</v>
      </c>
      <c r="D1620" t="str">
        <f>TEXT(Tabla24[[#This Row],[Fecha]],"aaaa")</f>
        <v>2024</v>
      </c>
      <c r="E1620" t="s">
        <v>18</v>
      </c>
      <c r="F1620" t="s">
        <v>12</v>
      </c>
      <c r="G1620" t="s">
        <v>44</v>
      </c>
      <c r="H1620" t="s">
        <v>30</v>
      </c>
      <c r="I1620" t="s">
        <v>15</v>
      </c>
      <c r="J1620">
        <v>10</v>
      </c>
      <c r="K1620">
        <v>55871</v>
      </c>
      <c r="L1620">
        <f>Tabla24[[#This Row],[Precio_Unitario]]*Tabla24[[#This Row],[Unidades_Vendidas]]</f>
        <v>558710</v>
      </c>
      <c r="M1620" t="s">
        <v>36</v>
      </c>
    </row>
    <row r="1621" spans="1:13" x14ac:dyDescent="0.25">
      <c r="A1621" t="s">
        <v>370</v>
      </c>
      <c r="B1621" t="str">
        <f>TEXT(Tabla24[[#This Row],[Fecha]],"dddd")</f>
        <v>viernes</v>
      </c>
      <c r="C1621" t="str">
        <f>TEXT(Tabla24[[#This Row],[Fecha]],"mmmm")</f>
        <v>julio</v>
      </c>
      <c r="D1621" t="str">
        <f>TEXT(Tabla24[[#This Row],[Fecha]],"aaaa")</f>
        <v>2024</v>
      </c>
      <c r="E1621" t="s">
        <v>42</v>
      </c>
      <c r="F1621" t="s">
        <v>29</v>
      </c>
      <c r="G1621" t="s">
        <v>48</v>
      </c>
      <c r="H1621" t="s">
        <v>35</v>
      </c>
      <c r="I1621" t="s">
        <v>15</v>
      </c>
      <c r="J1621">
        <v>15</v>
      </c>
      <c r="K1621">
        <v>32036</v>
      </c>
      <c r="L1621">
        <f>Tabla24[[#This Row],[Precio_Unitario]]*Tabla24[[#This Row],[Unidades_Vendidas]]</f>
        <v>480540</v>
      </c>
      <c r="M1621" t="s">
        <v>27</v>
      </c>
    </row>
    <row r="1622" spans="1:13" x14ac:dyDescent="0.25">
      <c r="A1622" t="s">
        <v>215</v>
      </c>
      <c r="B1622" t="str">
        <f>TEXT(Tabla24[[#This Row],[Fecha]],"dddd")</f>
        <v>domingo</v>
      </c>
      <c r="C1622" t="str">
        <f>TEXT(Tabla24[[#This Row],[Fecha]],"mmmm")</f>
        <v>mayo</v>
      </c>
      <c r="D1622" t="str">
        <f>TEXT(Tabla24[[#This Row],[Fecha]],"aaaa")</f>
        <v>2024</v>
      </c>
      <c r="E1622" t="s">
        <v>18</v>
      </c>
      <c r="F1622" t="s">
        <v>29</v>
      </c>
      <c r="G1622" t="s">
        <v>48</v>
      </c>
      <c r="H1622" t="s">
        <v>14</v>
      </c>
      <c r="I1622" t="s">
        <v>15</v>
      </c>
      <c r="J1622">
        <v>6</v>
      </c>
      <c r="K1622">
        <v>51765</v>
      </c>
      <c r="L1622">
        <f>Tabla24[[#This Row],[Precio_Unitario]]*Tabla24[[#This Row],[Unidades_Vendidas]]</f>
        <v>310590</v>
      </c>
      <c r="M1622" t="s">
        <v>20</v>
      </c>
    </row>
    <row r="1623" spans="1:13" x14ac:dyDescent="0.25">
      <c r="A1623" t="s">
        <v>46</v>
      </c>
      <c r="B1623" t="str">
        <f>TEXT(Tabla24[[#This Row],[Fecha]],"dddd")</f>
        <v>miércoles</v>
      </c>
      <c r="C1623" t="str">
        <f>TEXT(Tabla24[[#This Row],[Fecha]],"mmmm")</f>
        <v>marzo</v>
      </c>
      <c r="D1623" t="str">
        <f>TEXT(Tabla24[[#This Row],[Fecha]],"aaaa")</f>
        <v>2024</v>
      </c>
      <c r="E1623" t="s">
        <v>22</v>
      </c>
      <c r="F1623" t="s">
        <v>12</v>
      </c>
      <c r="G1623" t="s">
        <v>44</v>
      </c>
      <c r="H1623" t="s">
        <v>25</v>
      </c>
      <c r="I1623" t="s">
        <v>40</v>
      </c>
      <c r="J1623">
        <v>16</v>
      </c>
      <c r="K1623">
        <v>50892</v>
      </c>
      <c r="L1623">
        <f>Tabla24[[#This Row],[Precio_Unitario]]*Tabla24[[#This Row],[Unidades_Vendidas]]</f>
        <v>814272</v>
      </c>
      <c r="M1623" t="s">
        <v>36</v>
      </c>
    </row>
    <row r="1624" spans="1:13" x14ac:dyDescent="0.25">
      <c r="A1624" t="s">
        <v>324</v>
      </c>
      <c r="B1624" t="str">
        <f>TEXT(Tabla24[[#This Row],[Fecha]],"dddd")</f>
        <v>martes</v>
      </c>
      <c r="C1624" t="str">
        <f>TEXT(Tabla24[[#This Row],[Fecha]],"mmmm")</f>
        <v>marzo</v>
      </c>
      <c r="D1624" t="str">
        <f>TEXT(Tabla24[[#This Row],[Fecha]],"aaaa")</f>
        <v>2024</v>
      </c>
      <c r="E1624" t="s">
        <v>33</v>
      </c>
      <c r="F1624" t="s">
        <v>23</v>
      </c>
      <c r="G1624" t="s">
        <v>48</v>
      </c>
      <c r="H1624" t="s">
        <v>14</v>
      </c>
      <c r="I1624" t="s">
        <v>15</v>
      </c>
      <c r="J1624">
        <v>11</v>
      </c>
      <c r="K1624">
        <v>16828</v>
      </c>
      <c r="L1624">
        <f>Tabla24[[#This Row],[Precio_Unitario]]*Tabla24[[#This Row],[Unidades_Vendidas]]</f>
        <v>185108</v>
      </c>
      <c r="M1624" t="s">
        <v>20</v>
      </c>
    </row>
    <row r="1625" spans="1:13" x14ac:dyDescent="0.25">
      <c r="A1625" t="s">
        <v>216</v>
      </c>
      <c r="B1625" t="str">
        <f>TEXT(Tabla24[[#This Row],[Fecha]],"dddd")</f>
        <v>martes</v>
      </c>
      <c r="C1625" t="str">
        <f>TEXT(Tabla24[[#This Row],[Fecha]],"mmmm")</f>
        <v>mayo</v>
      </c>
      <c r="D1625" t="str">
        <f>TEXT(Tabla24[[#This Row],[Fecha]],"aaaa")</f>
        <v>2024</v>
      </c>
      <c r="E1625" t="s">
        <v>33</v>
      </c>
      <c r="F1625" t="s">
        <v>12</v>
      </c>
      <c r="G1625" t="s">
        <v>24</v>
      </c>
      <c r="H1625" t="s">
        <v>25</v>
      </c>
      <c r="I1625" t="s">
        <v>40</v>
      </c>
      <c r="J1625">
        <v>16</v>
      </c>
      <c r="K1625">
        <v>29083</v>
      </c>
      <c r="L1625">
        <f>Tabla24[[#This Row],[Precio_Unitario]]*Tabla24[[#This Row],[Unidades_Vendidas]]</f>
        <v>465328</v>
      </c>
      <c r="M1625" t="s">
        <v>20</v>
      </c>
    </row>
    <row r="1626" spans="1:13" x14ac:dyDescent="0.25">
      <c r="A1626" t="s">
        <v>158</v>
      </c>
      <c r="B1626" t="str">
        <f>TEXT(Tabla24[[#This Row],[Fecha]],"dddd")</f>
        <v>viernes</v>
      </c>
      <c r="C1626" t="str">
        <f>TEXT(Tabla24[[#This Row],[Fecha]],"mmmm")</f>
        <v>enero</v>
      </c>
      <c r="D1626" t="str">
        <f>TEXT(Tabla24[[#This Row],[Fecha]],"aaaa")</f>
        <v>2024</v>
      </c>
      <c r="E1626" t="s">
        <v>33</v>
      </c>
      <c r="F1626" t="s">
        <v>12</v>
      </c>
      <c r="G1626" t="s">
        <v>39</v>
      </c>
      <c r="H1626" t="s">
        <v>19</v>
      </c>
      <c r="I1626" t="s">
        <v>26</v>
      </c>
      <c r="J1626">
        <v>4</v>
      </c>
      <c r="K1626">
        <v>22910</v>
      </c>
      <c r="L1626">
        <f>Tabla24[[#This Row],[Precio_Unitario]]*Tabla24[[#This Row],[Unidades_Vendidas]]</f>
        <v>91640</v>
      </c>
      <c r="M1626" t="s">
        <v>20</v>
      </c>
    </row>
    <row r="1627" spans="1:13" x14ac:dyDescent="0.25">
      <c r="A1627" t="s">
        <v>397</v>
      </c>
      <c r="B1627" t="str">
        <f>TEXT(Tabla24[[#This Row],[Fecha]],"dddd")</f>
        <v>martes</v>
      </c>
      <c r="C1627" t="str">
        <f>TEXT(Tabla24[[#This Row],[Fecha]],"mmmm")</f>
        <v>julio</v>
      </c>
      <c r="D1627" t="str">
        <f>TEXT(Tabla24[[#This Row],[Fecha]],"aaaa")</f>
        <v>2024</v>
      </c>
      <c r="E1627" t="s">
        <v>22</v>
      </c>
      <c r="F1627" t="s">
        <v>38</v>
      </c>
      <c r="G1627" t="s">
        <v>48</v>
      </c>
      <c r="H1627" t="s">
        <v>25</v>
      </c>
      <c r="I1627" t="s">
        <v>15</v>
      </c>
      <c r="J1627">
        <v>13</v>
      </c>
      <c r="K1627">
        <v>26761</v>
      </c>
      <c r="L1627">
        <f>Tabla24[[#This Row],[Precio_Unitario]]*Tabla24[[#This Row],[Unidades_Vendidas]]</f>
        <v>347893</v>
      </c>
      <c r="M1627" t="s">
        <v>20</v>
      </c>
    </row>
    <row r="1628" spans="1:13" x14ac:dyDescent="0.25">
      <c r="A1628" t="s">
        <v>257</v>
      </c>
      <c r="B1628" t="str">
        <f>TEXT(Tabla24[[#This Row],[Fecha]],"dddd")</f>
        <v>viernes</v>
      </c>
      <c r="C1628" t="str">
        <f>TEXT(Tabla24[[#This Row],[Fecha]],"mmmm")</f>
        <v>marzo</v>
      </c>
      <c r="D1628" t="str">
        <f>TEXT(Tabla24[[#This Row],[Fecha]],"aaaa")</f>
        <v>2024</v>
      </c>
      <c r="E1628" t="s">
        <v>42</v>
      </c>
      <c r="F1628" t="s">
        <v>29</v>
      </c>
      <c r="G1628" t="s">
        <v>48</v>
      </c>
      <c r="H1628" t="s">
        <v>35</v>
      </c>
      <c r="I1628" t="s">
        <v>40</v>
      </c>
      <c r="J1628">
        <v>9</v>
      </c>
      <c r="K1628">
        <v>15982</v>
      </c>
      <c r="L1628">
        <f>Tabla24[[#This Row],[Precio_Unitario]]*Tabla24[[#This Row],[Unidades_Vendidas]]</f>
        <v>143838</v>
      </c>
      <c r="M1628" t="s">
        <v>16</v>
      </c>
    </row>
    <row r="1629" spans="1:13" x14ac:dyDescent="0.25">
      <c r="A1629" t="s">
        <v>117</v>
      </c>
      <c r="B1629" t="str">
        <f>TEXT(Tabla24[[#This Row],[Fecha]],"dddd")</f>
        <v>domingo</v>
      </c>
      <c r="C1629" t="str">
        <f>TEXT(Tabla24[[#This Row],[Fecha]],"mmmm")</f>
        <v>enero</v>
      </c>
      <c r="D1629" t="str">
        <f>TEXT(Tabla24[[#This Row],[Fecha]],"aaaa")</f>
        <v>2024</v>
      </c>
      <c r="E1629" t="s">
        <v>42</v>
      </c>
      <c r="F1629" t="s">
        <v>38</v>
      </c>
      <c r="G1629" t="s">
        <v>13</v>
      </c>
      <c r="H1629" t="s">
        <v>25</v>
      </c>
      <c r="I1629" t="s">
        <v>26</v>
      </c>
      <c r="J1629">
        <v>6</v>
      </c>
      <c r="K1629">
        <v>22286</v>
      </c>
      <c r="L1629">
        <f>Tabla24[[#This Row],[Precio_Unitario]]*Tabla24[[#This Row],[Unidades_Vendidas]]</f>
        <v>133716</v>
      </c>
      <c r="M1629" t="s">
        <v>36</v>
      </c>
    </row>
    <row r="1630" spans="1:13" x14ac:dyDescent="0.25">
      <c r="A1630" t="s">
        <v>266</v>
      </c>
      <c r="B1630" t="str">
        <f>TEXT(Tabla24[[#This Row],[Fecha]],"dddd")</f>
        <v>miércoles</v>
      </c>
      <c r="C1630" t="str">
        <f>TEXT(Tabla24[[#This Row],[Fecha]],"mmmm")</f>
        <v>octubre</v>
      </c>
      <c r="D1630" t="str">
        <f>TEXT(Tabla24[[#This Row],[Fecha]],"aaaa")</f>
        <v>2024</v>
      </c>
      <c r="E1630" t="s">
        <v>33</v>
      </c>
      <c r="F1630" t="s">
        <v>29</v>
      </c>
      <c r="G1630" t="s">
        <v>48</v>
      </c>
      <c r="H1630" t="s">
        <v>19</v>
      </c>
      <c r="I1630" t="s">
        <v>40</v>
      </c>
      <c r="J1630">
        <v>14</v>
      </c>
      <c r="K1630">
        <v>45913</v>
      </c>
      <c r="L1630">
        <f>Tabla24[[#This Row],[Precio_Unitario]]*Tabla24[[#This Row],[Unidades_Vendidas]]</f>
        <v>642782</v>
      </c>
      <c r="M1630" t="s">
        <v>16</v>
      </c>
    </row>
    <row r="1631" spans="1:13" x14ac:dyDescent="0.25">
      <c r="A1631" t="s">
        <v>251</v>
      </c>
      <c r="B1631" t="str">
        <f>TEXT(Tabla24[[#This Row],[Fecha]],"dddd")</f>
        <v>domingo</v>
      </c>
      <c r="C1631" t="str">
        <f>TEXT(Tabla24[[#This Row],[Fecha]],"mmmm")</f>
        <v>febrero</v>
      </c>
      <c r="D1631" t="str">
        <f>TEXT(Tabla24[[#This Row],[Fecha]],"aaaa")</f>
        <v>2024</v>
      </c>
      <c r="E1631" t="s">
        <v>22</v>
      </c>
      <c r="F1631" t="s">
        <v>29</v>
      </c>
      <c r="G1631" t="s">
        <v>24</v>
      </c>
      <c r="H1631" t="s">
        <v>30</v>
      </c>
      <c r="I1631" t="s">
        <v>40</v>
      </c>
      <c r="J1631">
        <v>19</v>
      </c>
      <c r="K1631">
        <v>17844</v>
      </c>
      <c r="L1631">
        <f>Tabla24[[#This Row],[Precio_Unitario]]*Tabla24[[#This Row],[Unidades_Vendidas]]</f>
        <v>339036</v>
      </c>
      <c r="M1631" t="s">
        <v>20</v>
      </c>
    </row>
    <row r="1632" spans="1:13" x14ac:dyDescent="0.25">
      <c r="A1632" t="s">
        <v>207</v>
      </c>
      <c r="B1632" t="str">
        <f>TEXT(Tabla24[[#This Row],[Fecha]],"dddd")</f>
        <v>sábado</v>
      </c>
      <c r="C1632" t="str">
        <f>TEXT(Tabla24[[#This Row],[Fecha]],"mmmm")</f>
        <v>abril</v>
      </c>
      <c r="D1632" t="str">
        <f>TEXT(Tabla24[[#This Row],[Fecha]],"aaaa")</f>
        <v>2024</v>
      </c>
      <c r="E1632" t="s">
        <v>33</v>
      </c>
      <c r="F1632" t="s">
        <v>34</v>
      </c>
      <c r="G1632" t="s">
        <v>24</v>
      </c>
      <c r="H1632" t="s">
        <v>14</v>
      </c>
      <c r="I1632" t="s">
        <v>40</v>
      </c>
      <c r="J1632">
        <v>20</v>
      </c>
      <c r="K1632">
        <v>57220</v>
      </c>
      <c r="L1632">
        <f>Tabla24[[#This Row],[Precio_Unitario]]*Tabla24[[#This Row],[Unidades_Vendidas]]</f>
        <v>1144400</v>
      </c>
      <c r="M1632" t="s">
        <v>27</v>
      </c>
    </row>
    <row r="1633" spans="1:13" x14ac:dyDescent="0.25">
      <c r="A1633" t="s">
        <v>343</v>
      </c>
      <c r="B1633" t="str">
        <f>TEXT(Tabla24[[#This Row],[Fecha]],"dddd")</f>
        <v>lunes</v>
      </c>
      <c r="C1633" t="str">
        <f>TEXT(Tabla24[[#This Row],[Fecha]],"mmmm")</f>
        <v>diciembre</v>
      </c>
      <c r="D1633" t="str">
        <f>TEXT(Tabla24[[#This Row],[Fecha]],"aaaa")</f>
        <v>2024</v>
      </c>
      <c r="E1633" t="s">
        <v>18</v>
      </c>
      <c r="F1633" t="s">
        <v>12</v>
      </c>
      <c r="G1633" t="s">
        <v>13</v>
      </c>
      <c r="H1633" t="s">
        <v>35</v>
      </c>
      <c r="I1633" t="s">
        <v>15</v>
      </c>
      <c r="J1633">
        <v>8</v>
      </c>
      <c r="K1633">
        <v>53994</v>
      </c>
      <c r="L1633">
        <f>Tabla24[[#This Row],[Precio_Unitario]]*Tabla24[[#This Row],[Unidades_Vendidas]]</f>
        <v>431952</v>
      </c>
      <c r="M1633" t="s">
        <v>16</v>
      </c>
    </row>
    <row r="1634" spans="1:13" x14ac:dyDescent="0.25">
      <c r="A1634" t="s">
        <v>157</v>
      </c>
      <c r="B1634" t="str">
        <f>TEXT(Tabla24[[#This Row],[Fecha]],"dddd")</f>
        <v>viernes</v>
      </c>
      <c r="C1634" t="str">
        <f>TEXT(Tabla24[[#This Row],[Fecha]],"mmmm")</f>
        <v>septiembre</v>
      </c>
      <c r="D1634" t="str">
        <f>TEXT(Tabla24[[#This Row],[Fecha]],"aaaa")</f>
        <v>2024</v>
      </c>
      <c r="E1634" t="s">
        <v>11</v>
      </c>
      <c r="F1634" t="s">
        <v>34</v>
      </c>
      <c r="G1634" t="s">
        <v>39</v>
      </c>
      <c r="H1634" t="s">
        <v>25</v>
      </c>
      <c r="I1634" t="s">
        <v>26</v>
      </c>
      <c r="J1634">
        <v>16</v>
      </c>
      <c r="K1634">
        <v>23969</v>
      </c>
      <c r="L1634">
        <f>Tabla24[[#This Row],[Precio_Unitario]]*Tabla24[[#This Row],[Unidades_Vendidas]]</f>
        <v>383504</v>
      </c>
      <c r="M1634" t="s">
        <v>16</v>
      </c>
    </row>
    <row r="1635" spans="1:13" x14ac:dyDescent="0.25">
      <c r="A1635" t="s">
        <v>256</v>
      </c>
      <c r="B1635" t="str">
        <f>TEXT(Tabla24[[#This Row],[Fecha]],"dddd")</f>
        <v>martes</v>
      </c>
      <c r="C1635" t="str">
        <f>TEXT(Tabla24[[#This Row],[Fecha]],"mmmm")</f>
        <v>noviembre</v>
      </c>
      <c r="D1635" t="str">
        <f>TEXT(Tabla24[[#This Row],[Fecha]],"aaaa")</f>
        <v>2024</v>
      </c>
      <c r="E1635" t="s">
        <v>33</v>
      </c>
      <c r="F1635" t="s">
        <v>12</v>
      </c>
      <c r="G1635" t="s">
        <v>13</v>
      </c>
      <c r="H1635" t="s">
        <v>35</v>
      </c>
      <c r="I1635" t="s">
        <v>26</v>
      </c>
      <c r="J1635">
        <v>8</v>
      </c>
      <c r="K1635">
        <v>36139</v>
      </c>
      <c r="L1635">
        <f>Tabla24[[#This Row],[Precio_Unitario]]*Tabla24[[#This Row],[Unidades_Vendidas]]</f>
        <v>289112</v>
      </c>
      <c r="M1635" t="s">
        <v>36</v>
      </c>
    </row>
    <row r="1636" spans="1:13" x14ac:dyDescent="0.25">
      <c r="A1636" t="s">
        <v>86</v>
      </c>
      <c r="B1636" t="str">
        <f>TEXT(Tabla24[[#This Row],[Fecha]],"dddd")</f>
        <v>miércoles</v>
      </c>
      <c r="C1636" t="str">
        <f>TEXT(Tabla24[[#This Row],[Fecha]],"mmmm")</f>
        <v>julio</v>
      </c>
      <c r="D1636" t="str">
        <f>TEXT(Tabla24[[#This Row],[Fecha]],"aaaa")</f>
        <v>2024</v>
      </c>
      <c r="E1636" t="s">
        <v>22</v>
      </c>
      <c r="F1636" t="s">
        <v>23</v>
      </c>
      <c r="G1636" t="s">
        <v>13</v>
      </c>
      <c r="H1636" t="s">
        <v>35</v>
      </c>
      <c r="I1636" t="s">
        <v>26</v>
      </c>
      <c r="J1636">
        <v>14</v>
      </c>
      <c r="K1636">
        <v>43640</v>
      </c>
      <c r="L1636">
        <f>Tabla24[[#This Row],[Precio_Unitario]]*Tabla24[[#This Row],[Unidades_Vendidas]]</f>
        <v>610960</v>
      </c>
      <c r="M1636" t="s">
        <v>36</v>
      </c>
    </row>
    <row r="1637" spans="1:13" x14ac:dyDescent="0.25">
      <c r="A1637" t="s">
        <v>275</v>
      </c>
      <c r="B1637" t="str">
        <f>TEXT(Tabla24[[#This Row],[Fecha]],"dddd")</f>
        <v>miércoles</v>
      </c>
      <c r="C1637" t="str">
        <f>TEXT(Tabla24[[#This Row],[Fecha]],"mmmm")</f>
        <v>julio</v>
      </c>
      <c r="D1637" t="str">
        <f>TEXT(Tabla24[[#This Row],[Fecha]],"aaaa")</f>
        <v>2024</v>
      </c>
      <c r="E1637" t="s">
        <v>11</v>
      </c>
      <c r="F1637" t="s">
        <v>38</v>
      </c>
      <c r="G1637" t="s">
        <v>39</v>
      </c>
      <c r="H1637" t="s">
        <v>14</v>
      </c>
      <c r="I1637" t="s">
        <v>40</v>
      </c>
      <c r="J1637">
        <v>1</v>
      </c>
      <c r="K1637">
        <v>18068</v>
      </c>
      <c r="L1637">
        <f>Tabla24[[#This Row],[Precio_Unitario]]*Tabla24[[#This Row],[Unidades_Vendidas]]</f>
        <v>18068</v>
      </c>
      <c r="M1637" t="s">
        <v>16</v>
      </c>
    </row>
    <row r="1638" spans="1:13" x14ac:dyDescent="0.25">
      <c r="A1638" t="s">
        <v>303</v>
      </c>
      <c r="B1638" t="str">
        <f>TEXT(Tabla24[[#This Row],[Fecha]],"dddd")</f>
        <v>miércoles</v>
      </c>
      <c r="C1638" t="str">
        <f>TEXT(Tabla24[[#This Row],[Fecha]],"mmmm")</f>
        <v>octubre</v>
      </c>
      <c r="D1638" t="str">
        <f>TEXT(Tabla24[[#This Row],[Fecha]],"aaaa")</f>
        <v>2024</v>
      </c>
      <c r="E1638" t="s">
        <v>11</v>
      </c>
      <c r="F1638" t="s">
        <v>38</v>
      </c>
      <c r="G1638" t="s">
        <v>39</v>
      </c>
      <c r="H1638" t="s">
        <v>35</v>
      </c>
      <c r="I1638" t="s">
        <v>40</v>
      </c>
      <c r="J1638">
        <v>7</v>
      </c>
      <c r="K1638">
        <v>41742</v>
      </c>
      <c r="L1638">
        <f>Tabla24[[#This Row],[Precio_Unitario]]*Tabla24[[#This Row],[Unidades_Vendidas]]</f>
        <v>292194</v>
      </c>
      <c r="M1638" t="s">
        <v>36</v>
      </c>
    </row>
    <row r="1639" spans="1:13" x14ac:dyDescent="0.25">
      <c r="A1639" t="s">
        <v>68</v>
      </c>
      <c r="B1639" t="str">
        <f>TEXT(Tabla24[[#This Row],[Fecha]],"dddd")</f>
        <v>viernes</v>
      </c>
      <c r="C1639" t="str">
        <f>TEXT(Tabla24[[#This Row],[Fecha]],"mmmm")</f>
        <v>diciembre</v>
      </c>
      <c r="D1639" t="str">
        <f>TEXT(Tabla24[[#This Row],[Fecha]],"aaaa")</f>
        <v>2024</v>
      </c>
      <c r="E1639" t="s">
        <v>22</v>
      </c>
      <c r="F1639" t="s">
        <v>38</v>
      </c>
      <c r="G1639" t="s">
        <v>48</v>
      </c>
      <c r="H1639" t="s">
        <v>35</v>
      </c>
      <c r="I1639" t="s">
        <v>26</v>
      </c>
      <c r="J1639">
        <v>7</v>
      </c>
      <c r="K1639">
        <v>21230</v>
      </c>
      <c r="L1639">
        <f>Tabla24[[#This Row],[Precio_Unitario]]*Tabla24[[#This Row],[Unidades_Vendidas]]</f>
        <v>148610</v>
      </c>
      <c r="M1639" t="s">
        <v>20</v>
      </c>
    </row>
    <row r="1640" spans="1:13" x14ac:dyDescent="0.25">
      <c r="A1640" t="s">
        <v>387</v>
      </c>
      <c r="B1640" t="str">
        <f>TEXT(Tabla24[[#This Row],[Fecha]],"dddd")</f>
        <v>jueves</v>
      </c>
      <c r="C1640" t="str">
        <f>TEXT(Tabla24[[#This Row],[Fecha]],"mmmm")</f>
        <v>octubre</v>
      </c>
      <c r="D1640" t="str">
        <f>TEXT(Tabla24[[#This Row],[Fecha]],"aaaa")</f>
        <v>2024</v>
      </c>
      <c r="E1640" t="s">
        <v>11</v>
      </c>
      <c r="F1640" t="s">
        <v>29</v>
      </c>
      <c r="G1640" t="s">
        <v>44</v>
      </c>
      <c r="H1640" t="s">
        <v>30</v>
      </c>
      <c r="I1640" t="s">
        <v>26</v>
      </c>
      <c r="J1640">
        <v>18</v>
      </c>
      <c r="K1640">
        <v>24896</v>
      </c>
      <c r="L1640">
        <f>Tabla24[[#This Row],[Precio_Unitario]]*Tabla24[[#This Row],[Unidades_Vendidas]]</f>
        <v>448128</v>
      </c>
      <c r="M1640" t="s">
        <v>16</v>
      </c>
    </row>
    <row r="1641" spans="1:13" x14ac:dyDescent="0.25">
      <c r="A1641" t="s">
        <v>183</v>
      </c>
      <c r="B1641" t="str">
        <f>TEXT(Tabla24[[#This Row],[Fecha]],"dddd")</f>
        <v>sábado</v>
      </c>
      <c r="C1641" t="str">
        <f>TEXT(Tabla24[[#This Row],[Fecha]],"mmmm")</f>
        <v>noviembre</v>
      </c>
      <c r="D1641" t="str">
        <f>TEXT(Tabla24[[#This Row],[Fecha]],"aaaa")</f>
        <v>2024</v>
      </c>
      <c r="E1641" t="s">
        <v>11</v>
      </c>
      <c r="F1641" t="s">
        <v>29</v>
      </c>
      <c r="G1641" t="s">
        <v>24</v>
      </c>
      <c r="H1641" t="s">
        <v>30</v>
      </c>
      <c r="I1641" t="s">
        <v>26</v>
      </c>
      <c r="J1641">
        <v>15</v>
      </c>
      <c r="K1641">
        <v>34546</v>
      </c>
      <c r="L1641">
        <f>Tabla24[[#This Row],[Precio_Unitario]]*Tabla24[[#This Row],[Unidades_Vendidas]]</f>
        <v>518190</v>
      </c>
      <c r="M1641" t="s">
        <v>27</v>
      </c>
    </row>
    <row r="1642" spans="1:13" x14ac:dyDescent="0.25">
      <c r="A1642" t="s">
        <v>237</v>
      </c>
      <c r="B1642" t="str">
        <f>TEXT(Tabla24[[#This Row],[Fecha]],"dddd")</f>
        <v>domingo</v>
      </c>
      <c r="C1642" t="str">
        <f>TEXT(Tabla24[[#This Row],[Fecha]],"mmmm")</f>
        <v>noviembre</v>
      </c>
      <c r="D1642" t="str">
        <f>TEXT(Tabla24[[#This Row],[Fecha]],"aaaa")</f>
        <v>2024</v>
      </c>
      <c r="E1642" t="s">
        <v>11</v>
      </c>
      <c r="F1642" t="s">
        <v>12</v>
      </c>
      <c r="G1642" t="s">
        <v>48</v>
      </c>
      <c r="H1642" t="s">
        <v>30</v>
      </c>
      <c r="I1642" t="s">
        <v>26</v>
      </c>
      <c r="J1642">
        <v>7</v>
      </c>
      <c r="K1642">
        <v>57840</v>
      </c>
      <c r="L1642">
        <f>Tabla24[[#This Row],[Precio_Unitario]]*Tabla24[[#This Row],[Unidades_Vendidas]]</f>
        <v>404880</v>
      </c>
      <c r="M1642" t="s">
        <v>27</v>
      </c>
    </row>
    <row r="1643" spans="1:13" x14ac:dyDescent="0.25">
      <c r="A1643" t="s">
        <v>240</v>
      </c>
      <c r="B1643" t="str">
        <f>TEXT(Tabla24[[#This Row],[Fecha]],"dddd")</f>
        <v>lunes</v>
      </c>
      <c r="C1643" t="str">
        <f>TEXT(Tabla24[[#This Row],[Fecha]],"mmmm")</f>
        <v>diciembre</v>
      </c>
      <c r="D1643" t="str">
        <f>TEXT(Tabla24[[#This Row],[Fecha]],"aaaa")</f>
        <v>2024</v>
      </c>
      <c r="E1643" t="s">
        <v>42</v>
      </c>
      <c r="F1643" t="s">
        <v>23</v>
      </c>
      <c r="G1643" t="s">
        <v>44</v>
      </c>
      <c r="H1643" t="s">
        <v>30</v>
      </c>
      <c r="I1643" t="s">
        <v>40</v>
      </c>
      <c r="J1643">
        <v>16</v>
      </c>
      <c r="K1643">
        <v>40809</v>
      </c>
      <c r="L1643">
        <f>Tabla24[[#This Row],[Precio_Unitario]]*Tabla24[[#This Row],[Unidades_Vendidas]]</f>
        <v>652944</v>
      </c>
      <c r="M1643" t="s">
        <v>27</v>
      </c>
    </row>
    <row r="1644" spans="1:13" x14ac:dyDescent="0.25">
      <c r="A1644" t="s">
        <v>82</v>
      </c>
      <c r="B1644" t="str">
        <f>TEXT(Tabla24[[#This Row],[Fecha]],"dddd")</f>
        <v>viernes</v>
      </c>
      <c r="C1644" t="str">
        <f>TEXT(Tabla24[[#This Row],[Fecha]],"mmmm")</f>
        <v>junio</v>
      </c>
      <c r="D1644" t="str">
        <f>TEXT(Tabla24[[#This Row],[Fecha]],"aaaa")</f>
        <v>2024</v>
      </c>
      <c r="E1644" t="s">
        <v>42</v>
      </c>
      <c r="F1644" t="s">
        <v>29</v>
      </c>
      <c r="G1644" t="s">
        <v>39</v>
      </c>
      <c r="H1644" t="s">
        <v>25</v>
      </c>
      <c r="I1644" t="s">
        <v>40</v>
      </c>
      <c r="J1644">
        <v>5</v>
      </c>
      <c r="K1644">
        <v>46575</v>
      </c>
      <c r="L1644">
        <f>Tabla24[[#This Row],[Precio_Unitario]]*Tabla24[[#This Row],[Unidades_Vendidas]]</f>
        <v>232875</v>
      </c>
      <c r="M1644" t="s">
        <v>27</v>
      </c>
    </row>
    <row r="1645" spans="1:13" x14ac:dyDescent="0.25">
      <c r="A1645" t="s">
        <v>194</v>
      </c>
      <c r="B1645" t="str">
        <f>TEXT(Tabla24[[#This Row],[Fecha]],"dddd")</f>
        <v>jueves</v>
      </c>
      <c r="C1645" t="str">
        <f>TEXT(Tabla24[[#This Row],[Fecha]],"mmmm")</f>
        <v>noviembre</v>
      </c>
      <c r="D1645" t="str">
        <f>TEXT(Tabla24[[#This Row],[Fecha]],"aaaa")</f>
        <v>2024</v>
      </c>
      <c r="E1645" t="s">
        <v>11</v>
      </c>
      <c r="F1645" t="s">
        <v>12</v>
      </c>
      <c r="G1645" t="s">
        <v>13</v>
      </c>
      <c r="H1645" t="s">
        <v>14</v>
      </c>
      <c r="I1645" t="s">
        <v>15</v>
      </c>
      <c r="J1645">
        <v>10</v>
      </c>
      <c r="K1645">
        <v>38939</v>
      </c>
      <c r="L1645">
        <f>Tabla24[[#This Row],[Precio_Unitario]]*Tabla24[[#This Row],[Unidades_Vendidas]]</f>
        <v>389390</v>
      </c>
      <c r="M1645" t="s">
        <v>36</v>
      </c>
    </row>
    <row r="1646" spans="1:13" x14ac:dyDescent="0.25">
      <c r="A1646" t="s">
        <v>273</v>
      </c>
      <c r="B1646" t="str">
        <f>TEXT(Tabla24[[#This Row],[Fecha]],"dddd")</f>
        <v>lunes</v>
      </c>
      <c r="C1646" t="str">
        <f>TEXT(Tabla24[[#This Row],[Fecha]],"mmmm")</f>
        <v>julio</v>
      </c>
      <c r="D1646" t="str">
        <f>TEXT(Tabla24[[#This Row],[Fecha]],"aaaa")</f>
        <v>2024</v>
      </c>
      <c r="E1646" t="s">
        <v>33</v>
      </c>
      <c r="F1646" t="s">
        <v>38</v>
      </c>
      <c r="G1646" t="s">
        <v>13</v>
      </c>
      <c r="H1646" t="s">
        <v>25</v>
      </c>
      <c r="I1646" t="s">
        <v>40</v>
      </c>
      <c r="J1646">
        <v>12</v>
      </c>
      <c r="K1646">
        <v>23110</v>
      </c>
      <c r="L1646">
        <f>Tabla24[[#This Row],[Precio_Unitario]]*Tabla24[[#This Row],[Unidades_Vendidas]]</f>
        <v>277320</v>
      </c>
      <c r="M1646" t="s">
        <v>27</v>
      </c>
    </row>
    <row r="1647" spans="1:13" x14ac:dyDescent="0.25">
      <c r="A1647" t="s">
        <v>70</v>
      </c>
      <c r="B1647" t="str">
        <f>TEXT(Tabla24[[#This Row],[Fecha]],"dddd")</f>
        <v>martes</v>
      </c>
      <c r="C1647" t="str">
        <f>TEXT(Tabla24[[#This Row],[Fecha]],"mmmm")</f>
        <v>julio</v>
      </c>
      <c r="D1647" t="str">
        <f>TEXT(Tabla24[[#This Row],[Fecha]],"aaaa")</f>
        <v>2024</v>
      </c>
      <c r="E1647" t="s">
        <v>11</v>
      </c>
      <c r="F1647" t="s">
        <v>29</v>
      </c>
      <c r="G1647" t="s">
        <v>39</v>
      </c>
      <c r="H1647" t="s">
        <v>30</v>
      </c>
      <c r="I1647" t="s">
        <v>40</v>
      </c>
      <c r="J1647">
        <v>3</v>
      </c>
      <c r="K1647">
        <v>18143</v>
      </c>
      <c r="L1647">
        <f>Tabla24[[#This Row],[Precio_Unitario]]*Tabla24[[#This Row],[Unidades_Vendidas]]</f>
        <v>54429</v>
      </c>
      <c r="M1647" t="s">
        <v>20</v>
      </c>
    </row>
    <row r="1648" spans="1:13" x14ac:dyDescent="0.25">
      <c r="A1648" t="s">
        <v>142</v>
      </c>
      <c r="B1648" t="str">
        <f>TEXT(Tabla24[[#This Row],[Fecha]],"dddd")</f>
        <v>jueves</v>
      </c>
      <c r="C1648" t="str">
        <f>TEXT(Tabla24[[#This Row],[Fecha]],"mmmm")</f>
        <v>julio</v>
      </c>
      <c r="D1648" t="str">
        <f>TEXT(Tabla24[[#This Row],[Fecha]],"aaaa")</f>
        <v>2024</v>
      </c>
      <c r="E1648" t="s">
        <v>11</v>
      </c>
      <c r="F1648" t="s">
        <v>34</v>
      </c>
      <c r="G1648" t="s">
        <v>48</v>
      </c>
      <c r="H1648" t="s">
        <v>30</v>
      </c>
      <c r="I1648" t="s">
        <v>15</v>
      </c>
      <c r="J1648">
        <v>18</v>
      </c>
      <c r="K1648">
        <v>29368</v>
      </c>
      <c r="L1648">
        <f>Tabla24[[#This Row],[Precio_Unitario]]*Tabla24[[#This Row],[Unidades_Vendidas]]</f>
        <v>528624</v>
      </c>
      <c r="M1648" t="s">
        <v>36</v>
      </c>
    </row>
    <row r="1649" spans="1:13" x14ac:dyDescent="0.25">
      <c r="A1649" t="s">
        <v>128</v>
      </c>
      <c r="B1649" t="str">
        <f>TEXT(Tabla24[[#This Row],[Fecha]],"dddd")</f>
        <v>miércoles</v>
      </c>
      <c r="C1649" t="str">
        <f>TEXT(Tabla24[[#This Row],[Fecha]],"mmmm")</f>
        <v>febrero</v>
      </c>
      <c r="D1649" t="str">
        <f>TEXT(Tabla24[[#This Row],[Fecha]],"aaaa")</f>
        <v>2024</v>
      </c>
      <c r="E1649" t="s">
        <v>22</v>
      </c>
      <c r="F1649" t="s">
        <v>12</v>
      </c>
      <c r="G1649" t="s">
        <v>48</v>
      </c>
      <c r="H1649" t="s">
        <v>35</v>
      </c>
      <c r="I1649" t="s">
        <v>40</v>
      </c>
      <c r="J1649">
        <v>3</v>
      </c>
      <c r="K1649">
        <v>15763</v>
      </c>
      <c r="L1649">
        <f>Tabla24[[#This Row],[Precio_Unitario]]*Tabla24[[#This Row],[Unidades_Vendidas]]</f>
        <v>47289</v>
      </c>
      <c r="M1649" t="s">
        <v>27</v>
      </c>
    </row>
    <row r="1650" spans="1:13" x14ac:dyDescent="0.25">
      <c r="A1650" t="s">
        <v>383</v>
      </c>
      <c r="B1650" t="str">
        <f>TEXT(Tabla24[[#This Row],[Fecha]],"dddd")</f>
        <v>sábado</v>
      </c>
      <c r="C1650" t="str">
        <f>TEXT(Tabla24[[#This Row],[Fecha]],"mmmm")</f>
        <v>diciembre</v>
      </c>
      <c r="D1650" t="str">
        <f>TEXT(Tabla24[[#This Row],[Fecha]],"aaaa")</f>
        <v>2024</v>
      </c>
      <c r="E1650" t="s">
        <v>42</v>
      </c>
      <c r="F1650" t="s">
        <v>23</v>
      </c>
      <c r="G1650" t="s">
        <v>44</v>
      </c>
      <c r="H1650" t="s">
        <v>35</v>
      </c>
      <c r="I1650" t="s">
        <v>40</v>
      </c>
      <c r="J1650">
        <v>6</v>
      </c>
      <c r="K1650">
        <v>26288</v>
      </c>
      <c r="L1650">
        <f>Tabla24[[#This Row],[Precio_Unitario]]*Tabla24[[#This Row],[Unidades_Vendidas]]</f>
        <v>157728</v>
      </c>
      <c r="M1650" t="s">
        <v>27</v>
      </c>
    </row>
    <row r="1651" spans="1:13" x14ac:dyDescent="0.25">
      <c r="A1651" t="s">
        <v>276</v>
      </c>
      <c r="B1651" t="str">
        <f>TEXT(Tabla24[[#This Row],[Fecha]],"dddd")</f>
        <v>domingo</v>
      </c>
      <c r="C1651" t="str">
        <f>TEXT(Tabla24[[#This Row],[Fecha]],"mmmm")</f>
        <v>marzo</v>
      </c>
      <c r="D1651" t="str">
        <f>TEXT(Tabla24[[#This Row],[Fecha]],"aaaa")</f>
        <v>2024</v>
      </c>
      <c r="E1651" t="s">
        <v>18</v>
      </c>
      <c r="F1651" t="s">
        <v>29</v>
      </c>
      <c r="G1651" t="s">
        <v>48</v>
      </c>
      <c r="H1651" t="s">
        <v>35</v>
      </c>
      <c r="I1651" t="s">
        <v>15</v>
      </c>
      <c r="J1651">
        <v>15</v>
      </c>
      <c r="K1651">
        <v>27836</v>
      </c>
      <c r="L1651">
        <f>Tabla24[[#This Row],[Precio_Unitario]]*Tabla24[[#This Row],[Unidades_Vendidas]]</f>
        <v>417540</v>
      </c>
      <c r="M1651" t="s">
        <v>16</v>
      </c>
    </row>
    <row r="1652" spans="1:13" x14ac:dyDescent="0.25">
      <c r="A1652" t="s">
        <v>354</v>
      </c>
      <c r="B1652" t="str">
        <f>TEXT(Tabla24[[#This Row],[Fecha]],"dddd")</f>
        <v>domingo</v>
      </c>
      <c r="C1652" t="str">
        <f>TEXT(Tabla24[[#This Row],[Fecha]],"mmmm")</f>
        <v>abril</v>
      </c>
      <c r="D1652" t="str">
        <f>TEXT(Tabla24[[#This Row],[Fecha]],"aaaa")</f>
        <v>2024</v>
      </c>
      <c r="E1652" t="s">
        <v>33</v>
      </c>
      <c r="F1652" t="s">
        <v>23</v>
      </c>
      <c r="G1652" t="s">
        <v>48</v>
      </c>
      <c r="H1652" t="s">
        <v>30</v>
      </c>
      <c r="I1652" t="s">
        <v>15</v>
      </c>
      <c r="J1652">
        <v>13</v>
      </c>
      <c r="K1652">
        <v>17633</v>
      </c>
      <c r="L1652">
        <f>Tabla24[[#This Row],[Precio_Unitario]]*Tabla24[[#This Row],[Unidades_Vendidas]]</f>
        <v>229229</v>
      </c>
      <c r="M1652" t="s">
        <v>27</v>
      </c>
    </row>
    <row r="1653" spans="1:13" x14ac:dyDescent="0.25">
      <c r="A1653" t="s">
        <v>238</v>
      </c>
      <c r="B1653" t="str">
        <f>TEXT(Tabla24[[#This Row],[Fecha]],"dddd")</f>
        <v>miércoles</v>
      </c>
      <c r="C1653" t="str">
        <f>TEXT(Tabla24[[#This Row],[Fecha]],"mmmm")</f>
        <v>noviembre</v>
      </c>
      <c r="D1653" t="str">
        <f>TEXT(Tabla24[[#This Row],[Fecha]],"aaaa")</f>
        <v>2024</v>
      </c>
      <c r="E1653" t="s">
        <v>33</v>
      </c>
      <c r="F1653" t="s">
        <v>29</v>
      </c>
      <c r="G1653" t="s">
        <v>44</v>
      </c>
      <c r="H1653" t="s">
        <v>35</v>
      </c>
      <c r="I1653" t="s">
        <v>15</v>
      </c>
      <c r="J1653">
        <v>16</v>
      </c>
      <c r="K1653">
        <v>49960</v>
      </c>
      <c r="L1653">
        <f>Tabla24[[#This Row],[Precio_Unitario]]*Tabla24[[#This Row],[Unidades_Vendidas]]</f>
        <v>799360</v>
      </c>
      <c r="M1653" t="s">
        <v>20</v>
      </c>
    </row>
    <row r="1654" spans="1:13" x14ac:dyDescent="0.25">
      <c r="A1654" t="s">
        <v>149</v>
      </c>
      <c r="B1654" t="str">
        <f>TEXT(Tabla24[[#This Row],[Fecha]],"dddd")</f>
        <v>lunes</v>
      </c>
      <c r="C1654" t="str">
        <f>TEXT(Tabla24[[#This Row],[Fecha]],"mmmm")</f>
        <v>julio</v>
      </c>
      <c r="D1654" t="str">
        <f>TEXT(Tabla24[[#This Row],[Fecha]],"aaaa")</f>
        <v>2024</v>
      </c>
      <c r="E1654" t="s">
        <v>11</v>
      </c>
      <c r="F1654" t="s">
        <v>29</v>
      </c>
      <c r="G1654" t="s">
        <v>24</v>
      </c>
      <c r="H1654" t="s">
        <v>30</v>
      </c>
      <c r="I1654" t="s">
        <v>40</v>
      </c>
      <c r="J1654">
        <v>10</v>
      </c>
      <c r="K1654">
        <v>17271</v>
      </c>
      <c r="L1654">
        <f>Tabla24[[#This Row],[Precio_Unitario]]*Tabla24[[#This Row],[Unidades_Vendidas]]</f>
        <v>172710</v>
      </c>
      <c r="M1654" t="s">
        <v>27</v>
      </c>
    </row>
    <row r="1655" spans="1:13" x14ac:dyDescent="0.25">
      <c r="A1655" t="s">
        <v>396</v>
      </c>
      <c r="B1655" t="str">
        <f>TEXT(Tabla24[[#This Row],[Fecha]],"dddd")</f>
        <v>viernes</v>
      </c>
      <c r="C1655" t="str">
        <f>TEXT(Tabla24[[#This Row],[Fecha]],"mmmm")</f>
        <v>mayo</v>
      </c>
      <c r="D1655" t="str">
        <f>TEXT(Tabla24[[#This Row],[Fecha]],"aaaa")</f>
        <v>2024</v>
      </c>
      <c r="E1655" t="s">
        <v>33</v>
      </c>
      <c r="F1655" t="s">
        <v>23</v>
      </c>
      <c r="G1655" t="s">
        <v>13</v>
      </c>
      <c r="H1655" t="s">
        <v>19</v>
      </c>
      <c r="I1655" t="s">
        <v>40</v>
      </c>
      <c r="J1655">
        <v>19</v>
      </c>
      <c r="K1655">
        <v>37454</v>
      </c>
      <c r="L1655">
        <f>Tabla24[[#This Row],[Precio_Unitario]]*Tabla24[[#This Row],[Unidades_Vendidas]]</f>
        <v>711626</v>
      </c>
      <c r="M1655" t="s">
        <v>16</v>
      </c>
    </row>
    <row r="1656" spans="1:13" x14ac:dyDescent="0.25">
      <c r="A1656" t="s">
        <v>371</v>
      </c>
      <c r="B1656" t="str">
        <f>TEXT(Tabla24[[#This Row],[Fecha]],"dddd")</f>
        <v>jueves</v>
      </c>
      <c r="C1656" t="str">
        <f>TEXT(Tabla24[[#This Row],[Fecha]],"mmmm")</f>
        <v>abril</v>
      </c>
      <c r="D1656" t="str">
        <f>TEXT(Tabla24[[#This Row],[Fecha]],"aaaa")</f>
        <v>2024</v>
      </c>
      <c r="E1656" t="s">
        <v>22</v>
      </c>
      <c r="F1656" t="s">
        <v>29</v>
      </c>
      <c r="G1656" t="s">
        <v>48</v>
      </c>
      <c r="H1656" t="s">
        <v>25</v>
      </c>
      <c r="I1656" t="s">
        <v>15</v>
      </c>
      <c r="J1656">
        <v>19</v>
      </c>
      <c r="K1656">
        <v>21029</v>
      </c>
      <c r="L1656">
        <f>Tabla24[[#This Row],[Precio_Unitario]]*Tabla24[[#This Row],[Unidades_Vendidas]]</f>
        <v>399551</v>
      </c>
      <c r="M1656" t="s">
        <v>36</v>
      </c>
    </row>
    <row r="1657" spans="1:13" x14ac:dyDescent="0.25">
      <c r="A1657" t="s">
        <v>215</v>
      </c>
      <c r="B1657" t="str">
        <f>TEXT(Tabla24[[#This Row],[Fecha]],"dddd")</f>
        <v>domingo</v>
      </c>
      <c r="C1657" t="str">
        <f>TEXT(Tabla24[[#This Row],[Fecha]],"mmmm")</f>
        <v>mayo</v>
      </c>
      <c r="D1657" t="str">
        <f>TEXT(Tabla24[[#This Row],[Fecha]],"aaaa")</f>
        <v>2024</v>
      </c>
      <c r="E1657" t="s">
        <v>33</v>
      </c>
      <c r="F1657" t="s">
        <v>23</v>
      </c>
      <c r="G1657" t="s">
        <v>44</v>
      </c>
      <c r="H1657" t="s">
        <v>14</v>
      </c>
      <c r="I1657" t="s">
        <v>40</v>
      </c>
      <c r="J1657">
        <v>11</v>
      </c>
      <c r="K1657">
        <v>42018</v>
      </c>
      <c r="L1657">
        <f>Tabla24[[#This Row],[Precio_Unitario]]*Tabla24[[#This Row],[Unidades_Vendidas]]</f>
        <v>462198</v>
      </c>
      <c r="M1657" t="s">
        <v>20</v>
      </c>
    </row>
    <row r="1658" spans="1:13" x14ac:dyDescent="0.25">
      <c r="A1658" t="s">
        <v>339</v>
      </c>
      <c r="B1658" t="str">
        <f>TEXT(Tabla24[[#This Row],[Fecha]],"dddd")</f>
        <v>martes</v>
      </c>
      <c r="C1658" t="str">
        <f>TEXT(Tabla24[[#This Row],[Fecha]],"mmmm")</f>
        <v>mayo</v>
      </c>
      <c r="D1658" t="str">
        <f>TEXT(Tabla24[[#This Row],[Fecha]],"aaaa")</f>
        <v>2024</v>
      </c>
      <c r="E1658" t="s">
        <v>22</v>
      </c>
      <c r="F1658" t="s">
        <v>23</v>
      </c>
      <c r="G1658" t="s">
        <v>39</v>
      </c>
      <c r="H1658" t="s">
        <v>30</v>
      </c>
      <c r="I1658" t="s">
        <v>15</v>
      </c>
      <c r="J1658">
        <v>10</v>
      </c>
      <c r="K1658">
        <v>26116</v>
      </c>
      <c r="L1658">
        <f>Tabla24[[#This Row],[Precio_Unitario]]*Tabla24[[#This Row],[Unidades_Vendidas]]</f>
        <v>261160</v>
      </c>
      <c r="M1658" t="s">
        <v>20</v>
      </c>
    </row>
    <row r="1659" spans="1:13" x14ac:dyDescent="0.25">
      <c r="A1659" t="s">
        <v>352</v>
      </c>
      <c r="B1659" t="str">
        <f>TEXT(Tabla24[[#This Row],[Fecha]],"dddd")</f>
        <v>miércoles</v>
      </c>
      <c r="C1659" t="str">
        <f>TEXT(Tabla24[[#This Row],[Fecha]],"mmmm")</f>
        <v>enero</v>
      </c>
      <c r="D1659" t="str">
        <f>TEXT(Tabla24[[#This Row],[Fecha]],"aaaa")</f>
        <v>2024</v>
      </c>
      <c r="E1659" t="s">
        <v>42</v>
      </c>
      <c r="F1659" t="s">
        <v>12</v>
      </c>
      <c r="G1659" t="s">
        <v>13</v>
      </c>
      <c r="H1659" t="s">
        <v>19</v>
      </c>
      <c r="I1659" t="s">
        <v>40</v>
      </c>
      <c r="J1659">
        <v>14</v>
      </c>
      <c r="K1659">
        <v>57980</v>
      </c>
      <c r="L1659">
        <f>Tabla24[[#This Row],[Precio_Unitario]]*Tabla24[[#This Row],[Unidades_Vendidas]]</f>
        <v>811720</v>
      </c>
      <c r="M1659" t="s">
        <v>36</v>
      </c>
    </row>
    <row r="1660" spans="1:13" x14ac:dyDescent="0.25">
      <c r="A1660" t="s">
        <v>374</v>
      </c>
      <c r="B1660" t="str">
        <f>TEXT(Tabla24[[#This Row],[Fecha]],"dddd")</f>
        <v>domingo</v>
      </c>
      <c r="C1660" t="str">
        <f>TEXT(Tabla24[[#This Row],[Fecha]],"mmmm")</f>
        <v>octubre</v>
      </c>
      <c r="D1660" t="str">
        <f>TEXT(Tabla24[[#This Row],[Fecha]],"aaaa")</f>
        <v>2024</v>
      </c>
      <c r="E1660" t="s">
        <v>11</v>
      </c>
      <c r="F1660" t="s">
        <v>38</v>
      </c>
      <c r="G1660" t="s">
        <v>44</v>
      </c>
      <c r="H1660" t="s">
        <v>19</v>
      </c>
      <c r="I1660" t="s">
        <v>40</v>
      </c>
      <c r="J1660">
        <v>12</v>
      </c>
      <c r="K1660">
        <v>25036</v>
      </c>
      <c r="L1660">
        <f>Tabla24[[#This Row],[Precio_Unitario]]*Tabla24[[#This Row],[Unidades_Vendidas]]</f>
        <v>300432</v>
      </c>
      <c r="M1660" t="s">
        <v>20</v>
      </c>
    </row>
    <row r="1661" spans="1:13" x14ac:dyDescent="0.25">
      <c r="A1661" t="s">
        <v>156</v>
      </c>
      <c r="B1661" t="str">
        <f>TEXT(Tabla24[[#This Row],[Fecha]],"dddd")</f>
        <v>jueves</v>
      </c>
      <c r="C1661" t="str">
        <f>TEXT(Tabla24[[#This Row],[Fecha]],"mmmm")</f>
        <v>marzo</v>
      </c>
      <c r="D1661" t="str">
        <f>TEXT(Tabla24[[#This Row],[Fecha]],"aaaa")</f>
        <v>2024</v>
      </c>
      <c r="E1661" t="s">
        <v>11</v>
      </c>
      <c r="F1661" t="s">
        <v>23</v>
      </c>
      <c r="G1661" t="s">
        <v>39</v>
      </c>
      <c r="H1661" t="s">
        <v>30</v>
      </c>
      <c r="I1661" t="s">
        <v>26</v>
      </c>
      <c r="J1661">
        <v>12</v>
      </c>
      <c r="K1661">
        <v>17794</v>
      </c>
      <c r="L1661">
        <f>Tabla24[[#This Row],[Precio_Unitario]]*Tabla24[[#This Row],[Unidades_Vendidas]]</f>
        <v>213528</v>
      </c>
      <c r="M1661" t="s">
        <v>16</v>
      </c>
    </row>
    <row r="1662" spans="1:13" x14ac:dyDescent="0.25">
      <c r="A1662" t="s">
        <v>287</v>
      </c>
      <c r="B1662" t="str">
        <f>TEXT(Tabla24[[#This Row],[Fecha]],"dddd")</f>
        <v>miércoles</v>
      </c>
      <c r="C1662" t="str">
        <f>TEXT(Tabla24[[#This Row],[Fecha]],"mmmm")</f>
        <v>febrero</v>
      </c>
      <c r="D1662" t="str">
        <f>TEXT(Tabla24[[#This Row],[Fecha]],"aaaa")</f>
        <v>2024</v>
      </c>
      <c r="E1662" t="s">
        <v>42</v>
      </c>
      <c r="F1662" t="s">
        <v>29</v>
      </c>
      <c r="G1662" t="s">
        <v>13</v>
      </c>
      <c r="H1662" t="s">
        <v>14</v>
      </c>
      <c r="I1662" t="s">
        <v>15</v>
      </c>
      <c r="J1662">
        <v>8</v>
      </c>
      <c r="K1662">
        <v>39432</v>
      </c>
      <c r="L1662">
        <f>Tabla24[[#This Row],[Precio_Unitario]]*Tabla24[[#This Row],[Unidades_Vendidas]]</f>
        <v>315456</v>
      </c>
      <c r="M1662" t="s">
        <v>36</v>
      </c>
    </row>
    <row r="1663" spans="1:13" x14ac:dyDescent="0.25">
      <c r="A1663" t="s">
        <v>110</v>
      </c>
      <c r="B1663" t="str">
        <f>TEXT(Tabla24[[#This Row],[Fecha]],"dddd")</f>
        <v>martes</v>
      </c>
      <c r="C1663" t="str">
        <f>TEXT(Tabla24[[#This Row],[Fecha]],"mmmm")</f>
        <v>enero</v>
      </c>
      <c r="D1663" t="str">
        <f>TEXT(Tabla24[[#This Row],[Fecha]],"aaaa")</f>
        <v>2024</v>
      </c>
      <c r="E1663" t="s">
        <v>33</v>
      </c>
      <c r="F1663" t="s">
        <v>23</v>
      </c>
      <c r="G1663" t="s">
        <v>24</v>
      </c>
      <c r="H1663" t="s">
        <v>25</v>
      </c>
      <c r="I1663" t="s">
        <v>15</v>
      </c>
      <c r="J1663">
        <v>8</v>
      </c>
      <c r="K1663">
        <v>21875</v>
      </c>
      <c r="L1663">
        <f>Tabla24[[#This Row],[Precio_Unitario]]*Tabla24[[#This Row],[Unidades_Vendidas]]</f>
        <v>175000</v>
      </c>
      <c r="M1663" t="s">
        <v>20</v>
      </c>
    </row>
    <row r="1664" spans="1:13" x14ac:dyDescent="0.25">
      <c r="A1664" t="s">
        <v>136</v>
      </c>
      <c r="B1664" t="str">
        <f>TEXT(Tabla24[[#This Row],[Fecha]],"dddd")</f>
        <v>domingo</v>
      </c>
      <c r="C1664" t="str">
        <f>TEXT(Tabla24[[#This Row],[Fecha]],"mmmm")</f>
        <v>noviembre</v>
      </c>
      <c r="D1664" t="str">
        <f>TEXT(Tabla24[[#This Row],[Fecha]],"aaaa")</f>
        <v>2024</v>
      </c>
      <c r="E1664" t="s">
        <v>18</v>
      </c>
      <c r="F1664" t="s">
        <v>34</v>
      </c>
      <c r="G1664" t="s">
        <v>48</v>
      </c>
      <c r="H1664" t="s">
        <v>35</v>
      </c>
      <c r="I1664" t="s">
        <v>15</v>
      </c>
      <c r="J1664">
        <v>13</v>
      </c>
      <c r="K1664">
        <v>53774</v>
      </c>
      <c r="L1664">
        <f>Tabla24[[#This Row],[Precio_Unitario]]*Tabla24[[#This Row],[Unidades_Vendidas]]</f>
        <v>699062</v>
      </c>
      <c r="M1664" t="s">
        <v>27</v>
      </c>
    </row>
    <row r="1665" spans="1:13" x14ac:dyDescent="0.25">
      <c r="A1665" t="s">
        <v>96</v>
      </c>
      <c r="B1665" t="str">
        <f>TEXT(Tabla24[[#This Row],[Fecha]],"dddd")</f>
        <v>domingo</v>
      </c>
      <c r="C1665" t="str">
        <f>TEXT(Tabla24[[#This Row],[Fecha]],"mmmm")</f>
        <v>agosto</v>
      </c>
      <c r="D1665" t="str">
        <f>TEXT(Tabla24[[#This Row],[Fecha]],"aaaa")</f>
        <v>2024</v>
      </c>
      <c r="E1665" t="s">
        <v>22</v>
      </c>
      <c r="F1665" t="s">
        <v>23</v>
      </c>
      <c r="G1665" t="s">
        <v>39</v>
      </c>
      <c r="H1665" t="s">
        <v>30</v>
      </c>
      <c r="I1665" t="s">
        <v>40</v>
      </c>
      <c r="J1665">
        <v>11</v>
      </c>
      <c r="K1665">
        <v>30610</v>
      </c>
      <c r="L1665">
        <f>Tabla24[[#This Row],[Precio_Unitario]]*Tabla24[[#This Row],[Unidades_Vendidas]]</f>
        <v>336710</v>
      </c>
      <c r="M1665" t="s">
        <v>16</v>
      </c>
    </row>
    <row r="1666" spans="1:13" x14ac:dyDescent="0.25">
      <c r="A1666" t="s">
        <v>279</v>
      </c>
      <c r="B1666" t="str">
        <f>TEXT(Tabla24[[#This Row],[Fecha]],"dddd")</f>
        <v>miércoles</v>
      </c>
      <c r="C1666" t="str">
        <f>TEXT(Tabla24[[#This Row],[Fecha]],"mmmm")</f>
        <v>marzo</v>
      </c>
      <c r="D1666" t="str">
        <f>TEXT(Tabla24[[#This Row],[Fecha]],"aaaa")</f>
        <v>2024</v>
      </c>
      <c r="E1666" t="s">
        <v>18</v>
      </c>
      <c r="F1666" t="s">
        <v>38</v>
      </c>
      <c r="G1666" t="s">
        <v>39</v>
      </c>
      <c r="H1666" t="s">
        <v>19</v>
      </c>
      <c r="I1666" t="s">
        <v>40</v>
      </c>
      <c r="J1666">
        <v>12</v>
      </c>
      <c r="K1666">
        <v>46097</v>
      </c>
      <c r="L1666">
        <f>Tabla24[[#This Row],[Precio_Unitario]]*Tabla24[[#This Row],[Unidades_Vendidas]]</f>
        <v>553164</v>
      </c>
      <c r="M1666" t="s">
        <v>16</v>
      </c>
    </row>
    <row r="1667" spans="1:13" x14ac:dyDescent="0.25">
      <c r="A1667" t="s">
        <v>124</v>
      </c>
      <c r="B1667" t="str">
        <f>TEXT(Tabla24[[#This Row],[Fecha]],"dddd")</f>
        <v>sábado</v>
      </c>
      <c r="C1667" t="str">
        <f>TEXT(Tabla24[[#This Row],[Fecha]],"mmmm")</f>
        <v>junio</v>
      </c>
      <c r="D1667" t="str">
        <f>TEXT(Tabla24[[#This Row],[Fecha]],"aaaa")</f>
        <v>2024</v>
      </c>
      <c r="E1667" t="s">
        <v>18</v>
      </c>
      <c r="F1667" t="s">
        <v>12</v>
      </c>
      <c r="G1667" t="s">
        <v>13</v>
      </c>
      <c r="H1667" t="s">
        <v>30</v>
      </c>
      <c r="I1667" t="s">
        <v>26</v>
      </c>
      <c r="J1667">
        <v>17</v>
      </c>
      <c r="K1667">
        <v>58770</v>
      </c>
      <c r="L1667">
        <f>Tabla24[[#This Row],[Precio_Unitario]]*Tabla24[[#This Row],[Unidades_Vendidas]]</f>
        <v>999090</v>
      </c>
      <c r="M1667" t="s">
        <v>36</v>
      </c>
    </row>
    <row r="1668" spans="1:13" x14ac:dyDescent="0.25">
      <c r="A1668" t="s">
        <v>170</v>
      </c>
      <c r="B1668" t="str">
        <f>TEXT(Tabla24[[#This Row],[Fecha]],"dddd")</f>
        <v>viernes</v>
      </c>
      <c r="C1668" t="str">
        <f>TEXT(Tabla24[[#This Row],[Fecha]],"mmmm")</f>
        <v>agosto</v>
      </c>
      <c r="D1668" t="str">
        <f>TEXT(Tabla24[[#This Row],[Fecha]],"aaaa")</f>
        <v>2024</v>
      </c>
      <c r="E1668" t="s">
        <v>42</v>
      </c>
      <c r="F1668" t="s">
        <v>34</v>
      </c>
      <c r="G1668" t="s">
        <v>24</v>
      </c>
      <c r="H1668" t="s">
        <v>14</v>
      </c>
      <c r="I1668" t="s">
        <v>40</v>
      </c>
      <c r="J1668">
        <v>17</v>
      </c>
      <c r="K1668">
        <v>59789</v>
      </c>
      <c r="L1668">
        <f>Tabla24[[#This Row],[Precio_Unitario]]*Tabla24[[#This Row],[Unidades_Vendidas]]</f>
        <v>1016413</v>
      </c>
      <c r="M1668" t="s">
        <v>36</v>
      </c>
    </row>
    <row r="1669" spans="1:13" x14ac:dyDescent="0.25">
      <c r="A1669" t="s">
        <v>292</v>
      </c>
      <c r="B1669" t="str">
        <f>TEXT(Tabla24[[#This Row],[Fecha]],"dddd")</f>
        <v>sábado</v>
      </c>
      <c r="C1669" t="str">
        <f>TEXT(Tabla24[[#This Row],[Fecha]],"mmmm")</f>
        <v>junio</v>
      </c>
      <c r="D1669" t="str">
        <f>TEXT(Tabla24[[#This Row],[Fecha]],"aaaa")</f>
        <v>2024</v>
      </c>
      <c r="E1669" t="s">
        <v>11</v>
      </c>
      <c r="F1669" t="s">
        <v>23</v>
      </c>
      <c r="G1669" t="s">
        <v>39</v>
      </c>
      <c r="H1669" t="s">
        <v>35</v>
      </c>
      <c r="I1669" t="s">
        <v>40</v>
      </c>
      <c r="J1669">
        <v>18</v>
      </c>
      <c r="K1669">
        <v>42067</v>
      </c>
      <c r="L1669">
        <f>Tabla24[[#This Row],[Precio_Unitario]]*Tabla24[[#This Row],[Unidades_Vendidas]]</f>
        <v>757206</v>
      </c>
      <c r="M1669" t="s">
        <v>20</v>
      </c>
    </row>
    <row r="1670" spans="1:13" x14ac:dyDescent="0.25">
      <c r="A1670" t="s">
        <v>46</v>
      </c>
      <c r="B1670" t="str">
        <f>TEXT(Tabla24[[#This Row],[Fecha]],"dddd")</f>
        <v>miércoles</v>
      </c>
      <c r="C1670" t="str">
        <f>TEXT(Tabla24[[#This Row],[Fecha]],"mmmm")</f>
        <v>marzo</v>
      </c>
      <c r="D1670" t="str">
        <f>TEXT(Tabla24[[#This Row],[Fecha]],"aaaa")</f>
        <v>2024</v>
      </c>
      <c r="E1670" t="s">
        <v>22</v>
      </c>
      <c r="F1670" t="s">
        <v>34</v>
      </c>
      <c r="G1670" t="s">
        <v>48</v>
      </c>
      <c r="H1670" t="s">
        <v>19</v>
      </c>
      <c r="I1670" t="s">
        <v>15</v>
      </c>
      <c r="J1670">
        <v>2</v>
      </c>
      <c r="K1670">
        <v>25855</v>
      </c>
      <c r="L1670">
        <f>Tabla24[[#This Row],[Precio_Unitario]]*Tabla24[[#This Row],[Unidades_Vendidas]]</f>
        <v>51710</v>
      </c>
      <c r="M1670" t="s">
        <v>16</v>
      </c>
    </row>
    <row r="1671" spans="1:13" x14ac:dyDescent="0.25">
      <c r="A1671" t="s">
        <v>263</v>
      </c>
      <c r="B1671" t="str">
        <f>TEXT(Tabla24[[#This Row],[Fecha]],"dddd")</f>
        <v>miércoles</v>
      </c>
      <c r="C1671" t="str">
        <f>TEXT(Tabla24[[#This Row],[Fecha]],"mmmm")</f>
        <v>noviembre</v>
      </c>
      <c r="D1671" t="str">
        <f>TEXT(Tabla24[[#This Row],[Fecha]],"aaaa")</f>
        <v>2024</v>
      </c>
      <c r="E1671" t="s">
        <v>22</v>
      </c>
      <c r="F1671" t="s">
        <v>29</v>
      </c>
      <c r="G1671" t="s">
        <v>13</v>
      </c>
      <c r="H1671" t="s">
        <v>35</v>
      </c>
      <c r="I1671" t="s">
        <v>40</v>
      </c>
      <c r="J1671">
        <v>20</v>
      </c>
      <c r="K1671">
        <v>25317</v>
      </c>
      <c r="L1671">
        <f>Tabla24[[#This Row],[Precio_Unitario]]*Tabla24[[#This Row],[Unidades_Vendidas]]</f>
        <v>506340</v>
      </c>
      <c r="M1671" t="s">
        <v>20</v>
      </c>
    </row>
    <row r="1672" spans="1:13" x14ac:dyDescent="0.25">
      <c r="A1672" t="s">
        <v>117</v>
      </c>
      <c r="B1672" t="str">
        <f>TEXT(Tabla24[[#This Row],[Fecha]],"dddd")</f>
        <v>domingo</v>
      </c>
      <c r="C1672" t="str">
        <f>TEXT(Tabla24[[#This Row],[Fecha]],"mmmm")</f>
        <v>enero</v>
      </c>
      <c r="D1672" t="str">
        <f>TEXT(Tabla24[[#This Row],[Fecha]],"aaaa")</f>
        <v>2024</v>
      </c>
      <c r="E1672" t="s">
        <v>22</v>
      </c>
      <c r="F1672" t="s">
        <v>29</v>
      </c>
      <c r="G1672" t="s">
        <v>44</v>
      </c>
      <c r="H1672" t="s">
        <v>19</v>
      </c>
      <c r="I1672" t="s">
        <v>40</v>
      </c>
      <c r="J1672">
        <v>20</v>
      </c>
      <c r="K1672">
        <v>19638</v>
      </c>
      <c r="L1672">
        <f>Tabla24[[#This Row],[Precio_Unitario]]*Tabla24[[#This Row],[Unidades_Vendidas]]</f>
        <v>392760</v>
      </c>
      <c r="M1672" t="s">
        <v>36</v>
      </c>
    </row>
    <row r="1673" spans="1:13" x14ac:dyDescent="0.25">
      <c r="A1673" t="s">
        <v>189</v>
      </c>
      <c r="B1673" t="str">
        <f>TEXT(Tabla24[[#This Row],[Fecha]],"dddd")</f>
        <v>sábado</v>
      </c>
      <c r="C1673" t="str">
        <f>TEXT(Tabla24[[#This Row],[Fecha]],"mmmm")</f>
        <v>abril</v>
      </c>
      <c r="D1673" t="str">
        <f>TEXT(Tabla24[[#This Row],[Fecha]],"aaaa")</f>
        <v>2024</v>
      </c>
      <c r="E1673" t="s">
        <v>22</v>
      </c>
      <c r="F1673" t="s">
        <v>34</v>
      </c>
      <c r="G1673" t="s">
        <v>24</v>
      </c>
      <c r="H1673" t="s">
        <v>30</v>
      </c>
      <c r="I1673" t="s">
        <v>40</v>
      </c>
      <c r="J1673">
        <v>10</v>
      </c>
      <c r="K1673">
        <v>57061</v>
      </c>
      <c r="L1673">
        <f>Tabla24[[#This Row],[Precio_Unitario]]*Tabla24[[#This Row],[Unidades_Vendidas]]</f>
        <v>570610</v>
      </c>
      <c r="M1673" t="s">
        <v>16</v>
      </c>
    </row>
    <row r="1674" spans="1:13" x14ac:dyDescent="0.25">
      <c r="A1674" t="s">
        <v>92</v>
      </c>
      <c r="B1674" t="str">
        <f>TEXT(Tabla24[[#This Row],[Fecha]],"dddd")</f>
        <v>viernes</v>
      </c>
      <c r="C1674" t="str">
        <f>TEXT(Tabla24[[#This Row],[Fecha]],"mmmm")</f>
        <v>julio</v>
      </c>
      <c r="D1674" t="str">
        <f>TEXT(Tabla24[[#This Row],[Fecha]],"aaaa")</f>
        <v>2024</v>
      </c>
      <c r="E1674" t="s">
        <v>33</v>
      </c>
      <c r="F1674" t="s">
        <v>29</v>
      </c>
      <c r="G1674" t="s">
        <v>13</v>
      </c>
      <c r="H1674" t="s">
        <v>19</v>
      </c>
      <c r="I1674" t="s">
        <v>15</v>
      </c>
      <c r="J1674">
        <v>1</v>
      </c>
      <c r="K1674">
        <v>23650</v>
      </c>
      <c r="L1674">
        <f>Tabla24[[#This Row],[Precio_Unitario]]*Tabla24[[#This Row],[Unidades_Vendidas]]</f>
        <v>23650</v>
      </c>
      <c r="M1674" t="s">
        <v>27</v>
      </c>
    </row>
    <row r="1675" spans="1:13" x14ac:dyDescent="0.25">
      <c r="A1675" t="s">
        <v>370</v>
      </c>
      <c r="B1675" t="str">
        <f>TEXT(Tabla24[[#This Row],[Fecha]],"dddd")</f>
        <v>viernes</v>
      </c>
      <c r="C1675" t="str">
        <f>TEXT(Tabla24[[#This Row],[Fecha]],"mmmm")</f>
        <v>julio</v>
      </c>
      <c r="D1675" t="str">
        <f>TEXT(Tabla24[[#This Row],[Fecha]],"aaaa")</f>
        <v>2024</v>
      </c>
      <c r="E1675" t="s">
        <v>11</v>
      </c>
      <c r="F1675" t="s">
        <v>38</v>
      </c>
      <c r="G1675" t="s">
        <v>13</v>
      </c>
      <c r="H1675" t="s">
        <v>19</v>
      </c>
      <c r="I1675" t="s">
        <v>26</v>
      </c>
      <c r="J1675">
        <v>8</v>
      </c>
      <c r="K1675">
        <v>36617</v>
      </c>
      <c r="L1675">
        <f>Tabla24[[#This Row],[Precio_Unitario]]*Tabla24[[#This Row],[Unidades_Vendidas]]</f>
        <v>292936</v>
      </c>
      <c r="M1675" t="s">
        <v>36</v>
      </c>
    </row>
    <row r="1676" spans="1:13" x14ac:dyDescent="0.25">
      <c r="A1676" t="s">
        <v>317</v>
      </c>
      <c r="B1676" t="str">
        <f>TEXT(Tabla24[[#This Row],[Fecha]],"dddd")</f>
        <v>viernes</v>
      </c>
      <c r="C1676" t="str">
        <f>TEXT(Tabla24[[#This Row],[Fecha]],"mmmm")</f>
        <v>febrero</v>
      </c>
      <c r="D1676" t="str">
        <f>TEXT(Tabla24[[#This Row],[Fecha]],"aaaa")</f>
        <v>2024</v>
      </c>
      <c r="E1676" t="s">
        <v>11</v>
      </c>
      <c r="F1676" t="s">
        <v>29</v>
      </c>
      <c r="G1676" t="s">
        <v>13</v>
      </c>
      <c r="H1676" t="s">
        <v>14</v>
      </c>
      <c r="I1676" t="s">
        <v>15</v>
      </c>
      <c r="J1676">
        <v>12</v>
      </c>
      <c r="K1676">
        <v>44795</v>
      </c>
      <c r="L1676">
        <f>Tabla24[[#This Row],[Precio_Unitario]]*Tabla24[[#This Row],[Unidades_Vendidas]]</f>
        <v>537540</v>
      </c>
      <c r="M1676" t="s">
        <v>16</v>
      </c>
    </row>
    <row r="1677" spans="1:13" x14ac:dyDescent="0.25">
      <c r="A1677" t="s">
        <v>243</v>
      </c>
      <c r="B1677" t="str">
        <f>TEXT(Tabla24[[#This Row],[Fecha]],"dddd")</f>
        <v>lunes</v>
      </c>
      <c r="C1677" t="str">
        <f>TEXT(Tabla24[[#This Row],[Fecha]],"mmmm")</f>
        <v>marzo</v>
      </c>
      <c r="D1677" t="str">
        <f>TEXT(Tabla24[[#This Row],[Fecha]],"aaaa")</f>
        <v>2024</v>
      </c>
      <c r="E1677" t="s">
        <v>42</v>
      </c>
      <c r="F1677" t="s">
        <v>23</v>
      </c>
      <c r="G1677" t="s">
        <v>48</v>
      </c>
      <c r="H1677" t="s">
        <v>30</v>
      </c>
      <c r="I1677" t="s">
        <v>40</v>
      </c>
      <c r="J1677">
        <v>16</v>
      </c>
      <c r="K1677">
        <v>58234</v>
      </c>
      <c r="L1677">
        <f>Tabla24[[#This Row],[Precio_Unitario]]*Tabla24[[#This Row],[Unidades_Vendidas]]</f>
        <v>931744</v>
      </c>
      <c r="M1677" t="s">
        <v>36</v>
      </c>
    </row>
    <row r="1678" spans="1:13" x14ac:dyDescent="0.25">
      <c r="A1678" t="s">
        <v>142</v>
      </c>
      <c r="B1678" t="str">
        <f>TEXT(Tabla24[[#This Row],[Fecha]],"dddd")</f>
        <v>jueves</v>
      </c>
      <c r="C1678" t="str">
        <f>TEXT(Tabla24[[#This Row],[Fecha]],"mmmm")</f>
        <v>julio</v>
      </c>
      <c r="D1678" t="str">
        <f>TEXT(Tabla24[[#This Row],[Fecha]],"aaaa")</f>
        <v>2024</v>
      </c>
      <c r="E1678" t="s">
        <v>11</v>
      </c>
      <c r="F1678" t="s">
        <v>29</v>
      </c>
      <c r="G1678" t="s">
        <v>48</v>
      </c>
      <c r="H1678" t="s">
        <v>30</v>
      </c>
      <c r="I1678" t="s">
        <v>15</v>
      </c>
      <c r="J1678">
        <v>3</v>
      </c>
      <c r="K1678">
        <v>29752</v>
      </c>
      <c r="L1678">
        <f>Tabla24[[#This Row],[Precio_Unitario]]*Tabla24[[#This Row],[Unidades_Vendidas]]</f>
        <v>89256</v>
      </c>
      <c r="M1678" t="s">
        <v>27</v>
      </c>
    </row>
    <row r="1679" spans="1:13" x14ac:dyDescent="0.25">
      <c r="A1679" t="s">
        <v>84</v>
      </c>
      <c r="B1679" t="str">
        <f>TEXT(Tabla24[[#This Row],[Fecha]],"dddd")</f>
        <v>miércoles</v>
      </c>
      <c r="C1679" t="str">
        <f>TEXT(Tabla24[[#This Row],[Fecha]],"mmmm")</f>
        <v>febrero</v>
      </c>
      <c r="D1679" t="str">
        <f>TEXT(Tabla24[[#This Row],[Fecha]],"aaaa")</f>
        <v>2024</v>
      </c>
      <c r="E1679" t="s">
        <v>42</v>
      </c>
      <c r="F1679" t="s">
        <v>34</v>
      </c>
      <c r="G1679" t="s">
        <v>48</v>
      </c>
      <c r="H1679" t="s">
        <v>25</v>
      </c>
      <c r="I1679" t="s">
        <v>40</v>
      </c>
      <c r="J1679">
        <v>7</v>
      </c>
      <c r="K1679">
        <v>29923</v>
      </c>
      <c r="L1679">
        <f>Tabla24[[#This Row],[Precio_Unitario]]*Tabla24[[#This Row],[Unidades_Vendidas]]</f>
        <v>209461</v>
      </c>
      <c r="M1679" t="s">
        <v>20</v>
      </c>
    </row>
    <row r="1680" spans="1:13" x14ac:dyDescent="0.25">
      <c r="A1680" t="s">
        <v>132</v>
      </c>
      <c r="B1680" t="str">
        <f>TEXT(Tabla24[[#This Row],[Fecha]],"dddd")</f>
        <v>jueves</v>
      </c>
      <c r="C1680" t="str">
        <f>TEXT(Tabla24[[#This Row],[Fecha]],"mmmm")</f>
        <v>enero</v>
      </c>
      <c r="D1680" t="str">
        <f>TEXT(Tabla24[[#This Row],[Fecha]],"aaaa")</f>
        <v>2024</v>
      </c>
      <c r="E1680" t="s">
        <v>22</v>
      </c>
      <c r="F1680" t="s">
        <v>29</v>
      </c>
      <c r="G1680" t="s">
        <v>24</v>
      </c>
      <c r="H1680" t="s">
        <v>19</v>
      </c>
      <c r="I1680" t="s">
        <v>26</v>
      </c>
      <c r="J1680">
        <v>7</v>
      </c>
      <c r="K1680">
        <v>46936</v>
      </c>
      <c r="L1680">
        <f>Tabla24[[#This Row],[Precio_Unitario]]*Tabla24[[#This Row],[Unidades_Vendidas]]</f>
        <v>328552</v>
      </c>
      <c r="M1680" t="s">
        <v>16</v>
      </c>
    </row>
    <row r="1681" spans="1:13" x14ac:dyDescent="0.25">
      <c r="A1681" t="s">
        <v>101</v>
      </c>
      <c r="B1681" t="str">
        <f>TEXT(Tabla24[[#This Row],[Fecha]],"dddd")</f>
        <v>miércoles</v>
      </c>
      <c r="C1681" t="str">
        <f>TEXT(Tabla24[[#This Row],[Fecha]],"mmmm")</f>
        <v>diciembre</v>
      </c>
      <c r="D1681" t="str">
        <f>TEXT(Tabla24[[#This Row],[Fecha]],"aaaa")</f>
        <v>2024</v>
      </c>
      <c r="E1681" t="s">
        <v>11</v>
      </c>
      <c r="F1681" t="s">
        <v>34</v>
      </c>
      <c r="G1681" t="s">
        <v>24</v>
      </c>
      <c r="H1681" t="s">
        <v>30</v>
      </c>
      <c r="I1681" t="s">
        <v>26</v>
      </c>
      <c r="J1681">
        <v>7</v>
      </c>
      <c r="K1681">
        <v>35772</v>
      </c>
      <c r="L1681">
        <f>Tabla24[[#This Row],[Precio_Unitario]]*Tabla24[[#This Row],[Unidades_Vendidas]]</f>
        <v>250404</v>
      </c>
      <c r="M1681" t="s">
        <v>16</v>
      </c>
    </row>
    <row r="1682" spans="1:13" x14ac:dyDescent="0.25">
      <c r="A1682" t="s">
        <v>300</v>
      </c>
      <c r="B1682" t="str">
        <f>TEXT(Tabla24[[#This Row],[Fecha]],"dddd")</f>
        <v>martes</v>
      </c>
      <c r="C1682" t="str">
        <f>TEXT(Tabla24[[#This Row],[Fecha]],"mmmm")</f>
        <v>febrero</v>
      </c>
      <c r="D1682" t="str">
        <f>TEXT(Tabla24[[#This Row],[Fecha]],"aaaa")</f>
        <v>2024</v>
      </c>
      <c r="E1682" t="s">
        <v>11</v>
      </c>
      <c r="F1682" t="s">
        <v>38</v>
      </c>
      <c r="G1682" t="s">
        <v>44</v>
      </c>
      <c r="H1682" t="s">
        <v>35</v>
      </c>
      <c r="I1682" t="s">
        <v>40</v>
      </c>
      <c r="J1682">
        <v>16</v>
      </c>
      <c r="K1682">
        <v>44012</v>
      </c>
      <c r="L1682">
        <f>Tabla24[[#This Row],[Precio_Unitario]]*Tabla24[[#This Row],[Unidades_Vendidas]]</f>
        <v>704192</v>
      </c>
      <c r="M1682" t="s">
        <v>36</v>
      </c>
    </row>
    <row r="1683" spans="1:13" x14ac:dyDescent="0.25">
      <c r="A1683" t="s">
        <v>82</v>
      </c>
      <c r="B1683" t="str">
        <f>TEXT(Tabla24[[#This Row],[Fecha]],"dddd")</f>
        <v>viernes</v>
      </c>
      <c r="C1683" t="str">
        <f>TEXT(Tabla24[[#This Row],[Fecha]],"mmmm")</f>
        <v>junio</v>
      </c>
      <c r="D1683" t="str">
        <f>TEXT(Tabla24[[#This Row],[Fecha]],"aaaa")</f>
        <v>2024</v>
      </c>
      <c r="E1683" t="s">
        <v>22</v>
      </c>
      <c r="F1683" t="s">
        <v>38</v>
      </c>
      <c r="G1683" t="s">
        <v>44</v>
      </c>
      <c r="H1683" t="s">
        <v>35</v>
      </c>
      <c r="I1683" t="s">
        <v>15</v>
      </c>
      <c r="J1683">
        <v>8</v>
      </c>
      <c r="K1683">
        <v>41693</v>
      </c>
      <c r="L1683">
        <f>Tabla24[[#This Row],[Precio_Unitario]]*Tabla24[[#This Row],[Unidades_Vendidas]]</f>
        <v>333544</v>
      </c>
      <c r="M1683" t="s">
        <v>27</v>
      </c>
    </row>
    <row r="1684" spans="1:13" x14ac:dyDescent="0.25">
      <c r="A1684" t="s">
        <v>283</v>
      </c>
      <c r="B1684" t="str">
        <f>TEXT(Tabla24[[#This Row],[Fecha]],"dddd")</f>
        <v>martes</v>
      </c>
      <c r="C1684" t="str">
        <f>TEXT(Tabla24[[#This Row],[Fecha]],"mmmm")</f>
        <v>enero</v>
      </c>
      <c r="D1684" t="str">
        <f>TEXT(Tabla24[[#This Row],[Fecha]],"aaaa")</f>
        <v>2024</v>
      </c>
      <c r="E1684" t="s">
        <v>18</v>
      </c>
      <c r="F1684" t="s">
        <v>38</v>
      </c>
      <c r="G1684" t="s">
        <v>48</v>
      </c>
      <c r="H1684" t="s">
        <v>25</v>
      </c>
      <c r="I1684" t="s">
        <v>26</v>
      </c>
      <c r="J1684">
        <v>16</v>
      </c>
      <c r="K1684">
        <v>15775</v>
      </c>
      <c r="L1684">
        <f>Tabla24[[#This Row],[Precio_Unitario]]*Tabla24[[#This Row],[Unidades_Vendidas]]</f>
        <v>252400</v>
      </c>
      <c r="M1684" t="s">
        <v>16</v>
      </c>
    </row>
    <row r="1685" spans="1:13" x14ac:dyDescent="0.25">
      <c r="A1685" t="s">
        <v>226</v>
      </c>
      <c r="B1685" t="str">
        <f>TEXT(Tabla24[[#This Row],[Fecha]],"dddd")</f>
        <v>lunes</v>
      </c>
      <c r="C1685" t="str">
        <f>TEXT(Tabla24[[#This Row],[Fecha]],"mmmm")</f>
        <v>mayo</v>
      </c>
      <c r="D1685" t="str">
        <f>TEXT(Tabla24[[#This Row],[Fecha]],"aaaa")</f>
        <v>2024</v>
      </c>
      <c r="E1685" t="s">
        <v>42</v>
      </c>
      <c r="F1685" t="s">
        <v>34</v>
      </c>
      <c r="G1685" t="s">
        <v>13</v>
      </c>
      <c r="H1685" t="s">
        <v>35</v>
      </c>
      <c r="I1685" t="s">
        <v>15</v>
      </c>
      <c r="J1685">
        <v>13</v>
      </c>
      <c r="K1685">
        <v>37788</v>
      </c>
      <c r="L1685">
        <f>Tabla24[[#This Row],[Precio_Unitario]]*Tabla24[[#This Row],[Unidades_Vendidas]]</f>
        <v>491244</v>
      </c>
      <c r="M1685" t="s">
        <v>36</v>
      </c>
    </row>
    <row r="1686" spans="1:13" x14ac:dyDescent="0.25">
      <c r="A1686" t="s">
        <v>37</v>
      </c>
      <c r="B1686" t="str">
        <f>TEXT(Tabla24[[#This Row],[Fecha]],"dddd")</f>
        <v>viernes</v>
      </c>
      <c r="C1686" t="str">
        <f>TEXT(Tabla24[[#This Row],[Fecha]],"mmmm")</f>
        <v>noviembre</v>
      </c>
      <c r="D1686" t="str">
        <f>TEXT(Tabla24[[#This Row],[Fecha]],"aaaa")</f>
        <v>2024</v>
      </c>
      <c r="E1686" t="s">
        <v>18</v>
      </c>
      <c r="F1686" t="s">
        <v>34</v>
      </c>
      <c r="G1686" t="s">
        <v>13</v>
      </c>
      <c r="H1686" t="s">
        <v>30</v>
      </c>
      <c r="I1686" t="s">
        <v>26</v>
      </c>
      <c r="J1686">
        <v>6</v>
      </c>
      <c r="K1686">
        <v>45885</v>
      </c>
      <c r="L1686">
        <f>Tabla24[[#This Row],[Precio_Unitario]]*Tabla24[[#This Row],[Unidades_Vendidas]]</f>
        <v>275310</v>
      </c>
      <c r="M1686" t="s">
        <v>36</v>
      </c>
    </row>
    <row r="1687" spans="1:13" x14ac:dyDescent="0.25">
      <c r="A1687" t="s">
        <v>369</v>
      </c>
      <c r="B1687" t="str">
        <f>TEXT(Tabla24[[#This Row],[Fecha]],"dddd")</f>
        <v>jueves</v>
      </c>
      <c r="C1687" t="str">
        <f>TEXT(Tabla24[[#This Row],[Fecha]],"mmmm")</f>
        <v>enero</v>
      </c>
      <c r="D1687" t="str">
        <f>TEXT(Tabla24[[#This Row],[Fecha]],"aaaa")</f>
        <v>2024</v>
      </c>
      <c r="E1687" t="s">
        <v>42</v>
      </c>
      <c r="F1687" t="s">
        <v>23</v>
      </c>
      <c r="G1687" t="s">
        <v>39</v>
      </c>
      <c r="H1687" t="s">
        <v>14</v>
      </c>
      <c r="I1687" t="s">
        <v>26</v>
      </c>
      <c r="J1687">
        <v>17</v>
      </c>
      <c r="K1687">
        <v>36423</v>
      </c>
      <c r="L1687">
        <f>Tabla24[[#This Row],[Precio_Unitario]]*Tabla24[[#This Row],[Unidades_Vendidas]]</f>
        <v>619191</v>
      </c>
      <c r="M1687" t="s">
        <v>16</v>
      </c>
    </row>
    <row r="1688" spans="1:13" x14ac:dyDescent="0.25">
      <c r="A1688" t="s">
        <v>159</v>
      </c>
      <c r="B1688" t="str">
        <f>TEXT(Tabla24[[#This Row],[Fecha]],"dddd")</f>
        <v>jueves</v>
      </c>
      <c r="C1688" t="str">
        <f>TEXT(Tabla24[[#This Row],[Fecha]],"mmmm")</f>
        <v>febrero</v>
      </c>
      <c r="D1688" t="str">
        <f>TEXT(Tabla24[[#This Row],[Fecha]],"aaaa")</f>
        <v>2024</v>
      </c>
      <c r="E1688" t="s">
        <v>42</v>
      </c>
      <c r="F1688" t="s">
        <v>12</v>
      </c>
      <c r="G1688" t="s">
        <v>39</v>
      </c>
      <c r="H1688" t="s">
        <v>25</v>
      </c>
      <c r="I1688" t="s">
        <v>26</v>
      </c>
      <c r="J1688">
        <v>15</v>
      </c>
      <c r="K1688">
        <v>18239</v>
      </c>
      <c r="L1688">
        <f>Tabla24[[#This Row],[Precio_Unitario]]*Tabla24[[#This Row],[Unidades_Vendidas]]</f>
        <v>273585</v>
      </c>
      <c r="M1688" t="s">
        <v>27</v>
      </c>
    </row>
    <row r="1689" spans="1:13" x14ac:dyDescent="0.25">
      <c r="A1689" t="s">
        <v>119</v>
      </c>
      <c r="B1689" t="str">
        <f>TEXT(Tabla24[[#This Row],[Fecha]],"dddd")</f>
        <v>miércoles</v>
      </c>
      <c r="C1689" t="str">
        <f>TEXT(Tabla24[[#This Row],[Fecha]],"mmmm")</f>
        <v>julio</v>
      </c>
      <c r="D1689" t="str">
        <f>TEXT(Tabla24[[#This Row],[Fecha]],"aaaa")</f>
        <v>2024</v>
      </c>
      <c r="E1689" t="s">
        <v>33</v>
      </c>
      <c r="F1689" t="s">
        <v>12</v>
      </c>
      <c r="G1689" t="s">
        <v>13</v>
      </c>
      <c r="H1689" t="s">
        <v>19</v>
      </c>
      <c r="I1689" t="s">
        <v>40</v>
      </c>
      <c r="J1689">
        <v>16</v>
      </c>
      <c r="K1689">
        <v>22069</v>
      </c>
      <c r="L1689">
        <f>Tabla24[[#This Row],[Precio_Unitario]]*Tabla24[[#This Row],[Unidades_Vendidas]]</f>
        <v>353104</v>
      </c>
      <c r="M1689" t="s">
        <v>16</v>
      </c>
    </row>
    <row r="1690" spans="1:13" x14ac:dyDescent="0.25">
      <c r="A1690" t="s">
        <v>69</v>
      </c>
      <c r="B1690" t="str">
        <f>TEXT(Tabla24[[#This Row],[Fecha]],"dddd")</f>
        <v>lunes</v>
      </c>
      <c r="C1690" t="str">
        <f>TEXT(Tabla24[[#This Row],[Fecha]],"mmmm")</f>
        <v>abril</v>
      </c>
      <c r="D1690" t="str">
        <f>TEXT(Tabla24[[#This Row],[Fecha]],"aaaa")</f>
        <v>2024</v>
      </c>
      <c r="E1690" t="s">
        <v>18</v>
      </c>
      <c r="F1690" t="s">
        <v>23</v>
      </c>
      <c r="G1690" t="s">
        <v>13</v>
      </c>
      <c r="H1690" t="s">
        <v>19</v>
      </c>
      <c r="I1690" t="s">
        <v>15</v>
      </c>
      <c r="J1690">
        <v>13</v>
      </c>
      <c r="K1690">
        <v>44412</v>
      </c>
      <c r="L1690">
        <f>Tabla24[[#This Row],[Precio_Unitario]]*Tabla24[[#This Row],[Unidades_Vendidas]]</f>
        <v>577356</v>
      </c>
      <c r="M1690" t="s">
        <v>27</v>
      </c>
    </row>
    <row r="1691" spans="1:13" x14ac:dyDescent="0.25">
      <c r="A1691" t="s">
        <v>122</v>
      </c>
      <c r="B1691" t="str">
        <f>TEXT(Tabla24[[#This Row],[Fecha]],"dddd")</f>
        <v>viernes</v>
      </c>
      <c r="C1691" t="str">
        <f>TEXT(Tabla24[[#This Row],[Fecha]],"mmmm")</f>
        <v>enero</v>
      </c>
      <c r="D1691" t="str">
        <f>TEXT(Tabla24[[#This Row],[Fecha]],"aaaa")</f>
        <v>2024</v>
      </c>
      <c r="E1691" t="s">
        <v>33</v>
      </c>
      <c r="F1691" t="s">
        <v>12</v>
      </c>
      <c r="G1691" t="s">
        <v>13</v>
      </c>
      <c r="H1691" t="s">
        <v>25</v>
      </c>
      <c r="I1691" t="s">
        <v>40</v>
      </c>
      <c r="J1691">
        <v>4</v>
      </c>
      <c r="K1691">
        <v>48519</v>
      </c>
      <c r="L1691">
        <f>Tabla24[[#This Row],[Precio_Unitario]]*Tabla24[[#This Row],[Unidades_Vendidas]]</f>
        <v>194076</v>
      </c>
      <c r="M1691" t="s">
        <v>20</v>
      </c>
    </row>
    <row r="1692" spans="1:13" x14ac:dyDescent="0.25">
      <c r="A1692" t="s">
        <v>324</v>
      </c>
      <c r="B1692" t="str">
        <f>TEXT(Tabla24[[#This Row],[Fecha]],"dddd")</f>
        <v>martes</v>
      </c>
      <c r="C1692" t="str">
        <f>TEXT(Tabla24[[#This Row],[Fecha]],"mmmm")</f>
        <v>marzo</v>
      </c>
      <c r="D1692" t="str">
        <f>TEXT(Tabla24[[#This Row],[Fecha]],"aaaa")</f>
        <v>2024</v>
      </c>
      <c r="E1692" t="s">
        <v>11</v>
      </c>
      <c r="F1692" t="s">
        <v>23</v>
      </c>
      <c r="G1692" t="s">
        <v>44</v>
      </c>
      <c r="H1692" t="s">
        <v>19</v>
      </c>
      <c r="I1692" t="s">
        <v>15</v>
      </c>
      <c r="J1692">
        <v>3</v>
      </c>
      <c r="K1692">
        <v>48133</v>
      </c>
      <c r="L1692">
        <f>Tabla24[[#This Row],[Precio_Unitario]]*Tabla24[[#This Row],[Unidades_Vendidas]]</f>
        <v>144399</v>
      </c>
      <c r="M1692" t="s">
        <v>27</v>
      </c>
    </row>
    <row r="1693" spans="1:13" x14ac:dyDescent="0.25">
      <c r="A1693" t="s">
        <v>51</v>
      </c>
      <c r="B1693" t="str">
        <f>TEXT(Tabla24[[#This Row],[Fecha]],"dddd")</f>
        <v>miércoles</v>
      </c>
      <c r="C1693" t="str">
        <f>TEXT(Tabla24[[#This Row],[Fecha]],"mmmm")</f>
        <v>octubre</v>
      </c>
      <c r="D1693" t="str">
        <f>TEXT(Tabla24[[#This Row],[Fecha]],"aaaa")</f>
        <v>2024</v>
      </c>
      <c r="E1693" t="s">
        <v>33</v>
      </c>
      <c r="F1693" t="s">
        <v>23</v>
      </c>
      <c r="G1693" t="s">
        <v>44</v>
      </c>
      <c r="H1693" t="s">
        <v>25</v>
      </c>
      <c r="I1693" t="s">
        <v>15</v>
      </c>
      <c r="J1693">
        <v>11</v>
      </c>
      <c r="K1693">
        <v>42065</v>
      </c>
      <c r="L1693">
        <f>Tabla24[[#This Row],[Precio_Unitario]]*Tabla24[[#This Row],[Unidades_Vendidas]]</f>
        <v>462715</v>
      </c>
      <c r="M1693" t="s">
        <v>16</v>
      </c>
    </row>
    <row r="1694" spans="1:13" x14ac:dyDescent="0.25">
      <c r="A1694" t="s">
        <v>310</v>
      </c>
      <c r="B1694" t="str">
        <f>TEXT(Tabla24[[#This Row],[Fecha]],"dddd")</f>
        <v>jueves</v>
      </c>
      <c r="C1694" t="str">
        <f>TEXT(Tabla24[[#This Row],[Fecha]],"mmmm")</f>
        <v>julio</v>
      </c>
      <c r="D1694" t="str">
        <f>TEXT(Tabla24[[#This Row],[Fecha]],"aaaa")</f>
        <v>2024</v>
      </c>
      <c r="E1694" t="s">
        <v>22</v>
      </c>
      <c r="F1694" t="s">
        <v>34</v>
      </c>
      <c r="G1694" t="s">
        <v>44</v>
      </c>
      <c r="H1694" t="s">
        <v>19</v>
      </c>
      <c r="I1694" t="s">
        <v>26</v>
      </c>
      <c r="J1694">
        <v>9</v>
      </c>
      <c r="K1694">
        <v>22968</v>
      </c>
      <c r="L1694">
        <f>Tabla24[[#This Row],[Precio_Unitario]]*Tabla24[[#This Row],[Unidades_Vendidas]]</f>
        <v>206712</v>
      </c>
      <c r="M1694" t="s">
        <v>36</v>
      </c>
    </row>
    <row r="1695" spans="1:13" x14ac:dyDescent="0.25">
      <c r="A1695" t="s">
        <v>63</v>
      </c>
      <c r="B1695" t="str">
        <f>TEXT(Tabla24[[#This Row],[Fecha]],"dddd")</f>
        <v>lunes</v>
      </c>
      <c r="C1695" t="str">
        <f>TEXT(Tabla24[[#This Row],[Fecha]],"mmmm")</f>
        <v>octubre</v>
      </c>
      <c r="D1695" t="str">
        <f>TEXT(Tabla24[[#This Row],[Fecha]],"aaaa")</f>
        <v>2024</v>
      </c>
      <c r="E1695" t="s">
        <v>18</v>
      </c>
      <c r="F1695" t="s">
        <v>12</v>
      </c>
      <c r="G1695" t="s">
        <v>13</v>
      </c>
      <c r="H1695" t="s">
        <v>30</v>
      </c>
      <c r="I1695" t="s">
        <v>15</v>
      </c>
      <c r="J1695">
        <v>20</v>
      </c>
      <c r="K1695">
        <v>16365</v>
      </c>
      <c r="L1695">
        <f>Tabla24[[#This Row],[Precio_Unitario]]*Tabla24[[#This Row],[Unidades_Vendidas]]</f>
        <v>327300</v>
      </c>
      <c r="M1695" t="s">
        <v>16</v>
      </c>
    </row>
    <row r="1696" spans="1:13" x14ac:dyDescent="0.25">
      <c r="A1696" t="s">
        <v>350</v>
      </c>
      <c r="B1696" t="str">
        <f>TEXT(Tabla24[[#This Row],[Fecha]],"dddd")</f>
        <v>domingo</v>
      </c>
      <c r="C1696" t="str">
        <f>TEXT(Tabla24[[#This Row],[Fecha]],"mmmm")</f>
        <v>junio</v>
      </c>
      <c r="D1696" t="str">
        <f>TEXT(Tabla24[[#This Row],[Fecha]],"aaaa")</f>
        <v>2024</v>
      </c>
      <c r="E1696" t="s">
        <v>18</v>
      </c>
      <c r="F1696" t="s">
        <v>29</v>
      </c>
      <c r="G1696" t="s">
        <v>13</v>
      </c>
      <c r="H1696" t="s">
        <v>35</v>
      </c>
      <c r="I1696" t="s">
        <v>15</v>
      </c>
      <c r="J1696">
        <v>16</v>
      </c>
      <c r="K1696">
        <v>54109</v>
      </c>
      <c r="L1696">
        <f>Tabla24[[#This Row],[Precio_Unitario]]*Tabla24[[#This Row],[Unidades_Vendidas]]</f>
        <v>865744</v>
      </c>
      <c r="M1696" t="s">
        <v>16</v>
      </c>
    </row>
    <row r="1697" spans="1:13" x14ac:dyDescent="0.25">
      <c r="A1697" t="s">
        <v>132</v>
      </c>
      <c r="B1697" t="str">
        <f>TEXT(Tabla24[[#This Row],[Fecha]],"dddd")</f>
        <v>jueves</v>
      </c>
      <c r="C1697" t="str">
        <f>TEXT(Tabla24[[#This Row],[Fecha]],"mmmm")</f>
        <v>enero</v>
      </c>
      <c r="D1697" t="str">
        <f>TEXT(Tabla24[[#This Row],[Fecha]],"aaaa")</f>
        <v>2024</v>
      </c>
      <c r="E1697" t="s">
        <v>11</v>
      </c>
      <c r="F1697" t="s">
        <v>38</v>
      </c>
      <c r="G1697" t="s">
        <v>44</v>
      </c>
      <c r="H1697" t="s">
        <v>19</v>
      </c>
      <c r="I1697" t="s">
        <v>40</v>
      </c>
      <c r="J1697">
        <v>5</v>
      </c>
      <c r="K1697">
        <v>57761</v>
      </c>
      <c r="L1697">
        <f>Tabla24[[#This Row],[Precio_Unitario]]*Tabla24[[#This Row],[Unidades_Vendidas]]</f>
        <v>288805</v>
      </c>
      <c r="M1697" t="s">
        <v>16</v>
      </c>
    </row>
    <row r="1698" spans="1:13" x14ac:dyDescent="0.25">
      <c r="A1698" t="s">
        <v>209</v>
      </c>
      <c r="B1698" t="str">
        <f>TEXT(Tabla24[[#This Row],[Fecha]],"dddd")</f>
        <v>martes</v>
      </c>
      <c r="C1698" t="str">
        <f>TEXT(Tabla24[[#This Row],[Fecha]],"mmmm")</f>
        <v>septiembre</v>
      </c>
      <c r="D1698" t="str">
        <f>TEXT(Tabla24[[#This Row],[Fecha]],"aaaa")</f>
        <v>2024</v>
      </c>
      <c r="E1698" t="s">
        <v>42</v>
      </c>
      <c r="F1698" t="s">
        <v>38</v>
      </c>
      <c r="G1698" t="s">
        <v>48</v>
      </c>
      <c r="H1698" t="s">
        <v>25</v>
      </c>
      <c r="I1698" t="s">
        <v>40</v>
      </c>
      <c r="J1698">
        <v>1</v>
      </c>
      <c r="K1698">
        <v>49650</v>
      </c>
      <c r="L1698">
        <f>Tabla24[[#This Row],[Precio_Unitario]]*Tabla24[[#This Row],[Unidades_Vendidas]]</f>
        <v>49650</v>
      </c>
      <c r="M1698" t="s">
        <v>36</v>
      </c>
    </row>
    <row r="1699" spans="1:13" x14ac:dyDescent="0.25">
      <c r="A1699" t="s">
        <v>141</v>
      </c>
      <c r="B1699" t="str">
        <f>TEXT(Tabla24[[#This Row],[Fecha]],"dddd")</f>
        <v>lunes</v>
      </c>
      <c r="C1699" t="str">
        <f>TEXT(Tabla24[[#This Row],[Fecha]],"mmmm")</f>
        <v>septiembre</v>
      </c>
      <c r="D1699" t="str">
        <f>TEXT(Tabla24[[#This Row],[Fecha]],"aaaa")</f>
        <v>2024</v>
      </c>
      <c r="E1699" t="s">
        <v>18</v>
      </c>
      <c r="F1699" t="s">
        <v>38</v>
      </c>
      <c r="G1699" t="s">
        <v>48</v>
      </c>
      <c r="H1699" t="s">
        <v>25</v>
      </c>
      <c r="I1699" t="s">
        <v>40</v>
      </c>
      <c r="J1699">
        <v>15</v>
      </c>
      <c r="K1699">
        <v>41675</v>
      </c>
      <c r="L1699">
        <f>Tabla24[[#This Row],[Precio_Unitario]]*Tabla24[[#This Row],[Unidades_Vendidas]]</f>
        <v>625125</v>
      </c>
      <c r="M1699" t="s">
        <v>36</v>
      </c>
    </row>
    <row r="1700" spans="1:13" x14ac:dyDescent="0.25">
      <c r="A1700" t="s">
        <v>87</v>
      </c>
      <c r="B1700" t="str">
        <f>TEXT(Tabla24[[#This Row],[Fecha]],"dddd")</f>
        <v>martes</v>
      </c>
      <c r="C1700" t="str">
        <f>TEXT(Tabla24[[#This Row],[Fecha]],"mmmm")</f>
        <v>noviembre</v>
      </c>
      <c r="D1700" t="str">
        <f>TEXT(Tabla24[[#This Row],[Fecha]],"aaaa")</f>
        <v>2024</v>
      </c>
      <c r="E1700" t="s">
        <v>42</v>
      </c>
      <c r="F1700" t="s">
        <v>23</v>
      </c>
      <c r="G1700" t="s">
        <v>24</v>
      </c>
      <c r="H1700" t="s">
        <v>35</v>
      </c>
      <c r="I1700" t="s">
        <v>15</v>
      </c>
      <c r="J1700">
        <v>19</v>
      </c>
      <c r="K1700">
        <v>56700</v>
      </c>
      <c r="L1700">
        <f>Tabla24[[#This Row],[Precio_Unitario]]*Tabla24[[#This Row],[Unidades_Vendidas]]</f>
        <v>1077300</v>
      </c>
      <c r="M1700" t="s">
        <v>36</v>
      </c>
    </row>
    <row r="1701" spans="1:13" x14ac:dyDescent="0.25">
      <c r="A1701" t="s">
        <v>263</v>
      </c>
      <c r="B1701" t="str">
        <f>TEXT(Tabla24[[#This Row],[Fecha]],"dddd")</f>
        <v>miércoles</v>
      </c>
      <c r="C1701" t="str">
        <f>TEXT(Tabla24[[#This Row],[Fecha]],"mmmm")</f>
        <v>noviembre</v>
      </c>
      <c r="D1701" t="str">
        <f>TEXT(Tabla24[[#This Row],[Fecha]],"aaaa")</f>
        <v>2024</v>
      </c>
      <c r="E1701" t="s">
        <v>42</v>
      </c>
      <c r="F1701" t="s">
        <v>29</v>
      </c>
      <c r="G1701" t="s">
        <v>13</v>
      </c>
      <c r="H1701" t="s">
        <v>30</v>
      </c>
      <c r="I1701" t="s">
        <v>40</v>
      </c>
      <c r="J1701">
        <v>18</v>
      </c>
      <c r="K1701">
        <v>21433</v>
      </c>
      <c r="L1701">
        <f>Tabla24[[#This Row],[Precio_Unitario]]*Tabla24[[#This Row],[Unidades_Vendidas]]</f>
        <v>385794</v>
      </c>
      <c r="M1701" t="s">
        <v>16</v>
      </c>
    </row>
    <row r="1702" spans="1:13" x14ac:dyDescent="0.25">
      <c r="A1702" t="s">
        <v>353</v>
      </c>
      <c r="B1702" t="str">
        <f>TEXT(Tabla24[[#This Row],[Fecha]],"dddd")</f>
        <v>martes</v>
      </c>
      <c r="C1702" t="str">
        <f>TEXT(Tabla24[[#This Row],[Fecha]],"mmmm")</f>
        <v>junio</v>
      </c>
      <c r="D1702" t="str">
        <f>TEXT(Tabla24[[#This Row],[Fecha]],"aaaa")</f>
        <v>2024</v>
      </c>
      <c r="E1702" t="s">
        <v>33</v>
      </c>
      <c r="F1702" t="s">
        <v>12</v>
      </c>
      <c r="G1702" t="s">
        <v>13</v>
      </c>
      <c r="H1702" t="s">
        <v>14</v>
      </c>
      <c r="I1702" t="s">
        <v>26</v>
      </c>
      <c r="J1702">
        <v>18</v>
      </c>
      <c r="K1702">
        <v>40312</v>
      </c>
      <c r="L1702">
        <f>Tabla24[[#This Row],[Precio_Unitario]]*Tabla24[[#This Row],[Unidades_Vendidas]]</f>
        <v>725616</v>
      </c>
      <c r="M1702" t="s">
        <v>27</v>
      </c>
    </row>
    <row r="1703" spans="1:13" x14ac:dyDescent="0.25">
      <c r="A1703" t="s">
        <v>226</v>
      </c>
      <c r="B1703" t="str">
        <f>TEXT(Tabla24[[#This Row],[Fecha]],"dddd")</f>
        <v>lunes</v>
      </c>
      <c r="C1703" t="str">
        <f>TEXT(Tabla24[[#This Row],[Fecha]],"mmmm")</f>
        <v>mayo</v>
      </c>
      <c r="D1703" t="str">
        <f>TEXT(Tabla24[[#This Row],[Fecha]],"aaaa")</f>
        <v>2024</v>
      </c>
      <c r="E1703" t="s">
        <v>11</v>
      </c>
      <c r="F1703" t="s">
        <v>34</v>
      </c>
      <c r="G1703" t="s">
        <v>24</v>
      </c>
      <c r="H1703" t="s">
        <v>35</v>
      </c>
      <c r="I1703" t="s">
        <v>26</v>
      </c>
      <c r="J1703">
        <v>16</v>
      </c>
      <c r="K1703">
        <v>35078</v>
      </c>
      <c r="L1703">
        <f>Tabla24[[#This Row],[Precio_Unitario]]*Tabla24[[#This Row],[Unidades_Vendidas]]</f>
        <v>561248</v>
      </c>
      <c r="M1703" t="s">
        <v>36</v>
      </c>
    </row>
    <row r="1704" spans="1:13" x14ac:dyDescent="0.25">
      <c r="A1704" t="s">
        <v>153</v>
      </c>
      <c r="B1704" t="str">
        <f>TEXT(Tabla24[[#This Row],[Fecha]],"dddd")</f>
        <v>lunes</v>
      </c>
      <c r="C1704" t="str">
        <f>TEXT(Tabla24[[#This Row],[Fecha]],"mmmm")</f>
        <v>enero</v>
      </c>
      <c r="D1704" t="str">
        <f>TEXT(Tabla24[[#This Row],[Fecha]],"aaaa")</f>
        <v>2024</v>
      </c>
      <c r="E1704" t="s">
        <v>42</v>
      </c>
      <c r="F1704" t="s">
        <v>34</v>
      </c>
      <c r="G1704" t="s">
        <v>24</v>
      </c>
      <c r="H1704" t="s">
        <v>35</v>
      </c>
      <c r="I1704" t="s">
        <v>26</v>
      </c>
      <c r="J1704">
        <v>13</v>
      </c>
      <c r="K1704">
        <v>42231</v>
      </c>
      <c r="L1704">
        <f>Tabla24[[#This Row],[Precio_Unitario]]*Tabla24[[#This Row],[Unidades_Vendidas]]</f>
        <v>549003</v>
      </c>
      <c r="M1704" t="s">
        <v>16</v>
      </c>
    </row>
    <row r="1705" spans="1:13" x14ac:dyDescent="0.25">
      <c r="A1705" t="s">
        <v>245</v>
      </c>
      <c r="B1705" t="str">
        <f>TEXT(Tabla24[[#This Row],[Fecha]],"dddd")</f>
        <v>domingo</v>
      </c>
      <c r="C1705" t="str">
        <f>TEXT(Tabla24[[#This Row],[Fecha]],"mmmm")</f>
        <v>julio</v>
      </c>
      <c r="D1705" t="str">
        <f>TEXT(Tabla24[[#This Row],[Fecha]],"aaaa")</f>
        <v>2024</v>
      </c>
      <c r="E1705" t="s">
        <v>11</v>
      </c>
      <c r="F1705" t="s">
        <v>29</v>
      </c>
      <c r="G1705" t="s">
        <v>13</v>
      </c>
      <c r="H1705" t="s">
        <v>30</v>
      </c>
      <c r="I1705" t="s">
        <v>15</v>
      </c>
      <c r="J1705">
        <v>13</v>
      </c>
      <c r="K1705">
        <v>59401</v>
      </c>
      <c r="L1705">
        <f>Tabla24[[#This Row],[Precio_Unitario]]*Tabla24[[#This Row],[Unidades_Vendidas]]</f>
        <v>772213</v>
      </c>
      <c r="M1705" t="s">
        <v>36</v>
      </c>
    </row>
    <row r="1706" spans="1:13" x14ac:dyDescent="0.25">
      <c r="A1706" t="s">
        <v>305</v>
      </c>
      <c r="B1706" t="str">
        <f>TEXT(Tabla24[[#This Row],[Fecha]],"dddd")</f>
        <v>viernes</v>
      </c>
      <c r="C1706" t="str">
        <f>TEXT(Tabla24[[#This Row],[Fecha]],"mmmm")</f>
        <v>septiembre</v>
      </c>
      <c r="D1706" t="str">
        <f>TEXT(Tabla24[[#This Row],[Fecha]],"aaaa")</f>
        <v>2024</v>
      </c>
      <c r="E1706" t="s">
        <v>11</v>
      </c>
      <c r="F1706" t="s">
        <v>34</v>
      </c>
      <c r="G1706" t="s">
        <v>39</v>
      </c>
      <c r="H1706" t="s">
        <v>19</v>
      </c>
      <c r="I1706" t="s">
        <v>26</v>
      </c>
      <c r="J1706">
        <v>18</v>
      </c>
      <c r="K1706">
        <v>55067</v>
      </c>
      <c r="L1706">
        <f>Tabla24[[#This Row],[Precio_Unitario]]*Tabla24[[#This Row],[Unidades_Vendidas]]</f>
        <v>991206</v>
      </c>
      <c r="M1706" t="s">
        <v>16</v>
      </c>
    </row>
    <row r="1707" spans="1:13" x14ac:dyDescent="0.25">
      <c r="A1707" t="s">
        <v>377</v>
      </c>
      <c r="B1707" t="str">
        <f>TEXT(Tabla24[[#This Row],[Fecha]],"dddd")</f>
        <v>domingo</v>
      </c>
      <c r="C1707" t="str">
        <f>TEXT(Tabla24[[#This Row],[Fecha]],"mmmm")</f>
        <v>octubre</v>
      </c>
      <c r="D1707" t="str">
        <f>TEXT(Tabla24[[#This Row],[Fecha]],"aaaa")</f>
        <v>2024</v>
      </c>
      <c r="E1707" t="s">
        <v>42</v>
      </c>
      <c r="F1707" t="s">
        <v>38</v>
      </c>
      <c r="G1707" t="s">
        <v>39</v>
      </c>
      <c r="H1707" t="s">
        <v>30</v>
      </c>
      <c r="I1707" t="s">
        <v>26</v>
      </c>
      <c r="J1707">
        <v>7</v>
      </c>
      <c r="K1707">
        <v>36416</v>
      </c>
      <c r="L1707">
        <f>Tabla24[[#This Row],[Precio_Unitario]]*Tabla24[[#This Row],[Unidades_Vendidas]]</f>
        <v>254912</v>
      </c>
      <c r="M1707" t="s">
        <v>20</v>
      </c>
    </row>
    <row r="1708" spans="1:13" x14ac:dyDescent="0.25">
      <c r="A1708" t="s">
        <v>341</v>
      </c>
      <c r="B1708" t="str">
        <f>TEXT(Tabla24[[#This Row],[Fecha]],"dddd")</f>
        <v>lunes</v>
      </c>
      <c r="C1708" t="str">
        <f>TEXT(Tabla24[[#This Row],[Fecha]],"mmmm")</f>
        <v>abril</v>
      </c>
      <c r="D1708" t="str">
        <f>TEXT(Tabla24[[#This Row],[Fecha]],"aaaa")</f>
        <v>2024</v>
      </c>
      <c r="E1708" t="s">
        <v>33</v>
      </c>
      <c r="F1708" t="s">
        <v>34</v>
      </c>
      <c r="G1708" t="s">
        <v>24</v>
      </c>
      <c r="H1708" t="s">
        <v>30</v>
      </c>
      <c r="I1708" t="s">
        <v>40</v>
      </c>
      <c r="J1708">
        <v>15</v>
      </c>
      <c r="K1708">
        <v>38827</v>
      </c>
      <c r="L1708">
        <f>Tabla24[[#This Row],[Precio_Unitario]]*Tabla24[[#This Row],[Unidades_Vendidas]]</f>
        <v>582405</v>
      </c>
      <c r="M1708" t="s">
        <v>36</v>
      </c>
    </row>
    <row r="1709" spans="1:13" x14ac:dyDescent="0.25">
      <c r="A1709" t="s">
        <v>175</v>
      </c>
      <c r="B1709" t="str">
        <f>TEXT(Tabla24[[#This Row],[Fecha]],"dddd")</f>
        <v>domingo</v>
      </c>
      <c r="C1709" t="str">
        <f>TEXT(Tabla24[[#This Row],[Fecha]],"mmmm")</f>
        <v>febrero</v>
      </c>
      <c r="D1709" t="str">
        <f>TEXT(Tabla24[[#This Row],[Fecha]],"aaaa")</f>
        <v>2024</v>
      </c>
      <c r="E1709" t="s">
        <v>18</v>
      </c>
      <c r="F1709" t="s">
        <v>34</v>
      </c>
      <c r="G1709" t="s">
        <v>44</v>
      </c>
      <c r="H1709" t="s">
        <v>35</v>
      </c>
      <c r="I1709" t="s">
        <v>15</v>
      </c>
      <c r="J1709">
        <v>14</v>
      </c>
      <c r="K1709">
        <v>20518</v>
      </c>
      <c r="L1709">
        <f>Tabla24[[#This Row],[Precio_Unitario]]*Tabla24[[#This Row],[Unidades_Vendidas]]</f>
        <v>287252</v>
      </c>
      <c r="M1709" t="s">
        <v>16</v>
      </c>
    </row>
    <row r="1710" spans="1:13" x14ac:dyDescent="0.25">
      <c r="A1710" t="s">
        <v>156</v>
      </c>
      <c r="B1710" t="str">
        <f>TEXT(Tabla24[[#This Row],[Fecha]],"dddd")</f>
        <v>jueves</v>
      </c>
      <c r="C1710" t="str">
        <f>TEXT(Tabla24[[#This Row],[Fecha]],"mmmm")</f>
        <v>marzo</v>
      </c>
      <c r="D1710" t="str">
        <f>TEXT(Tabla24[[#This Row],[Fecha]],"aaaa")</f>
        <v>2024</v>
      </c>
      <c r="E1710" t="s">
        <v>18</v>
      </c>
      <c r="F1710" t="s">
        <v>23</v>
      </c>
      <c r="G1710" t="s">
        <v>13</v>
      </c>
      <c r="H1710" t="s">
        <v>30</v>
      </c>
      <c r="I1710" t="s">
        <v>26</v>
      </c>
      <c r="J1710">
        <v>9</v>
      </c>
      <c r="K1710">
        <v>17042</v>
      </c>
      <c r="L1710">
        <f>Tabla24[[#This Row],[Precio_Unitario]]*Tabla24[[#This Row],[Unidades_Vendidas]]</f>
        <v>153378</v>
      </c>
      <c r="M1710" t="s">
        <v>20</v>
      </c>
    </row>
    <row r="1711" spans="1:13" x14ac:dyDescent="0.25">
      <c r="A1711" t="s">
        <v>276</v>
      </c>
      <c r="B1711" t="str">
        <f>TEXT(Tabla24[[#This Row],[Fecha]],"dddd")</f>
        <v>domingo</v>
      </c>
      <c r="C1711" t="str">
        <f>TEXT(Tabla24[[#This Row],[Fecha]],"mmmm")</f>
        <v>marzo</v>
      </c>
      <c r="D1711" t="str">
        <f>TEXT(Tabla24[[#This Row],[Fecha]],"aaaa")</f>
        <v>2024</v>
      </c>
      <c r="E1711" t="s">
        <v>42</v>
      </c>
      <c r="F1711" t="s">
        <v>12</v>
      </c>
      <c r="G1711" t="s">
        <v>44</v>
      </c>
      <c r="H1711" t="s">
        <v>30</v>
      </c>
      <c r="I1711" t="s">
        <v>15</v>
      </c>
      <c r="J1711">
        <v>3</v>
      </c>
      <c r="K1711">
        <v>43682</v>
      </c>
      <c r="L1711">
        <f>Tabla24[[#This Row],[Precio_Unitario]]*Tabla24[[#This Row],[Unidades_Vendidas]]</f>
        <v>131046</v>
      </c>
      <c r="M1711" t="s">
        <v>20</v>
      </c>
    </row>
    <row r="1712" spans="1:13" x14ac:dyDescent="0.25">
      <c r="A1712" t="s">
        <v>207</v>
      </c>
      <c r="B1712" t="str">
        <f>TEXT(Tabla24[[#This Row],[Fecha]],"dddd")</f>
        <v>sábado</v>
      </c>
      <c r="C1712" t="str">
        <f>TEXT(Tabla24[[#This Row],[Fecha]],"mmmm")</f>
        <v>abril</v>
      </c>
      <c r="D1712" t="str">
        <f>TEXT(Tabla24[[#This Row],[Fecha]],"aaaa")</f>
        <v>2024</v>
      </c>
      <c r="E1712" t="s">
        <v>42</v>
      </c>
      <c r="F1712" t="s">
        <v>23</v>
      </c>
      <c r="G1712" t="s">
        <v>24</v>
      </c>
      <c r="H1712" t="s">
        <v>30</v>
      </c>
      <c r="I1712" t="s">
        <v>40</v>
      </c>
      <c r="J1712">
        <v>19</v>
      </c>
      <c r="K1712">
        <v>52922</v>
      </c>
      <c r="L1712">
        <f>Tabla24[[#This Row],[Precio_Unitario]]*Tabla24[[#This Row],[Unidades_Vendidas]]</f>
        <v>1005518</v>
      </c>
      <c r="M1712" t="s">
        <v>16</v>
      </c>
    </row>
    <row r="1713" spans="1:13" x14ac:dyDescent="0.25">
      <c r="A1713" t="s">
        <v>43</v>
      </c>
      <c r="B1713" t="str">
        <f>TEXT(Tabla24[[#This Row],[Fecha]],"dddd")</f>
        <v>martes</v>
      </c>
      <c r="C1713" t="str">
        <f>TEXT(Tabla24[[#This Row],[Fecha]],"mmmm")</f>
        <v>marzo</v>
      </c>
      <c r="D1713" t="str">
        <f>TEXT(Tabla24[[#This Row],[Fecha]],"aaaa")</f>
        <v>2024</v>
      </c>
      <c r="E1713" t="s">
        <v>33</v>
      </c>
      <c r="F1713" t="s">
        <v>29</v>
      </c>
      <c r="G1713" t="s">
        <v>44</v>
      </c>
      <c r="H1713" t="s">
        <v>30</v>
      </c>
      <c r="I1713" t="s">
        <v>15</v>
      </c>
      <c r="J1713">
        <v>7</v>
      </c>
      <c r="K1713">
        <v>36335</v>
      </c>
      <c r="L1713">
        <f>Tabla24[[#This Row],[Precio_Unitario]]*Tabla24[[#This Row],[Unidades_Vendidas]]</f>
        <v>254345</v>
      </c>
      <c r="M1713" t="s">
        <v>16</v>
      </c>
    </row>
    <row r="1714" spans="1:13" x14ac:dyDescent="0.25">
      <c r="A1714" t="s">
        <v>315</v>
      </c>
      <c r="B1714" t="str">
        <f>TEXT(Tabla24[[#This Row],[Fecha]],"dddd")</f>
        <v>domingo</v>
      </c>
      <c r="C1714" t="str">
        <f>TEXT(Tabla24[[#This Row],[Fecha]],"mmmm")</f>
        <v>diciembre</v>
      </c>
      <c r="D1714" t="str">
        <f>TEXT(Tabla24[[#This Row],[Fecha]],"aaaa")</f>
        <v>2024</v>
      </c>
      <c r="E1714" t="s">
        <v>11</v>
      </c>
      <c r="F1714" t="s">
        <v>12</v>
      </c>
      <c r="G1714" t="s">
        <v>39</v>
      </c>
      <c r="H1714" t="s">
        <v>25</v>
      </c>
      <c r="I1714" t="s">
        <v>40</v>
      </c>
      <c r="J1714">
        <v>5</v>
      </c>
      <c r="K1714">
        <v>46598</v>
      </c>
      <c r="L1714">
        <f>Tabla24[[#This Row],[Precio_Unitario]]*Tabla24[[#This Row],[Unidades_Vendidas]]</f>
        <v>232990</v>
      </c>
      <c r="M1714" t="s">
        <v>20</v>
      </c>
    </row>
    <row r="1715" spans="1:13" x14ac:dyDescent="0.25">
      <c r="A1715" t="s">
        <v>254</v>
      </c>
      <c r="B1715" t="str">
        <f>TEXT(Tabla24[[#This Row],[Fecha]],"dddd")</f>
        <v>sábado</v>
      </c>
      <c r="C1715" t="str">
        <f>TEXT(Tabla24[[#This Row],[Fecha]],"mmmm")</f>
        <v>enero</v>
      </c>
      <c r="D1715" t="str">
        <f>TEXT(Tabla24[[#This Row],[Fecha]],"aaaa")</f>
        <v>2024</v>
      </c>
      <c r="E1715" t="s">
        <v>22</v>
      </c>
      <c r="F1715" t="s">
        <v>34</v>
      </c>
      <c r="G1715" t="s">
        <v>39</v>
      </c>
      <c r="H1715" t="s">
        <v>19</v>
      </c>
      <c r="I1715" t="s">
        <v>40</v>
      </c>
      <c r="J1715">
        <v>18</v>
      </c>
      <c r="K1715">
        <v>25777</v>
      </c>
      <c r="L1715">
        <f>Tabla24[[#This Row],[Precio_Unitario]]*Tabla24[[#This Row],[Unidades_Vendidas]]</f>
        <v>463986</v>
      </c>
      <c r="M1715" t="s">
        <v>20</v>
      </c>
    </row>
    <row r="1716" spans="1:13" x14ac:dyDescent="0.25">
      <c r="A1716" t="s">
        <v>162</v>
      </c>
      <c r="B1716" t="str">
        <f>TEXT(Tabla24[[#This Row],[Fecha]],"dddd")</f>
        <v>viernes</v>
      </c>
      <c r="C1716" t="str">
        <f>TEXT(Tabla24[[#This Row],[Fecha]],"mmmm")</f>
        <v>mayo</v>
      </c>
      <c r="D1716" t="str">
        <f>TEXT(Tabla24[[#This Row],[Fecha]],"aaaa")</f>
        <v>2024</v>
      </c>
      <c r="E1716" t="s">
        <v>11</v>
      </c>
      <c r="F1716" t="s">
        <v>29</v>
      </c>
      <c r="G1716" t="s">
        <v>39</v>
      </c>
      <c r="H1716" t="s">
        <v>19</v>
      </c>
      <c r="I1716" t="s">
        <v>40</v>
      </c>
      <c r="J1716">
        <v>18</v>
      </c>
      <c r="K1716">
        <v>22201</v>
      </c>
      <c r="L1716">
        <f>Tabla24[[#This Row],[Precio_Unitario]]*Tabla24[[#This Row],[Unidades_Vendidas]]</f>
        <v>399618</v>
      </c>
      <c r="M1716" t="s">
        <v>27</v>
      </c>
    </row>
    <row r="1717" spans="1:13" x14ac:dyDescent="0.25">
      <c r="A1717" t="s">
        <v>59</v>
      </c>
      <c r="B1717" t="str">
        <f>TEXT(Tabla24[[#This Row],[Fecha]],"dddd")</f>
        <v>sábado</v>
      </c>
      <c r="C1717" t="str">
        <f>TEXT(Tabla24[[#This Row],[Fecha]],"mmmm")</f>
        <v>octubre</v>
      </c>
      <c r="D1717" t="str">
        <f>TEXT(Tabla24[[#This Row],[Fecha]],"aaaa")</f>
        <v>2024</v>
      </c>
      <c r="E1717" t="s">
        <v>33</v>
      </c>
      <c r="F1717" t="s">
        <v>29</v>
      </c>
      <c r="G1717" t="s">
        <v>13</v>
      </c>
      <c r="H1717" t="s">
        <v>19</v>
      </c>
      <c r="I1717" t="s">
        <v>15</v>
      </c>
      <c r="J1717">
        <v>6</v>
      </c>
      <c r="K1717">
        <v>31992</v>
      </c>
      <c r="L1717">
        <f>Tabla24[[#This Row],[Precio_Unitario]]*Tabla24[[#This Row],[Unidades_Vendidas]]</f>
        <v>191952</v>
      </c>
      <c r="M1717" t="s">
        <v>16</v>
      </c>
    </row>
    <row r="1718" spans="1:13" x14ac:dyDescent="0.25">
      <c r="A1718" t="s">
        <v>255</v>
      </c>
      <c r="B1718" t="str">
        <f>TEXT(Tabla24[[#This Row],[Fecha]],"dddd")</f>
        <v>domingo</v>
      </c>
      <c r="C1718" t="str">
        <f>TEXT(Tabla24[[#This Row],[Fecha]],"mmmm")</f>
        <v>enero</v>
      </c>
      <c r="D1718" t="str">
        <f>TEXT(Tabla24[[#This Row],[Fecha]],"aaaa")</f>
        <v>2024</v>
      </c>
      <c r="E1718" t="s">
        <v>42</v>
      </c>
      <c r="F1718" t="s">
        <v>38</v>
      </c>
      <c r="G1718" t="s">
        <v>48</v>
      </c>
      <c r="H1718" t="s">
        <v>30</v>
      </c>
      <c r="I1718" t="s">
        <v>26</v>
      </c>
      <c r="J1718">
        <v>3</v>
      </c>
      <c r="K1718">
        <v>36419</v>
      </c>
      <c r="L1718">
        <f>Tabla24[[#This Row],[Precio_Unitario]]*Tabla24[[#This Row],[Unidades_Vendidas]]</f>
        <v>109257</v>
      </c>
      <c r="M1718" t="s">
        <v>20</v>
      </c>
    </row>
    <row r="1719" spans="1:13" x14ac:dyDescent="0.25">
      <c r="A1719" t="s">
        <v>269</v>
      </c>
      <c r="B1719" t="str">
        <f>TEXT(Tabla24[[#This Row],[Fecha]],"dddd")</f>
        <v>martes</v>
      </c>
      <c r="C1719" t="str">
        <f>TEXT(Tabla24[[#This Row],[Fecha]],"mmmm")</f>
        <v>marzo</v>
      </c>
      <c r="D1719" t="str">
        <f>TEXT(Tabla24[[#This Row],[Fecha]],"aaaa")</f>
        <v>2024</v>
      </c>
      <c r="E1719" t="s">
        <v>11</v>
      </c>
      <c r="F1719" t="s">
        <v>29</v>
      </c>
      <c r="G1719" t="s">
        <v>39</v>
      </c>
      <c r="H1719" t="s">
        <v>30</v>
      </c>
      <c r="I1719" t="s">
        <v>40</v>
      </c>
      <c r="J1719">
        <v>7</v>
      </c>
      <c r="K1719">
        <v>19938</v>
      </c>
      <c r="L1719">
        <f>Tabla24[[#This Row],[Precio_Unitario]]*Tabla24[[#This Row],[Unidades_Vendidas]]</f>
        <v>139566</v>
      </c>
      <c r="M1719" t="s">
        <v>27</v>
      </c>
    </row>
    <row r="1720" spans="1:13" x14ac:dyDescent="0.25">
      <c r="A1720" t="s">
        <v>264</v>
      </c>
      <c r="B1720" t="str">
        <f>TEXT(Tabla24[[#This Row],[Fecha]],"dddd")</f>
        <v>lunes</v>
      </c>
      <c r="C1720" t="str">
        <f>TEXT(Tabla24[[#This Row],[Fecha]],"mmmm")</f>
        <v>diciembre</v>
      </c>
      <c r="D1720" t="str">
        <f>TEXT(Tabla24[[#This Row],[Fecha]],"aaaa")</f>
        <v>2024</v>
      </c>
      <c r="E1720" t="s">
        <v>42</v>
      </c>
      <c r="F1720" t="s">
        <v>23</v>
      </c>
      <c r="G1720" t="s">
        <v>48</v>
      </c>
      <c r="H1720" t="s">
        <v>14</v>
      </c>
      <c r="I1720" t="s">
        <v>26</v>
      </c>
      <c r="J1720">
        <v>8</v>
      </c>
      <c r="K1720">
        <v>22873</v>
      </c>
      <c r="L1720">
        <f>Tabla24[[#This Row],[Precio_Unitario]]*Tabla24[[#This Row],[Unidades_Vendidas]]</f>
        <v>182984</v>
      </c>
      <c r="M1720" t="s">
        <v>27</v>
      </c>
    </row>
    <row r="1721" spans="1:13" x14ac:dyDescent="0.25">
      <c r="A1721" t="s">
        <v>375</v>
      </c>
      <c r="B1721" t="str">
        <f>TEXT(Tabla24[[#This Row],[Fecha]],"dddd")</f>
        <v>lunes</v>
      </c>
      <c r="C1721" t="str">
        <f>TEXT(Tabla24[[#This Row],[Fecha]],"mmmm")</f>
        <v>septiembre</v>
      </c>
      <c r="D1721" t="str">
        <f>TEXT(Tabla24[[#This Row],[Fecha]],"aaaa")</f>
        <v>2024</v>
      </c>
      <c r="E1721" t="s">
        <v>42</v>
      </c>
      <c r="F1721" t="s">
        <v>34</v>
      </c>
      <c r="G1721" t="s">
        <v>48</v>
      </c>
      <c r="H1721" t="s">
        <v>14</v>
      </c>
      <c r="I1721" t="s">
        <v>40</v>
      </c>
      <c r="J1721">
        <v>14</v>
      </c>
      <c r="K1721">
        <v>22239</v>
      </c>
      <c r="L1721">
        <f>Tabla24[[#This Row],[Precio_Unitario]]*Tabla24[[#This Row],[Unidades_Vendidas]]</f>
        <v>311346</v>
      </c>
      <c r="M1721" t="s">
        <v>27</v>
      </c>
    </row>
    <row r="1722" spans="1:13" x14ac:dyDescent="0.25">
      <c r="A1722" t="s">
        <v>289</v>
      </c>
      <c r="B1722" t="str">
        <f>TEXT(Tabla24[[#This Row],[Fecha]],"dddd")</f>
        <v>miércoles</v>
      </c>
      <c r="C1722" t="str">
        <f>TEXT(Tabla24[[#This Row],[Fecha]],"mmmm")</f>
        <v>diciembre</v>
      </c>
      <c r="D1722" t="str">
        <f>TEXT(Tabla24[[#This Row],[Fecha]],"aaaa")</f>
        <v>2024</v>
      </c>
      <c r="E1722" t="s">
        <v>42</v>
      </c>
      <c r="F1722" t="s">
        <v>34</v>
      </c>
      <c r="G1722" t="s">
        <v>13</v>
      </c>
      <c r="H1722" t="s">
        <v>19</v>
      </c>
      <c r="I1722" t="s">
        <v>40</v>
      </c>
      <c r="J1722">
        <v>16</v>
      </c>
      <c r="K1722">
        <v>17325</v>
      </c>
      <c r="L1722">
        <f>Tabla24[[#This Row],[Precio_Unitario]]*Tabla24[[#This Row],[Unidades_Vendidas]]</f>
        <v>277200</v>
      </c>
      <c r="M1722" t="s">
        <v>16</v>
      </c>
    </row>
    <row r="1723" spans="1:13" x14ac:dyDescent="0.25">
      <c r="A1723" t="s">
        <v>190</v>
      </c>
      <c r="B1723" t="str">
        <f>TEXT(Tabla24[[#This Row],[Fecha]],"dddd")</f>
        <v>sábado</v>
      </c>
      <c r="C1723" t="str">
        <f>TEXT(Tabla24[[#This Row],[Fecha]],"mmmm")</f>
        <v>agosto</v>
      </c>
      <c r="D1723" t="str">
        <f>TEXT(Tabla24[[#This Row],[Fecha]],"aaaa")</f>
        <v>2024</v>
      </c>
      <c r="E1723" t="s">
        <v>42</v>
      </c>
      <c r="F1723" t="s">
        <v>29</v>
      </c>
      <c r="G1723" t="s">
        <v>24</v>
      </c>
      <c r="H1723" t="s">
        <v>25</v>
      </c>
      <c r="I1723" t="s">
        <v>15</v>
      </c>
      <c r="J1723">
        <v>18</v>
      </c>
      <c r="K1723">
        <v>27081</v>
      </c>
      <c r="L1723">
        <f>Tabla24[[#This Row],[Precio_Unitario]]*Tabla24[[#This Row],[Unidades_Vendidas]]</f>
        <v>487458</v>
      </c>
      <c r="M1723" t="s">
        <v>16</v>
      </c>
    </row>
    <row r="1724" spans="1:13" x14ac:dyDescent="0.25">
      <c r="A1724" t="s">
        <v>228</v>
      </c>
      <c r="B1724" t="str">
        <f>TEXT(Tabla24[[#This Row],[Fecha]],"dddd")</f>
        <v>martes</v>
      </c>
      <c r="C1724" t="str">
        <f>TEXT(Tabla24[[#This Row],[Fecha]],"mmmm")</f>
        <v>agosto</v>
      </c>
      <c r="D1724" t="str">
        <f>TEXT(Tabla24[[#This Row],[Fecha]],"aaaa")</f>
        <v>2024</v>
      </c>
      <c r="E1724" t="s">
        <v>18</v>
      </c>
      <c r="F1724" t="s">
        <v>38</v>
      </c>
      <c r="G1724" t="s">
        <v>48</v>
      </c>
      <c r="H1724" t="s">
        <v>14</v>
      </c>
      <c r="I1724" t="s">
        <v>40</v>
      </c>
      <c r="J1724">
        <v>13</v>
      </c>
      <c r="K1724">
        <v>18947</v>
      </c>
      <c r="L1724">
        <f>Tabla24[[#This Row],[Precio_Unitario]]*Tabla24[[#This Row],[Unidades_Vendidas]]</f>
        <v>246311</v>
      </c>
      <c r="M1724" t="s">
        <v>27</v>
      </c>
    </row>
    <row r="1725" spans="1:13" x14ac:dyDescent="0.25">
      <c r="A1725" t="s">
        <v>378</v>
      </c>
      <c r="B1725" t="str">
        <f>TEXT(Tabla24[[#This Row],[Fecha]],"dddd")</f>
        <v>domingo</v>
      </c>
      <c r="C1725" t="str">
        <f>TEXT(Tabla24[[#This Row],[Fecha]],"mmmm")</f>
        <v>agosto</v>
      </c>
      <c r="D1725" t="str">
        <f>TEXT(Tabla24[[#This Row],[Fecha]],"aaaa")</f>
        <v>2024</v>
      </c>
      <c r="E1725" t="s">
        <v>42</v>
      </c>
      <c r="F1725" t="s">
        <v>34</v>
      </c>
      <c r="G1725" t="s">
        <v>24</v>
      </c>
      <c r="H1725" t="s">
        <v>14</v>
      </c>
      <c r="I1725" t="s">
        <v>40</v>
      </c>
      <c r="J1725">
        <v>3</v>
      </c>
      <c r="K1725">
        <v>48874</v>
      </c>
      <c r="L1725">
        <f>Tabla24[[#This Row],[Precio_Unitario]]*Tabla24[[#This Row],[Unidades_Vendidas]]</f>
        <v>146622</v>
      </c>
      <c r="M1725" t="s">
        <v>36</v>
      </c>
    </row>
    <row r="1726" spans="1:13" x14ac:dyDescent="0.25">
      <c r="A1726" t="s">
        <v>350</v>
      </c>
      <c r="B1726" t="str">
        <f>TEXT(Tabla24[[#This Row],[Fecha]],"dddd")</f>
        <v>domingo</v>
      </c>
      <c r="C1726" t="str">
        <f>TEXT(Tabla24[[#This Row],[Fecha]],"mmmm")</f>
        <v>junio</v>
      </c>
      <c r="D1726" t="str">
        <f>TEXT(Tabla24[[#This Row],[Fecha]],"aaaa")</f>
        <v>2024</v>
      </c>
      <c r="E1726" t="s">
        <v>22</v>
      </c>
      <c r="F1726" t="s">
        <v>29</v>
      </c>
      <c r="G1726" t="s">
        <v>39</v>
      </c>
      <c r="H1726" t="s">
        <v>25</v>
      </c>
      <c r="I1726" t="s">
        <v>26</v>
      </c>
      <c r="J1726">
        <v>14</v>
      </c>
      <c r="K1726">
        <v>46966</v>
      </c>
      <c r="L1726">
        <f>Tabla24[[#This Row],[Precio_Unitario]]*Tabla24[[#This Row],[Unidades_Vendidas]]</f>
        <v>657524</v>
      </c>
      <c r="M1726" t="s">
        <v>20</v>
      </c>
    </row>
    <row r="1727" spans="1:13" x14ac:dyDescent="0.25">
      <c r="A1727" t="s">
        <v>53</v>
      </c>
      <c r="B1727" t="str">
        <f>TEXT(Tabla24[[#This Row],[Fecha]],"dddd")</f>
        <v>jueves</v>
      </c>
      <c r="C1727" t="str">
        <f>TEXT(Tabla24[[#This Row],[Fecha]],"mmmm")</f>
        <v>mayo</v>
      </c>
      <c r="D1727" t="str">
        <f>TEXT(Tabla24[[#This Row],[Fecha]],"aaaa")</f>
        <v>2024</v>
      </c>
      <c r="E1727" t="s">
        <v>22</v>
      </c>
      <c r="F1727" t="s">
        <v>12</v>
      </c>
      <c r="G1727" t="s">
        <v>48</v>
      </c>
      <c r="H1727" t="s">
        <v>35</v>
      </c>
      <c r="I1727" t="s">
        <v>15</v>
      </c>
      <c r="J1727">
        <v>17</v>
      </c>
      <c r="K1727">
        <v>18730</v>
      </c>
      <c r="L1727">
        <f>Tabla24[[#This Row],[Precio_Unitario]]*Tabla24[[#This Row],[Unidades_Vendidas]]</f>
        <v>318410</v>
      </c>
      <c r="M1727" t="s">
        <v>36</v>
      </c>
    </row>
    <row r="1728" spans="1:13" x14ac:dyDescent="0.25">
      <c r="A1728" t="s">
        <v>160</v>
      </c>
      <c r="B1728" t="str">
        <f>TEXT(Tabla24[[#This Row],[Fecha]],"dddd")</f>
        <v>jueves</v>
      </c>
      <c r="C1728" t="str">
        <f>TEXT(Tabla24[[#This Row],[Fecha]],"mmmm")</f>
        <v>febrero</v>
      </c>
      <c r="D1728" t="str">
        <f>TEXT(Tabla24[[#This Row],[Fecha]],"aaaa")</f>
        <v>2024</v>
      </c>
      <c r="E1728" t="s">
        <v>33</v>
      </c>
      <c r="F1728" t="s">
        <v>23</v>
      </c>
      <c r="G1728" t="s">
        <v>13</v>
      </c>
      <c r="H1728" t="s">
        <v>25</v>
      </c>
      <c r="I1728" t="s">
        <v>40</v>
      </c>
      <c r="J1728">
        <v>18</v>
      </c>
      <c r="K1728">
        <v>48598</v>
      </c>
      <c r="L1728">
        <f>Tabla24[[#This Row],[Precio_Unitario]]*Tabla24[[#This Row],[Unidades_Vendidas]]</f>
        <v>874764</v>
      </c>
      <c r="M1728" t="s">
        <v>36</v>
      </c>
    </row>
    <row r="1729" spans="1:13" x14ac:dyDescent="0.25">
      <c r="A1729" t="s">
        <v>251</v>
      </c>
      <c r="B1729" t="str">
        <f>TEXT(Tabla24[[#This Row],[Fecha]],"dddd")</f>
        <v>domingo</v>
      </c>
      <c r="C1729" t="str">
        <f>TEXT(Tabla24[[#This Row],[Fecha]],"mmmm")</f>
        <v>febrero</v>
      </c>
      <c r="D1729" t="str">
        <f>TEXT(Tabla24[[#This Row],[Fecha]],"aaaa")</f>
        <v>2024</v>
      </c>
      <c r="E1729" t="s">
        <v>22</v>
      </c>
      <c r="F1729" t="s">
        <v>38</v>
      </c>
      <c r="G1729" t="s">
        <v>39</v>
      </c>
      <c r="H1729" t="s">
        <v>14</v>
      </c>
      <c r="I1729" t="s">
        <v>40</v>
      </c>
      <c r="J1729">
        <v>19</v>
      </c>
      <c r="K1729">
        <v>32076</v>
      </c>
      <c r="L1729">
        <f>Tabla24[[#This Row],[Precio_Unitario]]*Tabla24[[#This Row],[Unidades_Vendidas]]</f>
        <v>609444</v>
      </c>
      <c r="M1729" t="s">
        <v>27</v>
      </c>
    </row>
    <row r="1730" spans="1:13" x14ac:dyDescent="0.25">
      <c r="A1730" t="s">
        <v>154</v>
      </c>
      <c r="B1730" t="str">
        <f>TEXT(Tabla24[[#This Row],[Fecha]],"dddd")</f>
        <v>sábado</v>
      </c>
      <c r="C1730" t="str">
        <f>TEXT(Tabla24[[#This Row],[Fecha]],"mmmm")</f>
        <v>noviembre</v>
      </c>
      <c r="D1730" t="str">
        <f>TEXT(Tabla24[[#This Row],[Fecha]],"aaaa")</f>
        <v>2024</v>
      </c>
      <c r="E1730" t="s">
        <v>42</v>
      </c>
      <c r="F1730" t="s">
        <v>29</v>
      </c>
      <c r="G1730" t="s">
        <v>44</v>
      </c>
      <c r="H1730" t="s">
        <v>30</v>
      </c>
      <c r="I1730" t="s">
        <v>15</v>
      </c>
      <c r="J1730">
        <v>18</v>
      </c>
      <c r="K1730">
        <v>22158</v>
      </c>
      <c r="L1730">
        <f>Tabla24[[#This Row],[Precio_Unitario]]*Tabla24[[#This Row],[Unidades_Vendidas]]</f>
        <v>398844</v>
      </c>
      <c r="M1730" t="s">
        <v>36</v>
      </c>
    </row>
    <row r="1731" spans="1:13" x14ac:dyDescent="0.25">
      <c r="A1731" t="s">
        <v>84</v>
      </c>
      <c r="B1731" t="str">
        <f>TEXT(Tabla24[[#This Row],[Fecha]],"dddd")</f>
        <v>miércoles</v>
      </c>
      <c r="C1731" t="str">
        <f>TEXT(Tabla24[[#This Row],[Fecha]],"mmmm")</f>
        <v>febrero</v>
      </c>
      <c r="D1731" t="str">
        <f>TEXT(Tabla24[[#This Row],[Fecha]],"aaaa")</f>
        <v>2024</v>
      </c>
      <c r="E1731" t="s">
        <v>18</v>
      </c>
      <c r="F1731" t="s">
        <v>23</v>
      </c>
      <c r="G1731" t="s">
        <v>24</v>
      </c>
      <c r="H1731" t="s">
        <v>25</v>
      </c>
      <c r="I1731" t="s">
        <v>15</v>
      </c>
      <c r="J1731">
        <v>1</v>
      </c>
      <c r="K1731">
        <v>23365</v>
      </c>
      <c r="L1731">
        <f>Tabla24[[#This Row],[Precio_Unitario]]*Tabla24[[#This Row],[Unidades_Vendidas]]</f>
        <v>23365</v>
      </c>
      <c r="M1731" t="s">
        <v>20</v>
      </c>
    </row>
    <row r="1732" spans="1:13" x14ac:dyDescent="0.25">
      <c r="A1732" t="s">
        <v>101</v>
      </c>
      <c r="B1732" t="str">
        <f>TEXT(Tabla24[[#This Row],[Fecha]],"dddd")</f>
        <v>miércoles</v>
      </c>
      <c r="C1732" t="str">
        <f>TEXT(Tabla24[[#This Row],[Fecha]],"mmmm")</f>
        <v>diciembre</v>
      </c>
      <c r="D1732" t="str">
        <f>TEXT(Tabla24[[#This Row],[Fecha]],"aaaa")</f>
        <v>2024</v>
      </c>
      <c r="E1732" t="s">
        <v>11</v>
      </c>
      <c r="F1732" t="s">
        <v>23</v>
      </c>
      <c r="G1732" t="s">
        <v>39</v>
      </c>
      <c r="H1732" t="s">
        <v>14</v>
      </c>
      <c r="I1732" t="s">
        <v>26</v>
      </c>
      <c r="J1732">
        <v>19</v>
      </c>
      <c r="K1732">
        <v>38250</v>
      </c>
      <c r="L1732">
        <f>Tabla24[[#This Row],[Precio_Unitario]]*Tabla24[[#This Row],[Unidades_Vendidas]]</f>
        <v>726750</v>
      </c>
      <c r="M1732" t="s">
        <v>20</v>
      </c>
    </row>
    <row r="1733" spans="1:13" x14ac:dyDescent="0.25">
      <c r="A1733" t="s">
        <v>262</v>
      </c>
      <c r="B1733" t="str">
        <f>TEXT(Tabla24[[#This Row],[Fecha]],"dddd")</f>
        <v>viernes</v>
      </c>
      <c r="C1733" t="str">
        <f>TEXT(Tabla24[[#This Row],[Fecha]],"mmmm")</f>
        <v>enero</v>
      </c>
      <c r="D1733" t="str">
        <f>TEXT(Tabla24[[#This Row],[Fecha]],"aaaa")</f>
        <v>2024</v>
      </c>
      <c r="E1733" t="s">
        <v>33</v>
      </c>
      <c r="F1733" t="s">
        <v>34</v>
      </c>
      <c r="G1733" t="s">
        <v>48</v>
      </c>
      <c r="H1733" t="s">
        <v>14</v>
      </c>
      <c r="I1733" t="s">
        <v>15</v>
      </c>
      <c r="J1733">
        <v>8</v>
      </c>
      <c r="K1733">
        <v>41722</v>
      </c>
      <c r="L1733">
        <f>Tabla24[[#This Row],[Precio_Unitario]]*Tabla24[[#This Row],[Unidades_Vendidas]]</f>
        <v>333776</v>
      </c>
      <c r="M1733" t="s">
        <v>20</v>
      </c>
    </row>
    <row r="1734" spans="1:13" x14ac:dyDescent="0.25">
      <c r="A1734" t="s">
        <v>67</v>
      </c>
      <c r="B1734" t="str">
        <f>TEXT(Tabla24[[#This Row],[Fecha]],"dddd")</f>
        <v>jueves</v>
      </c>
      <c r="C1734" t="str">
        <f>TEXT(Tabla24[[#This Row],[Fecha]],"mmmm")</f>
        <v>agosto</v>
      </c>
      <c r="D1734" t="str">
        <f>TEXT(Tabla24[[#This Row],[Fecha]],"aaaa")</f>
        <v>2024</v>
      </c>
      <c r="E1734" t="s">
        <v>11</v>
      </c>
      <c r="F1734" t="s">
        <v>29</v>
      </c>
      <c r="G1734" t="s">
        <v>48</v>
      </c>
      <c r="H1734" t="s">
        <v>19</v>
      </c>
      <c r="I1734" t="s">
        <v>40</v>
      </c>
      <c r="J1734">
        <v>10</v>
      </c>
      <c r="K1734">
        <v>43563</v>
      </c>
      <c r="L1734">
        <f>Tabla24[[#This Row],[Precio_Unitario]]*Tabla24[[#This Row],[Unidades_Vendidas]]</f>
        <v>435630</v>
      </c>
      <c r="M1734" t="s">
        <v>20</v>
      </c>
    </row>
    <row r="1735" spans="1:13" x14ac:dyDescent="0.25">
      <c r="A1735" t="s">
        <v>108</v>
      </c>
      <c r="B1735" t="str">
        <f>TEXT(Tabla24[[#This Row],[Fecha]],"dddd")</f>
        <v>viernes</v>
      </c>
      <c r="C1735" t="str">
        <f>TEXT(Tabla24[[#This Row],[Fecha]],"mmmm")</f>
        <v>marzo</v>
      </c>
      <c r="D1735" t="str">
        <f>TEXT(Tabla24[[#This Row],[Fecha]],"aaaa")</f>
        <v>2024</v>
      </c>
      <c r="E1735" t="s">
        <v>42</v>
      </c>
      <c r="F1735" t="s">
        <v>23</v>
      </c>
      <c r="G1735" t="s">
        <v>39</v>
      </c>
      <c r="H1735" t="s">
        <v>35</v>
      </c>
      <c r="I1735" t="s">
        <v>40</v>
      </c>
      <c r="J1735">
        <v>19</v>
      </c>
      <c r="K1735">
        <v>15849</v>
      </c>
      <c r="L1735">
        <f>Tabla24[[#This Row],[Precio_Unitario]]*Tabla24[[#This Row],[Unidades_Vendidas]]</f>
        <v>301131</v>
      </c>
      <c r="M1735" t="s">
        <v>20</v>
      </c>
    </row>
    <row r="1736" spans="1:13" x14ac:dyDescent="0.25">
      <c r="A1736" t="s">
        <v>175</v>
      </c>
      <c r="B1736" t="str">
        <f>TEXT(Tabla24[[#This Row],[Fecha]],"dddd")</f>
        <v>domingo</v>
      </c>
      <c r="C1736" t="str">
        <f>TEXT(Tabla24[[#This Row],[Fecha]],"mmmm")</f>
        <v>febrero</v>
      </c>
      <c r="D1736" t="str">
        <f>TEXT(Tabla24[[#This Row],[Fecha]],"aaaa")</f>
        <v>2024</v>
      </c>
      <c r="E1736" t="s">
        <v>42</v>
      </c>
      <c r="F1736" t="s">
        <v>29</v>
      </c>
      <c r="G1736" t="s">
        <v>44</v>
      </c>
      <c r="H1736" t="s">
        <v>14</v>
      </c>
      <c r="I1736" t="s">
        <v>40</v>
      </c>
      <c r="J1736">
        <v>16</v>
      </c>
      <c r="K1736">
        <v>38298</v>
      </c>
      <c r="L1736">
        <f>Tabla24[[#This Row],[Precio_Unitario]]*Tabla24[[#This Row],[Unidades_Vendidas]]</f>
        <v>612768</v>
      </c>
      <c r="M1736" t="s">
        <v>20</v>
      </c>
    </row>
    <row r="1737" spans="1:13" x14ac:dyDescent="0.25">
      <c r="A1737" t="s">
        <v>214</v>
      </c>
      <c r="B1737" t="str">
        <f>TEXT(Tabla24[[#This Row],[Fecha]],"dddd")</f>
        <v>lunes</v>
      </c>
      <c r="C1737" t="str">
        <f>TEXT(Tabla24[[#This Row],[Fecha]],"mmmm")</f>
        <v>noviembre</v>
      </c>
      <c r="D1737" t="str">
        <f>TEXT(Tabla24[[#This Row],[Fecha]],"aaaa")</f>
        <v>2024</v>
      </c>
      <c r="E1737" t="s">
        <v>11</v>
      </c>
      <c r="F1737" t="s">
        <v>12</v>
      </c>
      <c r="G1737" t="s">
        <v>48</v>
      </c>
      <c r="H1737" t="s">
        <v>30</v>
      </c>
      <c r="I1737" t="s">
        <v>26</v>
      </c>
      <c r="J1737">
        <v>3</v>
      </c>
      <c r="K1737">
        <v>40807</v>
      </c>
      <c r="L1737">
        <f>Tabla24[[#This Row],[Precio_Unitario]]*Tabla24[[#This Row],[Unidades_Vendidas]]</f>
        <v>122421</v>
      </c>
      <c r="M1737" t="s">
        <v>36</v>
      </c>
    </row>
    <row r="1738" spans="1:13" x14ac:dyDescent="0.25">
      <c r="A1738" t="s">
        <v>204</v>
      </c>
      <c r="B1738" t="str">
        <f>TEXT(Tabla24[[#This Row],[Fecha]],"dddd")</f>
        <v>lunes</v>
      </c>
      <c r="C1738" t="str">
        <f>TEXT(Tabla24[[#This Row],[Fecha]],"mmmm")</f>
        <v>enero</v>
      </c>
      <c r="D1738" t="str">
        <f>TEXT(Tabla24[[#This Row],[Fecha]],"aaaa")</f>
        <v>2024</v>
      </c>
      <c r="E1738" t="s">
        <v>11</v>
      </c>
      <c r="F1738" t="s">
        <v>23</v>
      </c>
      <c r="G1738" t="s">
        <v>48</v>
      </c>
      <c r="H1738" t="s">
        <v>14</v>
      </c>
      <c r="I1738" t="s">
        <v>15</v>
      </c>
      <c r="J1738">
        <v>1</v>
      </c>
      <c r="K1738">
        <v>36049</v>
      </c>
      <c r="L1738">
        <f>Tabla24[[#This Row],[Precio_Unitario]]*Tabla24[[#This Row],[Unidades_Vendidas]]</f>
        <v>36049</v>
      </c>
      <c r="M1738" t="s">
        <v>16</v>
      </c>
    </row>
    <row r="1739" spans="1:13" x14ac:dyDescent="0.25">
      <c r="A1739" t="s">
        <v>270</v>
      </c>
      <c r="B1739" t="str">
        <f>TEXT(Tabla24[[#This Row],[Fecha]],"dddd")</f>
        <v>viernes</v>
      </c>
      <c r="C1739" t="str">
        <f>TEXT(Tabla24[[#This Row],[Fecha]],"mmmm")</f>
        <v>octubre</v>
      </c>
      <c r="D1739" t="str">
        <f>TEXT(Tabla24[[#This Row],[Fecha]],"aaaa")</f>
        <v>2024</v>
      </c>
      <c r="E1739" t="s">
        <v>42</v>
      </c>
      <c r="F1739" t="s">
        <v>23</v>
      </c>
      <c r="G1739" t="s">
        <v>13</v>
      </c>
      <c r="H1739" t="s">
        <v>19</v>
      </c>
      <c r="I1739" t="s">
        <v>15</v>
      </c>
      <c r="J1739">
        <v>6</v>
      </c>
      <c r="K1739">
        <v>47875</v>
      </c>
      <c r="L1739">
        <f>Tabla24[[#This Row],[Precio_Unitario]]*Tabla24[[#This Row],[Unidades_Vendidas]]</f>
        <v>287250</v>
      </c>
      <c r="M1739" t="s">
        <v>16</v>
      </c>
    </row>
    <row r="1740" spans="1:13" x14ac:dyDescent="0.25">
      <c r="A1740" t="s">
        <v>258</v>
      </c>
      <c r="B1740" t="str">
        <f>TEXT(Tabla24[[#This Row],[Fecha]],"dddd")</f>
        <v>martes</v>
      </c>
      <c r="C1740" t="str">
        <f>TEXT(Tabla24[[#This Row],[Fecha]],"mmmm")</f>
        <v>marzo</v>
      </c>
      <c r="D1740" t="str">
        <f>TEXT(Tabla24[[#This Row],[Fecha]],"aaaa")</f>
        <v>2024</v>
      </c>
      <c r="E1740" t="s">
        <v>33</v>
      </c>
      <c r="F1740" t="s">
        <v>38</v>
      </c>
      <c r="G1740" t="s">
        <v>44</v>
      </c>
      <c r="H1740" t="s">
        <v>14</v>
      </c>
      <c r="I1740" t="s">
        <v>26</v>
      </c>
      <c r="J1740">
        <v>16</v>
      </c>
      <c r="K1740">
        <v>47011</v>
      </c>
      <c r="L1740">
        <f>Tabla24[[#This Row],[Precio_Unitario]]*Tabla24[[#This Row],[Unidades_Vendidas]]</f>
        <v>752176</v>
      </c>
      <c r="M1740" t="s">
        <v>16</v>
      </c>
    </row>
    <row r="1741" spans="1:13" x14ac:dyDescent="0.25">
      <c r="A1741" t="s">
        <v>305</v>
      </c>
      <c r="B1741" t="str">
        <f>TEXT(Tabla24[[#This Row],[Fecha]],"dddd")</f>
        <v>viernes</v>
      </c>
      <c r="C1741" t="str">
        <f>TEXT(Tabla24[[#This Row],[Fecha]],"mmmm")</f>
        <v>septiembre</v>
      </c>
      <c r="D1741" t="str">
        <f>TEXT(Tabla24[[#This Row],[Fecha]],"aaaa")</f>
        <v>2024</v>
      </c>
      <c r="E1741" t="s">
        <v>33</v>
      </c>
      <c r="F1741" t="s">
        <v>38</v>
      </c>
      <c r="G1741" t="s">
        <v>44</v>
      </c>
      <c r="H1741" t="s">
        <v>14</v>
      </c>
      <c r="I1741" t="s">
        <v>40</v>
      </c>
      <c r="J1741">
        <v>11</v>
      </c>
      <c r="K1741">
        <v>46369</v>
      </c>
      <c r="L1741">
        <f>Tabla24[[#This Row],[Precio_Unitario]]*Tabla24[[#This Row],[Unidades_Vendidas]]</f>
        <v>510059</v>
      </c>
      <c r="M1741" t="s">
        <v>16</v>
      </c>
    </row>
    <row r="1742" spans="1:13" x14ac:dyDescent="0.25">
      <c r="A1742" t="s">
        <v>310</v>
      </c>
      <c r="B1742" t="str">
        <f>TEXT(Tabla24[[#This Row],[Fecha]],"dddd")</f>
        <v>jueves</v>
      </c>
      <c r="C1742" t="str">
        <f>TEXT(Tabla24[[#This Row],[Fecha]],"mmmm")</f>
        <v>julio</v>
      </c>
      <c r="D1742" t="str">
        <f>TEXT(Tabla24[[#This Row],[Fecha]],"aaaa")</f>
        <v>2024</v>
      </c>
      <c r="E1742" t="s">
        <v>11</v>
      </c>
      <c r="F1742" t="s">
        <v>12</v>
      </c>
      <c r="G1742" t="s">
        <v>13</v>
      </c>
      <c r="H1742" t="s">
        <v>25</v>
      </c>
      <c r="I1742" t="s">
        <v>15</v>
      </c>
      <c r="J1742">
        <v>17</v>
      </c>
      <c r="K1742">
        <v>30899</v>
      </c>
      <c r="L1742">
        <f>Tabla24[[#This Row],[Precio_Unitario]]*Tabla24[[#This Row],[Unidades_Vendidas]]</f>
        <v>525283</v>
      </c>
      <c r="M1742" t="s">
        <v>16</v>
      </c>
    </row>
    <row r="1743" spans="1:13" x14ac:dyDescent="0.25">
      <c r="A1743" t="s">
        <v>302</v>
      </c>
      <c r="B1743" t="str">
        <f>TEXT(Tabla24[[#This Row],[Fecha]],"dddd")</f>
        <v>viernes</v>
      </c>
      <c r="C1743" t="str">
        <f>TEXT(Tabla24[[#This Row],[Fecha]],"mmmm")</f>
        <v>diciembre</v>
      </c>
      <c r="D1743" t="str">
        <f>TEXT(Tabla24[[#This Row],[Fecha]],"aaaa")</f>
        <v>2024</v>
      </c>
      <c r="E1743" t="s">
        <v>11</v>
      </c>
      <c r="F1743" t="s">
        <v>34</v>
      </c>
      <c r="G1743" t="s">
        <v>13</v>
      </c>
      <c r="H1743" t="s">
        <v>30</v>
      </c>
      <c r="I1743" t="s">
        <v>40</v>
      </c>
      <c r="J1743">
        <v>10</v>
      </c>
      <c r="K1743">
        <v>22947</v>
      </c>
      <c r="L1743">
        <f>Tabla24[[#This Row],[Precio_Unitario]]*Tabla24[[#This Row],[Unidades_Vendidas]]</f>
        <v>229470</v>
      </c>
      <c r="M1743" t="s">
        <v>20</v>
      </c>
    </row>
    <row r="1744" spans="1:13" x14ac:dyDescent="0.25">
      <c r="A1744" t="s">
        <v>193</v>
      </c>
      <c r="B1744" t="str">
        <f>TEXT(Tabla24[[#This Row],[Fecha]],"dddd")</f>
        <v>miércoles</v>
      </c>
      <c r="C1744" t="str">
        <f>TEXT(Tabla24[[#This Row],[Fecha]],"mmmm")</f>
        <v>junio</v>
      </c>
      <c r="D1744" t="str">
        <f>TEXT(Tabla24[[#This Row],[Fecha]],"aaaa")</f>
        <v>2024</v>
      </c>
      <c r="E1744" t="s">
        <v>11</v>
      </c>
      <c r="F1744" t="s">
        <v>34</v>
      </c>
      <c r="G1744" t="s">
        <v>24</v>
      </c>
      <c r="H1744" t="s">
        <v>25</v>
      </c>
      <c r="I1744" t="s">
        <v>15</v>
      </c>
      <c r="J1744">
        <v>9</v>
      </c>
      <c r="K1744">
        <v>45504</v>
      </c>
      <c r="L1744">
        <f>Tabla24[[#This Row],[Precio_Unitario]]*Tabla24[[#This Row],[Unidades_Vendidas]]</f>
        <v>409536</v>
      </c>
      <c r="M1744" t="s">
        <v>16</v>
      </c>
    </row>
    <row r="1745" spans="1:13" x14ac:dyDescent="0.25">
      <c r="A1745" t="s">
        <v>283</v>
      </c>
      <c r="B1745" t="str">
        <f>TEXT(Tabla24[[#This Row],[Fecha]],"dddd")</f>
        <v>martes</v>
      </c>
      <c r="C1745" t="str">
        <f>TEXT(Tabla24[[#This Row],[Fecha]],"mmmm")</f>
        <v>enero</v>
      </c>
      <c r="D1745" t="str">
        <f>TEXT(Tabla24[[#This Row],[Fecha]],"aaaa")</f>
        <v>2024</v>
      </c>
      <c r="E1745" t="s">
        <v>42</v>
      </c>
      <c r="F1745" t="s">
        <v>29</v>
      </c>
      <c r="G1745" t="s">
        <v>44</v>
      </c>
      <c r="H1745" t="s">
        <v>19</v>
      </c>
      <c r="I1745" t="s">
        <v>26</v>
      </c>
      <c r="J1745">
        <v>17</v>
      </c>
      <c r="K1745">
        <v>47234</v>
      </c>
      <c r="L1745">
        <f>Tabla24[[#This Row],[Precio_Unitario]]*Tabla24[[#This Row],[Unidades_Vendidas]]</f>
        <v>802978</v>
      </c>
      <c r="M1745" t="s">
        <v>20</v>
      </c>
    </row>
    <row r="1746" spans="1:13" x14ac:dyDescent="0.25">
      <c r="A1746" t="s">
        <v>391</v>
      </c>
      <c r="B1746" t="str">
        <f>TEXT(Tabla24[[#This Row],[Fecha]],"dddd")</f>
        <v>jueves</v>
      </c>
      <c r="C1746" t="str">
        <f>TEXT(Tabla24[[#This Row],[Fecha]],"mmmm")</f>
        <v>mayo</v>
      </c>
      <c r="D1746" t="str">
        <f>TEXT(Tabla24[[#This Row],[Fecha]],"aaaa")</f>
        <v>2024</v>
      </c>
      <c r="E1746" t="s">
        <v>33</v>
      </c>
      <c r="F1746" t="s">
        <v>23</v>
      </c>
      <c r="G1746" t="s">
        <v>13</v>
      </c>
      <c r="H1746" t="s">
        <v>30</v>
      </c>
      <c r="I1746" t="s">
        <v>15</v>
      </c>
      <c r="J1746">
        <v>7</v>
      </c>
      <c r="K1746">
        <v>33201</v>
      </c>
      <c r="L1746">
        <f>Tabla24[[#This Row],[Precio_Unitario]]*Tabla24[[#This Row],[Unidades_Vendidas]]</f>
        <v>232407</v>
      </c>
      <c r="M1746" t="s">
        <v>36</v>
      </c>
    </row>
    <row r="1747" spans="1:13" x14ac:dyDescent="0.25">
      <c r="A1747" t="s">
        <v>74</v>
      </c>
      <c r="B1747" t="str">
        <f>TEXT(Tabla24[[#This Row],[Fecha]],"dddd")</f>
        <v>viernes</v>
      </c>
      <c r="C1747" t="str">
        <f>TEXT(Tabla24[[#This Row],[Fecha]],"mmmm")</f>
        <v>enero</v>
      </c>
      <c r="D1747" t="str">
        <f>TEXT(Tabla24[[#This Row],[Fecha]],"aaaa")</f>
        <v>2024</v>
      </c>
      <c r="E1747" t="s">
        <v>33</v>
      </c>
      <c r="F1747" t="s">
        <v>38</v>
      </c>
      <c r="G1747" t="s">
        <v>24</v>
      </c>
      <c r="H1747" t="s">
        <v>19</v>
      </c>
      <c r="I1747" t="s">
        <v>15</v>
      </c>
      <c r="J1747">
        <v>10</v>
      </c>
      <c r="K1747">
        <v>32508</v>
      </c>
      <c r="L1747">
        <f>Tabla24[[#This Row],[Precio_Unitario]]*Tabla24[[#This Row],[Unidades_Vendidas]]</f>
        <v>325080</v>
      </c>
      <c r="M1747" t="s">
        <v>20</v>
      </c>
    </row>
    <row r="1748" spans="1:13" x14ac:dyDescent="0.25">
      <c r="A1748" t="s">
        <v>349</v>
      </c>
      <c r="B1748" t="str">
        <f>TEXT(Tabla24[[#This Row],[Fecha]],"dddd")</f>
        <v>domingo</v>
      </c>
      <c r="C1748" t="str">
        <f>TEXT(Tabla24[[#This Row],[Fecha]],"mmmm")</f>
        <v>julio</v>
      </c>
      <c r="D1748" t="str">
        <f>TEXT(Tabla24[[#This Row],[Fecha]],"aaaa")</f>
        <v>2024</v>
      </c>
      <c r="E1748" t="s">
        <v>18</v>
      </c>
      <c r="F1748" t="s">
        <v>23</v>
      </c>
      <c r="G1748" t="s">
        <v>44</v>
      </c>
      <c r="H1748" t="s">
        <v>25</v>
      </c>
      <c r="I1748" t="s">
        <v>40</v>
      </c>
      <c r="J1748">
        <v>14</v>
      </c>
      <c r="K1748">
        <v>19805</v>
      </c>
      <c r="L1748">
        <f>Tabla24[[#This Row],[Precio_Unitario]]*Tabla24[[#This Row],[Unidades_Vendidas]]</f>
        <v>277270</v>
      </c>
      <c r="M1748" t="s">
        <v>36</v>
      </c>
    </row>
    <row r="1749" spans="1:13" x14ac:dyDescent="0.25">
      <c r="A1749" t="s">
        <v>381</v>
      </c>
      <c r="B1749" t="str">
        <f>TEXT(Tabla24[[#This Row],[Fecha]],"dddd")</f>
        <v>sábado</v>
      </c>
      <c r="C1749" t="str">
        <f>TEXT(Tabla24[[#This Row],[Fecha]],"mmmm")</f>
        <v>septiembre</v>
      </c>
      <c r="D1749" t="str">
        <f>TEXT(Tabla24[[#This Row],[Fecha]],"aaaa")</f>
        <v>2024</v>
      </c>
      <c r="E1749" t="s">
        <v>42</v>
      </c>
      <c r="F1749" t="s">
        <v>34</v>
      </c>
      <c r="G1749" t="s">
        <v>48</v>
      </c>
      <c r="H1749" t="s">
        <v>25</v>
      </c>
      <c r="I1749" t="s">
        <v>26</v>
      </c>
      <c r="J1749">
        <v>19</v>
      </c>
      <c r="K1749">
        <v>16271</v>
      </c>
      <c r="L1749">
        <f>Tabla24[[#This Row],[Precio_Unitario]]*Tabla24[[#This Row],[Unidades_Vendidas]]</f>
        <v>309149</v>
      </c>
      <c r="M1749" t="s">
        <v>36</v>
      </c>
    </row>
    <row r="1750" spans="1:13" x14ac:dyDescent="0.25">
      <c r="A1750" t="s">
        <v>347</v>
      </c>
      <c r="B1750" t="str">
        <f>TEXT(Tabla24[[#This Row],[Fecha]],"dddd")</f>
        <v>viernes</v>
      </c>
      <c r="C1750" t="str">
        <f>TEXT(Tabla24[[#This Row],[Fecha]],"mmmm")</f>
        <v>julio</v>
      </c>
      <c r="D1750" t="str">
        <f>TEXT(Tabla24[[#This Row],[Fecha]],"aaaa")</f>
        <v>2024</v>
      </c>
      <c r="E1750" t="s">
        <v>11</v>
      </c>
      <c r="F1750" t="s">
        <v>12</v>
      </c>
      <c r="G1750" t="s">
        <v>24</v>
      </c>
      <c r="H1750" t="s">
        <v>35</v>
      </c>
      <c r="I1750" t="s">
        <v>40</v>
      </c>
      <c r="J1750">
        <v>2</v>
      </c>
      <c r="K1750">
        <v>20738</v>
      </c>
      <c r="L1750">
        <f>Tabla24[[#This Row],[Precio_Unitario]]*Tabla24[[#This Row],[Unidades_Vendidas]]</f>
        <v>41476</v>
      </c>
      <c r="M1750" t="s">
        <v>27</v>
      </c>
    </row>
    <row r="1751" spans="1:13" x14ac:dyDescent="0.25">
      <c r="A1751" t="s">
        <v>124</v>
      </c>
      <c r="B1751" t="str">
        <f>TEXT(Tabla24[[#This Row],[Fecha]],"dddd")</f>
        <v>sábado</v>
      </c>
      <c r="C1751" t="str">
        <f>TEXT(Tabla24[[#This Row],[Fecha]],"mmmm")</f>
        <v>junio</v>
      </c>
      <c r="D1751" t="str">
        <f>TEXT(Tabla24[[#This Row],[Fecha]],"aaaa")</f>
        <v>2024</v>
      </c>
      <c r="E1751" t="s">
        <v>33</v>
      </c>
      <c r="F1751" t="s">
        <v>29</v>
      </c>
      <c r="G1751" t="s">
        <v>39</v>
      </c>
      <c r="H1751" t="s">
        <v>35</v>
      </c>
      <c r="I1751" t="s">
        <v>15</v>
      </c>
      <c r="J1751">
        <v>18</v>
      </c>
      <c r="K1751">
        <v>24294</v>
      </c>
      <c r="L1751">
        <f>Tabla24[[#This Row],[Precio_Unitario]]*Tabla24[[#This Row],[Unidades_Vendidas]]</f>
        <v>437292</v>
      </c>
      <c r="M1751" t="s">
        <v>36</v>
      </c>
    </row>
    <row r="1752" spans="1:13" x14ac:dyDescent="0.25">
      <c r="A1752" t="s">
        <v>94</v>
      </c>
      <c r="B1752" t="str">
        <f>TEXT(Tabla24[[#This Row],[Fecha]],"dddd")</f>
        <v>miércoles</v>
      </c>
      <c r="C1752" t="str">
        <f>TEXT(Tabla24[[#This Row],[Fecha]],"mmmm")</f>
        <v>mayo</v>
      </c>
      <c r="D1752" t="str">
        <f>TEXT(Tabla24[[#This Row],[Fecha]],"aaaa")</f>
        <v>2024</v>
      </c>
      <c r="E1752" t="s">
        <v>11</v>
      </c>
      <c r="F1752" t="s">
        <v>38</v>
      </c>
      <c r="G1752" t="s">
        <v>44</v>
      </c>
      <c r="H1752" t="s">
        <v>30</v>
      </c>
      <c r="I1752" t="s">
        <v>26</v>
      </c>
      <c r="J1752">
        <v>19</v>
      </c>
      <c r="K1752">
        <v>51368</v>
      </c>
      <c r="L1752">
        <f>Tabla24[[#This Row],[Precio_Unitario]]*Tabla24[[#This Row],[Unidades_Vendidas]]</f>
        <v>975992</v>
      </c>
      <c r="M1752" t="s">
        <v>27</v>
      </c>
    </row>
    <row r="1753" spans="1:13" x14ac:dyDescent="0.25">
      <c r="A1753" t="s">
        <v>363</v>
      </c>
      <c r="B1753" t="str">
        <f>TEXT(Tabla24[[#This Row],[Fecha]],"dddd")</f>
        <v>miércoles</v>
      </c>
      <c r="C1753" t="str">
        <f>TEXT(Tabla24[[#This Row],[Fecha]],"mmmm")</f>
        <v>junio</v>
      </c>
      <c r="D1753" t="str">
        <f>TEXT(Tabla24[[#This Row],[Fecha]],"aaaa")</f>
        <v>2024</v>
      </c>
      <c r="E1753" t="s">
        <v>11</v>
      </c>
      <c r="F1753" t="s">
        <v>34</v>
      </c>
      <c r="G1753" t="s">
        <v>39</v>
      </c>
      <c r="H1753" t="s">
        <v>19</v>
      </c>
      <c r="I1753" t="s">
        <v>26</v>
      </c>
      <c r="J1753">
        <v>5</v>
      </c>
      <c r="K1753">
        <v>20947</v>
      </c>
      <c r="L1753">
        <f>Tabla24[[#This Row],[Precio_Unitario]]*Tabla24[[#This Row],[Unidades_Vendidas]]</f>
        <v>104735</v>
      </c>
      <c r="M1753" t="s">
        <v>16</v>
      </c>
    </row>
    <row r="1754" spans="1:13" x14ac:dyDescent="0.25">
      <c r="A1754" t="s">
        <v>321</v>
      </c>
      <c r="B1754" t="str">
        <f>TEXT(Tabla24[[#This Row],[Fecha]],"dddd")</f>
        <v>sábado</v>
      </c>
      <c r="C1754" t="str">
        <f>TEXT(Tabla24[[#This Row],[Fecha]],"mmmm")</f>
        <v>noviembre</v>
      </c>
      <c r="D1754" t="str">
        <f>TEXT(Tabla24[[#This Row],[Fecha]],"aaaa")</f>
        <v>2024</v>
      </c>
      <c r="E1754" t="s">
        <v>33</v>
      </c>
      <c r="F1754" t="s">
        <v>38</v>
      </c>
      <c r="G1754" t="s">
        <v>44</v>
      </c>
      <c r="H1754" t="s">
        <v>30</v>
      </c>
      <c r="I1754" t="s">
        <v>40</v>
      </c>
      <c r="J1754">
        <v>6</v>
      </c>
      <c r="K1754">
        <v>57844</v>
      </c>
      <c r="L1754">
        <f>Tabla24[[#This Row],[Precio_Unitario]]*Tabla24[[#This Row],[Unidades_Vendidas]]</f>
        <v>347064</v>
      </c>
      <c r="M1754" t="s">
        <v>20</v>
      </c>
    </row>
    <row r="1755" spans="1:13" x14ac:dyDescent="0.25">
      <c r="A1755" t="s">
        <v>216</v>
      </c>
      <c r="B1755" t="str">
        <f>TEXT(Tabla24[[#This Row],[Fecha]],"dddd")</f>
        <v>martes</v>
      </c>
      <c r="C1755" t="str">
        <f>TEXT(Tabla24[[#This Row],[Fecha]],"mmmm")</f>
        <v>mayo</v>
      </c>
      <c r="D1755" t="str">
        <f>TEXT(Tabla24[[#This Row],[Fecha]],"aaaa")</f>
        <v>2024</v>
      </c>
      <c r="E1755" t="s">
        <v>33</v>
      </c>
      <c r="F1755" t="s">
        <v>38</v>
      </c>
      <c r="G1755" t="s">
        <v>48</v>
      </c>
      <c r="H1755" t="s">
        <v>35</v>
      </c>
      <c r="I1755" t="s">
        <v>26</v>
      </c>
      <c r="J1755">
        <v>17</v>
      </c>
      <c r="K1755">
        <v>48827</v>
      </c>
      <c r="L1755">
        <f>Tabla24[[#This Row],[Precio_Unitario]]*Tabla24[[#This Row],[Unidades_Vendidas]]</f>
        <v>830059</v>
      </c>
      <c r="M1755" t="s">
        <v>36</v>
      </c>
    </row>
    <row r="1756" spans="1:13" x14ac:dyDescent="0.25">
      <c r="A1756" t="s">
        <v>271</v>
      </c>
      <c r="B1756" t="str">
        <f>TEXT(Tabla24[[#This Row],[Fecha]],"dddd")</f>
        <v>martes</v>
      </c>
      <c r="C1756" t="str">
        <f>TEXT(Tabla24[[#This Row],[Fecha]],"mmmm")</f>
        <v>junio</v>
      </c>
      <c r="D1756" t="str">
        <f>TEXT(Tabla24[[#This Row],[Fecha]],"aaaa")</f>
        <v>2024</v>
      </c>
      <c r="E1756" t="s">
        <v>18</v>
      </c>
      <c r="F1756" t="s">
        <v>23</v>
      </c>
      <c r="G1756" t="s">
        <v>44</v>
      </c>
      <c r="H1756" t="s">
        <v>19</v>
      </c>
      <c r="I1756" t="s">
        <v>40</v>
      </c>
      <c r="J1756">
        <v>15</v>
      </c>
      <c r="K1756">
        <v>52740</v>
      </c>
      <c r="L1756">
        <f>Tabla24[[#This Row],[Precio_Unitario]]*Tabla24[[#This Row],[Unidades_Vendidas]]</f>
        <v>791100</v>
      </c>
      <c r="M1756" t="s">
        <v>36</v>
      </c>
    </row>
    <row r="1757" spans="1:13" x14ac:dyDescent="0.25">
      <c r="A1757" t="s">
        <v>226</v>
      </c>
      <c r="B1757" t="str">
        <f>TEXT(Tabla24[[#This Row],[Fecha]],"dddd")</f>
        <v>lunes</v>
      </c>
      <c r="C1757" t="str">
        <f>TEXT(Tabla24[[#This Row],[Fecha]],"mmmm")</f>
        <v>mayo</v>
      </c>
      <c r="D1757" t="str">
        <f>TEXT(Tabla24[[#This Row],[Fecha]],"aaaa")</f>
        <v>2024</v>
      </c>
      <c r="E1757" t="s">
        <v>42</v>
      </c>
      <c r="F1757" t="s">
        <v>12</v>
      </c>
      <c r="G1757" t="s">
        <v>39</v>
      </c>
      <c r="H1757" t="s">
        <v>19</v>
      </c>
      <c r="I1757" t="s">
        <v>40</v>
      </c>
      <c r="J1757">
        <v>2</v>
      </c>
      <c r="K1757">
        <v>32340</v>
      </c>
      <c r="L1757">
        <f>Tabla24[[#This Row],[Precio_Unitario]]*Tabla24[[#This Row],[Unidades_Vendidas]]</f>
        <v>64680</v>
      </c>
      <c r="M1757" t="s">
        <v>20</v>
      </c>
    </row>
    <row r="1758" spans="1:13" x14ac:dyDescent="0.25">
      <c r="A1758" t="s">
        <v>166</v>
      </c>
      <c r="B1758" t="str">
        <f>TEXT(Tabla24[[#This Row],[Fecha]],"dddd")</f>
        <v>lunes</v>
      </c>
      <c r="C1758" t="str">
        <f>TEXT(Tabla24[[#This Row],[Fecha]],"mmmm")</f>
        <v>enero</v>
      </c>
      <c r="D1758" t="str">
        <f>TEXT(Tabla24[[#This Row],[Fecha]],"aaaa")</f>
        <v>2024</v>
      </c>
      <c r="E1758" t="s">
        <v>42</v>
      </c>
      <c r="F1758" t="s">
        <v>23</v>
      </c>
      <c r="G1758" t="s">
        <v>39</v>
      </c>
      <c r="H1758" t="s">
        <v>35</v>
      </c>
      <c r="I1758" t="s">
        <v>40</v>
      </c>
      <c r="J1758">
        <v>8</v>
      </c>
      <c r="K1758">
        <v>23567</v>
      </c>
      <c r="L1758">
        <f>Tabla24[[#This Row],[Precio_Unitario]]*Tabla24[[#This Row],[Unidades_Vendidas]]</f>
        <v>188536</v>
      </c>
      <c r="M1758" t="s">
        <v>36</v>
      </c>
    </row>
    <row r="1759" spans="1:13" x14ac:dyDescent="0.25">
      <c r="A1759" t="s">
        <v>175</v>
      </c>
      <c r="B1759" t="str">
        <f>TEXT(Tabla24[[#This Row],[Fecha]],"dddd")</f>
        <v>domingo</v>
      </c>
      <c r="C1759" t="str">
        <f>TEXT(Tabla24[[#This Row],[Fecha]],"mmmm")</f>
        <v>febrero</v>
      </c>
      <c r="D1759" t="str">
        <f>TEXT(Tabla24[[#This Row],[Fecha]],"aaaa")</f>
        <v>2024</v>
      </c>
      <c r="E1759" t="s">
        <v>11</v>
      </c>
      <c r="F1759" t="s">
        <v>23</v>
      </c>
      <c r="G1759" t="s">
        <v>24</v>
      </c>
      <c r="H1759" t="s">
        <v>14</v>
      </c>
      <c r="I1759" t="s">
        <v>26</v>
      </c>
      <c r="J1759">
        <v>12</v>
      </c>
      <c r="K1759">
        <v>33115</v>
      </c>
      <c r="L1759">
        <f>Tabla24[[#This Row],[Precio_Unitario]]*Tabla24[[#This Row],[Unidades_Vendidas]]</f>
        <v>397380</v>
      </c>
      <c r="M1759" t="s">
        <v>20</v>
      </c>
    </row>
    <row r="1760" spans="1:13" x14ac:dyDescent="0.25">
      <c r="A1760" t="s">
        <v>152</v>
      </c>
      <c r="B1760" t="str">
        <f>TEXT(Tabla24[[#This Row],[Fecha]],"dddd")</f>
        <v>lunes</v>
      </c>
      <c r="C1760" t="str">
        <f>TEXT(Tabla24[[#This Row],[Fecha]],"mmmm")</f>
        <v>febrero</v>
      </c>
      <c r="D1760" t="str">
        <f>TEXT(Tabla24[[#This Row],[Fecha]],"aaaa")</f>
        <v>2024</v>
      </c>
      <c r="E1760" t="s">
        <v>18</v>
      </c>
      <c r="F1760" t="s">
        <v>12</v>
      </c>
      <c r="G1760" t="s">
        <v>24</v>
      </c>
      <c r="H1760" t="s">
        <v>19</v>
      </c>
      <c r="I1760" t="s">
        <v>15</v>
      </c>
      <c r="J1760">
        <v>18</v>
      </c>
      <c r="K1760">
        <v>28089</v>
      </c>
      <c r="L1760">
        <f>Tabla24[[#This Row],[Precio_Unitario]]*Tabla24[[#This Row],[Unidades_Vendidas]]</f>
        <v>505602</v>
      </c>
      <c r="M1760" t="s">
        <v>20</v>
      </c>
    </row>
    <row r="1761" spans="1:13" x14ac:dyDescent="0.25">
      <c r="A1761" t="s">
        <v>398</v>
      </c>
      <c r="B1761" t="str">
        <f>TEXT(Tabla24[[#This Row],[Fecha]],"dddd")</f>
        <v>sábado</v>
      </c>
      <c r="C1761" t="str">
        <f>TEXT(Tabla24[[#This Row],[Fecha]],"mmmm")</f>
        <v>noviembre</v>
      </c>
      <c r="D1761" t="str">
        <f>TEXT(Tabla24[[#This Row],[Fecha]],"aaaa")</f>
        <v>2024</v>
      </c>
      <c r="E1761" t="s">
        <v>11</v>
      </c>
      <c r="F1761" t="s">
        <v>23</v>
      </c>
      <c r="G1761" t="s">
        <v>48</v>
      </c>
      <c r="H1761" t="s">
        <v>25</v>
      </c>
      <c r="I1761" t="s">
        <v>26</v>
      </c>
      <c r="J1761">
        <v>18</v>
      </c>
      <c r="K1761">
        <v>23481</v>
      </c>
      <c r="L1761">
        <f>Tabla24[[#This Row],[Precio_Unitario]]*Tabla24[[#This Row],[Unidades_Vendidas]]</f>
        <v>422658</v>
      </c>
      <c r="M1761" t="s">
        <v>20</v>
      </c>
    </row>
    <row r="1762" spans="1:13" x14ac:dyDescent="0.25">
      <c r="A1762" t="s">
        <v>382</v>
      </c>
      <c r="B1762" t="str">
        <f>TEXT(Tabla24[[#This Row],[Fecha]],"dddd")</f>
        <v>jueves</v>
      </c>
      <c r="C1762" t="str">
        <f>TEXT(Tabla24[[#This Row],[Fecha]],"mmmm")</f>
        <v>junio</v>
      </c>
      <c r="D1762" t="str">
        <f>TEXT(Tabla24[[#This Row],[Fecha]],"aaaa")</f>
        <v>2024</v>
      </c>
      <c r="E1762" t="s">
        <v>18</v>
      </c>
      <c r="F1762" t="s">
        <v>29</v>
      </c>
      <c r="G1762" t="s">
        <v>44</v>
      </c>
      <c r="H1762" t="s">
        <v>25</v>
      </c>
      <c r="I1762" t="s">
        <v>15</v>
      </c>
      <c r="J1762">
        <v>17</v>
      </c>
      <c r="K1762">
        <v>16921</v>
      </c>
      <c r="L1762">
        <f>Tabla24[[#This Row],[Precio_Unitario]]*Tabla24[[#This Row],[Unidades_Vendidas]]</f>
        <v>287657</v>
      </c>
      <c r="M1762" t="s">
        <v>16</v>
      </c>
    </row>
    <row r="1763" spans="1:13" x14ac:dyDescent="0.25">
      <c r="A1763" t="s">
        <v>98</v>
      </c>
      <c r="B1763" t="str">
        <f>TEXT(Tabla24[[#This Row],[Fecha]],"dddd")</f>
        <v>miércoles</v>
      </c>
      <c r="C1763" t="str">
        <f>TEXT(Tabla24[[#This Row],[Fecha]],"mmmm")</f>
        <v>mayo</v>
      </c>
      <c r="D1763" t="str">
        <f>TEXT(Tabla24[[#This Row],[Fecha]],"aaaa")</f>
        <v>2024</v>
      </c>
      <c r="E1763" t="s">
        <v>33</v>
      </c>
      <c r="F1763" t="s">
        <v>23</v>
      </c>
      <c r="G1763" t="s">
        <v>24</v>
      </c>
      <c r="H1763" t="s">
        <v>14</v>
      </c>
      <c r="I1763" t="s">
        <v>40</v>
      </c>
      <c r="J1763">
        <v>8</v>
      </c>
      <c r="K1763">
        <v>30625</v>
      </c>
      <c r="L1763">
        <f>Tabla24[[#This Row],[Precio_Unitario]]*Tabla24[[#This Row],[Unidades_Vendidas]]</f>
        <v>245000</v>
      </c>
      <c r="M1763" t="s">
        <v>36</v>
      </c>
    </row>
    <row r="1764" spans="1:13" x14ac:dyDescent="0.25">
      <c r="A1764" t="s">
        <v>347</v>
      </c>
      <c r="B1764" t="str">
        <f>TEXT(Tabla24[[#This Row],[Fecha]],"dddd")</f>
        <v>viernes</v>
      </c>
      <c r="C1764" t="str">
        <f>TEXT(Tabla24[[#This Row],[Fecha]],"mmmm")</f>
        <v>julio</v>
      </c>
      <c r="D1764" t="str">
        <f>TEXT(Tabla24[[#This Row],[Fecha]],"aaaa")</f>
        <v>2024</v>
      </c>
      <c r="E1764" t="s">
        <v>18</v>
      </c>
      <c r="F1764" t="s">
        <v>23</v>
      </c>
      <c r="G1764" t="s">
        <v>24</v>
      </c>
      <c r="H1764" t="s">
        <v>25</v>
      </c>
      <c r="I1764" t="s">
        <v>26</v>
      </c>
      <c r="J1764">
        <v>7</v>
      </c>
      <c r="K1764">
        <v>52218</v>
      </c>
      <c r="L1764">
        <f>Tabla24[[#This Row],[Precio_Unitario]]*Tabla24[[#This Row],[Unidades_Vendidas]]</f>
        <v>365526</v>
      </c>
      <c r="M1764" t="s">
        <v>20</v>
      </c>
    </row>
    <row r="1765" spans="1:13" x14ac:dyDescent="0.25">
      <c r="A1765" t="s">
        <v>322</v>
      </c>
      <c r="B1765" t="str">
        <f>TEXT(Tabla24[[#This Row],[Fecha]],"dddd")</f>
        <v>miércoles</v>
      </c>
      <c r="C1765" t="str">
        <f>TEXT(Tabla24[[#This Row],[Fecha]],"mmmm")</f>
        <v>septiembre</v>
      </c>
      <c r="D1765" t="str">
        <f>TEXT(Tabla24[[#This Row],[Fecha]],"aaaa")</f>
        <v>2024</v>
      </c>
      <c r="E1765" t="s">
        <v>42</v>
      </c>
      <c r="F1765" t="s">
        <v>29</v>
      </c>
      <c r="G1765" t="s">
        <v>48</v>
      </c>
      <c r="H1765" t="s">
        <v>14</v>
      </c>
      <c r="I1765" t="s">
        <v>26</v>
      </c>
      <c r="J1765">
        <v>20</v>
      </c>
      <c r="K1765">
        <v>15829</v>
      </c>
      <c r="L1765">
        <f>Tabla24[[#This Row],[Precio_Unitario]]*Tabla24[[#This Row],[Unidades_Vendidas]]</f>
        <v>316580</v>
      </c>
      <c r="M1765" t="s">
        <v>16</v>
      </c>
    </row>
    <row r="1766" spans="1:13" x14ac:dyDescent="0.25">
      <c r="A1766" t="s">
        <v>81</v>
      </c>
      <c r="B1766" t="str">
        <f>TEXT(Tabla24[[#This Row],[Fecha]],"dddd")</f>
        <v>sábado</v>
      </c>
      <c r="C1766" t="str">
        <f>TEXT(Tabla24[[#This Row],[Fecha]],"mmmm")</f>
        <v>diciembre</v>
      </c>
      <c r="D1766" t="str">
        <f>TEXT(Tabla24[[#This Row],[Fecha]],"aaaa")</f>
        <v>2024</v>
      </c>
      <c r="E1766" t="s">
        <v>18</v>
      </c>
      <c r="F1766" t="s">
        <v>23</v>
      </c>
      <c r="G1766" t="s">
        <v>24</v>
      </c>
      <c r="H1766" t="s">
        <v>30</v>
      </c>
      <c r="I1766" t="s">
        <v>40</v>
      </c>
      <c r="J1766">
        <v>17</v>
      </c>
      <c r="K1766">
        <v>46557</v>
      </c>
      <c r="L1766">
        <f>Tabla24[[#This Row],[Precio_Unitario]]*Tabla24[[#This Row],[Unidades_Vendidas]]</f>
        <v>791469</v>
      </c>
      <c r="M1766" t="s">
        <v>16</v>
      </c>
    </row>
    <row r="1767" spans="1:13" x14ac:dyDescent="0.25">
      <c r="A1767" t="s">
        <v>211</v>
      </c>
      <c r="B1767" t="str">
        <f>TEXT(Tabla24[[#This Row],[Fecha]],"dddd")</f>
        <v>domingo</v>
      </c>
      <c r="C1767" t="str">
        <f>TEXT(Tabla24[[#This Row],[Fecha]],"mmmm")</f>
        <v>marzo</v>
      </c>
      <c r="D1767" t="str">
        <f>TEXT(Tabla24[[#This Row],[Fecha]],"aaaa")</f>
        <v>2024</v>
      </c>
      <c r="E1767" t="s">
        <v>22</v>
      </c>
      <c r="F1767" t="s">
        <v>23</v>
      </c>
      <c r="G1767" t="s">
        <v>13</v>
      </c>
      <c r="H1767" t="s">
        <v>19</v>
      </c>
      <c r="I1767" t="s">
        <v>26</v>
      </c>
      <c r="J1767">
        <v>18</v>
      </c>
      <c r="K1767">
        <v>42529</v>
      </c>
      <c r="L1767">
        <f>Tabla24[[#This Row],[Precio_Unitario]]*Tabla24[[#This Row],[Unidades_Vendidas]]</f>
        <v>765522</v>
      </c>
      <c r="M1767" t="s">
        <v>27</v>
      </c>
    </row>
    <row r="1768" spans="1:13" x14ac:dyDescent="0.25">
      <c r="A1768" t="s">
        <v>156</v>
      </c>
      <c r="B1768" t="str">
        <f>TEXT(Tabla24[[#This Row],[Fecha]],"dddd")</f>
        <v>jueves</v>
      </c>
      <c r="C1768" t="str">
        <f>TEXT(Tabla24[[#This Row],[Fecha]],"mmmm")</f>
        <v>marzo</v>
      </c>
      <c r="D1768" t="str">
        <f>TEXT(Tabla24[[#This Row],[Fecha]],"aaaa")</f>
        <v>2024</v>
      </c>
      <c r="E1768" t="s">
        <v>42</v>
      </c>
      <c r="F1768" t="s">
        <v>34</v>
      </c>
      <c r="G1768" t="s">
        <v>13</v>
      </c>
      <c r="H1768" t="s">
        <v>30</v>
      </c>
      <c r="I1768" t="s">
        <v>26</v>
      </c>
      <c r="J1768">
        <v>13</v>
      </c>
      <c r="K1768">
        <v>52206</v>
      </c>
      <c r="L1768">
        <f>Tabla24[[#This Row],[Precio_Unitario]]*Tabla24[[#This Row],[Unidades_Vendidas]]</f>
        <v>678678</v>
      </c>
      <c r="M1768" t="s">
        <v>27</v>
      </c>
    </row>
    <row r="1769" spans="1:13" x14ac:dyDescent="0.25">
      <c r="A1769" t="s">
        <v>155</v>
      </c>
      <c r="B1769" t="str">
        <f>TEXT(Tabla24[[#This Row],[Fecha]],"dddd")</f>
        <v>martes</v>
      </c>
      <c r="C1769" t="str">
        <f>TEXT(Tabla24[[#This Row],[Fecha]],"mmmm")</f>
        <v>diciembre</v>
      </c>
      <c r="D1769" t="str">
        <f>TEXT(Tabla24[[#This Row],[Fecha]],"aaaa")</f>
        <v>2024</v>
      </c>
      <c r="E1769" t="s">
        <v>22</v>
      </c>
      <c r="F1769" t="s">
        <v>29</v>
      </c>
      <c r="G1769" t="s">
        <v>39</v>
      </c>
      <c r="H1769" t="s">
        <v>19</v>
      </c>
      <c r="I1769" t="s">
        <v>40</v>
      </c>
      <c r="J1769">
        <v>16</v>
      </c>
      <c r="K1769">
        <v>20679</v>
      </c>
      <c r="L1769">
        <f>Tabla24[[#This Row],[Precio_Unitario]]*Tabla24[[#This Row],[Unidades_Vendidas]]</f>
        <v>330864</v>
      </c>
      <c r="M1769" t="s">
        <v>16</v>
      </c>
    </row>
    <row r="1770" spans="1:13" x14ac:dyDescent="0.25">
      <c r="A1770" t="s">
        <v>225</v>
      </c>
      <c r="B1770" t="str">
        <f>TEXT(Tabla24[[#This Row],[Fecha]],"dddd")</f>
        <v>miércoles</v>
      </c>
      <c r="C1770" t="str">
        <f>TEXT(Tabla24[[#This Row],[Fecha]],"mmmm")</f>
        <v>marzo</v>
      </c>
      <c r="D1770" t="str">
        <f>TEXT(Tabla24[[#This Row],[Fecha]],"aaaa")</f>
        <v>2024</v>
      </c>
      <c r="E1770" t="s">
        <v>42</v>
      </c>
      <c r="F1770" t="s">
        <v>34</v>
      </c>
      <c r="G1770" t="s">
        <v>48</v>
      </c>
      <c r="H1770" t="s">
        <v>30</v>
      </c>
      <c r="I1770" t="s">
        <v>15</v>
      </c>
      <c r="J1770">
        <v>17</v>
      </c>
      <c r="K1770">
        <v>54659</v>
      </c>
      <c r="L1770">
        <f>Tabla24[[#This Row],[Precio_Unitario]]*Tabla24[[#This Row],[Unidades_Vendidas]]</f>
        <v>929203</v>
      </c>
      <c r="M1770" t="s">
        <v>36</v>
      </c>
    </row>
    <row r="1771" spans="1:13" x14ac:dyDescent="0.25">
      <c r="A1771" t="s">
        <v>382</v>
      </c>
      <c r="B1771" t="str">
        <f>TEXT(Tabla24[[#This Row],[Fecha]],"dddd")</f>
        <v>jueves</v>
      </c>
      <c r="C1771" t="str">
        <f>TEXT(Tabla24[[#This Row],[Fecha]],"mmmm")</f>
        <v>junio</v>
      </c>
      <c r="D1771" t="str">
        <f>TEXT(Tabla24[[#This Row],[Fecha]],"aaaa")</f>
        <v>2024</v>
      </c>
      <c r="E1771" t="s">
        <v>18</v>
      </c>
      <c r="F1771" t="s">
        <v>34</v>
      </c>
      <c r="G1771" t="s">
        <v>48</v>
      </c>
      <c r="H1771" t="s">
        <v>19</v>
      </c>
      <c r="I1771" t="s">
        <v>40</v>
      </c>
      <c r="J1771">
        <v>20</v>
      </c>
      <c r="K1771">
        <v>59060</v>
      </c>
      <c r="L1771">
        <f>Tabla24[[#This Row],[Precio_Unitario]]*Tabla24[[#This Row],[Unidades_Vendidas]]</f>
        <v>1181200</v>
      </c>
      <c r="M1771" t="s">
        <v>36</v>
      </c>
    </row>
    <row r="1772" spans="1:13" x14ac:dyDescent="0.25">
      <c r="A1772" t="s">
        <v>345</v>
      </c>
      <c r="B1772" t="str">
        <f>TEXT(Tabla24[[#This Row],[Fecha]],"dddd")</f>
        <v>domingo</v>
      </c>
      <c r="C1772" t="str">
        <f>TEXT(Tabla24[[#This Row],[Fecha]],"mmmm")</f>
        <v>septiembre</v>
      </c>
      <c r="D1772" t="str">
        <f>TEXT(Tabla24[[#This Row],[Fecha]],"aaaa")</f>
        <v>2024</v>
      </c>
      <c r="E1772" t="s">
        <v>22</v>
      </c>
      <c r="F1772" t="s">
        <v>38</v>
      </c>
      <c r="G1772" t="s">
        <v>13</v>
      </c>
      <c r="H1772" t="s">
        <v>30</v>
      </c>
      <c r="I1772" t="s">
        <v>15</v>
      </c>
      <c r="J1772">
        <v>11</v>
      </c>
      <c r="K1772">
        <v>59592</v>
      </c>
      <c r="L1772">
        <f>Tabla24[[#This Row],[Precio_Unitario]]*Tabla24[[#This Row],[Unidades_Vendidas]]</f>
        <v>655512</v>
      </c>
      <c r="M1772" t="s">
        <v>27</v>
      </c>
    </row>
    <row r="1773" spans="1:13" x14ac:dyDescent="0.25">
      <c r="A1773" t="s">
        <v>295</v>
      </c>
      <c r="B1773" t="str">
        <f>TEXT(Tabla24[[#This Row],[Fecha]],"dddd")</f>
        <v>domingo</v>
      </c>
      <c r="C1773" t="str">
        <f>TEXT(Tabla24[[#This Row],[Fecha]],"mmmm")</f>
        <v>abril</v>
      </c>
      <c r="D1773" t="str">
        <f>TEXT(Tabla24[[#This Row],[Fecha]],"aaaa")</f>
        <v>2024</v>
      </c>
      <c r="E1773" t="s">
        <v>22</v>
      </c>
      <c r="F1773" t="s">
        <v>29</v>
      </c>
      <c r="G1773" t="s">
        <v>39</v>
      </c>
      <c r="H1773" t="s">
        <v>35</v>
      </c>
      <c r="I1773" t="s">
        <v>15</v>
      </c>
      <c r="J1773">
        <v>8</v>
      </c>
      <c r="K1773">
        <v>59883</v>
      </c>
      <c r="L1773">
        <f>Tabla24[[#This Row],[Precio_Unitario]]*Tabla24[[#This Row],[Unidades_Vendidas]]</f>
        <v>479064</v>
      </c>
      <c r="M1773" t="s">
        <v>20</v>
      </c>
    </row>
    <row r="1774" spans="1:13" x14ac:dyDescent="0.25">
      <c r="A1774" t="s">
        <v>215</v>
      </c>
      <c r="B1774" t="str">
        <f>TEXT(Tabla24[[#This Row],[Fecha]],"dddd")</f>
        <v>domingo</v>
      </c>
      <c r="C1774" t="str">
        <f>TEXT(Tabla24[[#This Row],[Fecha]],"mmmm")</f>
        <v>mayo</v>
      </c>
      <c r="D1774" t="str">
        <f>TEXT(Tabla24[[#This Row],[Fecha]],"aaaa")</f>
        <v>2024</v>
      </c>
      <c r="E1774" t="s">
        <v>22</v>
      </c>
      <c r="F1774" t="s">
        <v>34</v>
      </c>
      <c r="G1774" t="s">
        <v>13</v>
      </c>
      <c r="H1774" t="s">
        <v>14</v>
      </c>
      <c r="I1774" t="s">
        <v>40</v>
      </c>
      <c r="J1774">
        <v>18</v>
      </c>
      <c r="K1774">
        <v>16254</v>
      </c>
      <c r="L1774">
        <f>Tabla24[[#This Row],[Precio_Unitario]]*Tabla24[[#This Row],[Unidades_Vendidas]]</f>
        <v>292572</v>
      </c>
      <c r="M1774" t="s">
        <v>16</v>
      </c>
    </row>
    <row r="1775" spans="1:13" x14ac:dyDescent="0.25">
      <c r="A1775" t="s">
        <v>271</v>
      </c>
      <c r="B1775" t="str">
        <f>TEXT(Tabla24[[#This Row],[Fecha]],"dddd")</f>
        <v>martes</v>
      </c>
      <c r="C1775" t="str">
        <f>TEXT(Tabla24[[#This Row],[Fecha]],"mmmm")</f>
        <v>junio</v>
      </c>
      <c r="D1775" t="str">
        <f>TEXT(Tabla24[[#This Row],[Fecha]],"aaaa")</f>
        <v>2024</v>
      </c>
      <c r="E1775" t="s">
        <v>18</v>
      </c>
      <c r="F1775" t="s">
        <v>23</v>
      </c>
      <c r="G1775" t="s">
        <v>48</v>
      </c>
      <c r="H1775" t="s">
        <v>19</v>
      </c>
      <c r="I1775" t="s">
        <v>26</v>
      </c>
      <c r="J1775">
        <v>15</v>
      </c>
      <c r="K1775">
        <v>38800</v>
      </c>
      <c r="L1775">
        <f>Tabla24[[#This Row],[Precio_Unitario]]*Tabla24[[#This Row],[Unidades_Vendidas]]</f>
        <v>582000</v>
      </c>
      <c r="M1775" t="s">
        <v>27</v>
      </c>
    </row>
    <row r="1776" spans="1:13" x14ac:dyDescent="0.25">
      <c r="A1776" t="s">
        <v>193</v>
      </c>
      <c r="B1776" t="str">
        <f>TEXT(Tabla24[[#This Row],[Fecha]],"dddd")</f>
        <v>miércoles</v>
      </c>
      <c r="C1776" t="str">
        <f>TEXT(Tabla24[[#This Row],[Fecha]],"mmmm")</f>
        <v>junio</v>
      </c>
      <c r="D1776" t="str">
        <f>TEXT(Tabla24[[#This Row],[Fecha]],"aaaa")</f>
        <v>2024</v>
      </c>
      <c r="E1776" t="s">
        <v>11</v>
      </c>
      <c r="F1776" t="s">
        <v>29</v>
      </c>
      <c r="G1776" t="s">
        <v>13</v>
      </c>
      <c r="H1776" t="s">
        <v>35</v>
      </c>
      <c r="I1776" t="s">
        <v>26</v>
      </c>
      <c r="J1776">
        <v>7</v>
      </c>
      <c r="K1776">
        <v>48135</v>
      </c>
      <c r="L1776">
        <f>Tabla24[[#This Row],[Precio_Unitario]]*Tabla24[[#This Row],[Unidades_Vendidas]]</f>
        <v>336945</v>
      </c>
      <c r="M1776" t="s">
        <v>16</v>
      </c>
    </row>
    <row r="1777" spans="1:13" x14ac:dyDescent="0.25">
      <c r="A1777" t="s">
        <v>367</v>
      </c>
      <c r="B1777" t="str">
        <f>TEXT(Tabla24[[#This Row],[Fecha]],"dddd")</f>
        <v>sábado</v>
      </c>
      <c r="C1777" t="str">
        <f>TEXT(Tabla24[[#This Row],[Fecha]],"mmmm")</f>
        <v>abril</v>
      </c>
      <c r="D1777" t="str">
        <f>TEXT(Tabla24[[#This Row],[Fecha]],"aaaa")</f>
        <v>2024</v>
      </c>
      <c r="E1777" t="s">
        <v>22</v>
      </c>
      <c r="F1777" t="s">
        <v>38</v>
      </c>
      <c r="G1777" t="s">
        <v>24</v>
      </c>
      <c r="H1777" t="s">
        <v>19</v>
      </c>
      <c r="I1777" t="s">
        <v>40</v>
      </c>
      <c r="J1777">
        <v>8</v>
      </c>
      <c r="K1777">
        <v>58628</v>
      </c>
      <c r="L1777">
        <f>Tabla24[[#This Row],[Precio_Unitario]]*Tabla24[[#This Row],[Unidades_Vendidas]]</f>
        <v>469024</v>
      </c>
      <c r="M1777" t="s">
        <v>16</v>
      </c>
    </row>
    <row r="1778" spans="1:13" x14ac:dyDescent="0.25">
      <c r="A1778" t="s">
        <v>79</v>
      </c>
      <c r="B1778" t="str">
        <f>TEXT(Tabla24[[#This Row],[Fecha]],"dddd")</f>
        <v>lunes</v>
      </c>
      <c r="C1778" t="str">
        <f>TEXT(Tabla24[[#This Row],[Fecha]],"mmmm")</f>
        <v>diciembre</v>
      </c>
      <c r="D1778" t="str">
        <f>TEXT(Tabla24[[#This Row],[Fecha]],"aaaa")</f>
        <v>2024</v>
      </c>
      <c r="E1778" t="s">
        <v>18</v>
      </c>
      <c r="F1778" t="s">
        <v>29</v>
      </c>
      <c r="G1778" t="s">
        <v>39</v>
      </c>
      <c r="H1778" t="s">
        <v>30</v>
      </c>
      <c r="I1778" t="s">
        <v>40</v>
      </c>
      <c r="J1778">
        <v>2</v>
      </c>
      <c r="K1778">
        <v>54971</v>
      </c>
      <c r="L1778">
        <f>Tabla24[[#This Row],[Precio_Unitario]]*Tabla24[[#This Row],[Unidades_Vendidas]]</f>
        <v>109942</v>
      </c>
      <c r="M1778" t="s">
        <v>36</v>
      </c>
    </row>
    <row r="1779" spans="1:13" x14ac:dyDescent="0.25">
      <c r="A1779" t="s">
        <v>380</v>
      </c>
      <c r="B1779" t="str">
        <f>TEXT(Tabla24[[#This Row],[Fecha]],"dddd")</f>
        <v>jueves</v>
      </c>
      <c r="C1779" t="str">
        <f>TEXT(Tabla24[[#This Row],[Fecha]],"mmmm")</f>
        <v>octubre</v>
      </c>
      <c r="D1779" t="str">
        <f>TEXT(Tabla24[[#This Row],[Fecha]],"aaaa")</f>
        <v>2024</v>
      </c>
      <c r="E1779" t="s">
        <v>11</v>
      </c>
      <c r="F1779" t="s">
        <v>29</v>
      </c>
      <c r="G1779" t="s">
        <v>48</v>
      </c>
      <c r="H1779" t="s">
        <v>25</v>
      </c>
      <c r="I1779" t="s">
        <v>15</v>
      </c>
      <c r="J1779">
        <v>1</v>
      </c>
      <c r="K1779">
        <v>50528</v>
      </c>
      <c r="L1779">
        <f>Tabla24[[#This Row],[Precio_Unitario]]*Tabla24[[#This Row],[Unidades_Vendidas]]</f>
        <v>50528</v>
      </c>
      <c r="M1779" t="s">
        <v>20</v>
      </c>
    </row>
    <row r="1780" spans="1:13" x14ac:dyDescent="0.25">
      <c r="A1780" t="s">
        <v>328</v>
      </c>
      <c r="B1780" t="str">
        <f>TEXT(Tabla24[[#This Row],[Fecha]],"dddd")</f>
        <v>viernes</v>
      </c>
      <c r="C1780" t="str">
        <f>TEXT(Tabla24[[#This Row],[Fecha]],"mmmm")</f>
        <v>diciembre</v>
      </c>
      <c r="D1780" t="str">
        <f>TEXT(Tabla24[[#This Row],[Fecha]],"aaaa")</f>
        <v>2024</v>
      </c>
      <c r="E1780" t="s">
        <v>42</v>
      </c>
      <c r="F1780" t="s">
        <v>12</v>
      </c>
      <c r="G1780" t="s">
        <v>44</v>
      </c>
      <c r="H1780" t="s">
        <v>25</v>
      </c>
      <c r="I1780" t="s">
        <v>40</v>
      </c>
      <c r="J1780">
        <v>13</v>
      </c>
      <c r="K1780">
        <v>37548</v>
      </c>
      <c r="L1780">
        <f>Tabla24[[#This Row],[Precio_Unitario]]*Tabla24[[#This Row],[Unidades_Vendidas]]</f>
        <v>488124</v>
      </c>
      <c r="M1780" t="s">
        <v>36</v>
      </c>
    </row>
    <row r="1781" spans="1:13" x14ac:dyDescent="0.25">
      <c r="A1781" t="s">
        <v>313</v>
      </c>
      <c r="B1781" t="str">
        <f>TEXT(Tabla24[[#This Row],[Fecha]],"dddd")</f>
        <v>jueves</v>
      </c>
      <c r="C1781" t="str">
        <f>TEXT(Tabla24[[#This Row],[Fecha]],"mmmm")</f>
        <v>agosto</v>
      </c>
      <c r="D1781" t="str">
        <f>TEXT(Tabla24[[#This Row],[Fecha]],"aaaa")</f>
        <v>2024</v>
      </c>
      <c r="E1781" t="s">
        <v>33</v>
      </c>
      <c r="F1781" t="s">
        <v>38</v>
      </c>
      <c r="G1781" t="s">
        <v>13</v>
      </c>
      <c r="H1781" t="s">
        <v>35</v>
      </c>
      <c r="I1781" t="s">
        <v>15</v>
      </c>
      <c r="J1781">
        <v>17</v>
      </c>
      <c r="K1781">
        <v>43683</v>
      </c>
      <c r="L1781">
        <f>Tabla24[[#This Row],[Precio_Unitario]]*Tabla24[[#This Row],[Unidades_Vendidas]]</f>
        <v>742611</v>
      </c>
      <c r="M1781" t="s">
        <v>16</v>
      </c>
    </row>
    <row r="1782" spans="1:13" x14ac:dyDescent="0.25">
      <c r="A1782" t="s">
        <v>307</v>
      </c>
      <c r="B1782" t="str">
        <f>TEXT(Tabla24[[#This Row],[Fecha]],"dddd")</f>
        <v>jueves</v>
      </c>
      <c r="C1782" t="str">
        <f>TEXT(Tabla24[[#This Row],[Fecha]],"mmmm")</f>
        <v>septiembre</v>
      </c>
      <c r="D1782" t="str">
        <f>TEXT(Tabla24[[#This Row],[Fecha]],"aaaa")</f>
        <v>2024</v>
      </c>
      <c r="E1782" t="s">
        <v>11</v>
      </c>
      <c r="F1782" t="s">
        <v>29</v>
      </c>
      <c r="G1782" t="s">
        <v>24</v>
      </c>
      <c r="H1782" t="s">
        <v>14</v>
      </c>
      <c r="I1782" t="s">
        <v>26</v>
      </c>
      <c r="J1782">
        <v>16</v>
      </c>
      <c r="K1782">
        <v>56035</v>
      </c>
      <c r="L1782">
        <f>Tabla24[[#This Row],[Precio_Unitario]]*Tabla24[[#This Row],[Unidades_Vendidas]]</f>
        <v>896560</v>
      </c>
      <c r="M1782" t="s">
        <v>36</v>
      </c>
    </row>
    <row r="1783" spans="1:13" x14ac:dyDescent="0.25">
      <c r="A1783" t="s">
        <v>85</v>
      </c>
      <c r="B1783" t="str">
        <f>TEXT(Tabla24[[#This Row],[Fecha]],"dddd")</f>
        <v>sábado</v>
      </c>
      <c r="C1783" t="str">
        <f>TEXT(Tabla24[[#This Row],[Fecha]],"mmmm")</f>
        <v>julio</v>
      </c>
      <c r="D1783" t="str">
        <f>TEXT(Tabla24[[#This Row],[Fecha]],"aaaa")</f>
        <v>2024</v>
      </c>
      <c r="E1783" t="s">
        <v>42</v>
      </c>
      <c r="F1783" t="s">
        <v>29</v>
      </c>
      <c r="G1783" t="s">
        <v>24</v>
      </c>
      <c r="H1783" t="s">
        <v>14</v>
      </c>
      <c r="I1783" t="s">
        <v>26</v>
      </c>
      <c r="J1783">
        <v>15</v>
      </c>
      <c r="K1783">
        <v>45675</v>
      </c>
      <c r="L1783">
        <f>Tabla24[[#This Row],[Precio_Unitario]]*Tabla24[[#This Row],[Unidades_Vendidas]]</f>
        <v>685125</v>
      </c>
      <c r="M1783" t="s">
        <v>27</v>
      </c>
    </row>
    <row r="1784" spans="1:13" x14ac:dyDescent="0.25">
      <c r="A1784" t="s">
        <v>312</v>
      </c>
      <c r="B1784" t="str">
        <f>TEXT(Tabla24[[#This Row],[Fecha]],"dddd")</f>
        <v>sábado</v>
      </c>
      <c r="C1784" t="str">
        <f>TEXT(Tabla24[[#This Row],[Fecha]],"mmmm")</f>
        <v>junio</v>
      </c>
      <c r="D1784" t="str">
        <f>TEXT(Tabla24[[#This Row],[Fecha]],"aaaa")</f>
        <v>2024</v>
      </c>
      <c r="E1784" t="s">
        <v>11</v>
      </c>
      <c r="F1784" t="s">
        <v>12</v>
      </c>
      <c r="G1784" t="s">
        <v>44</v>
      </c>
      <c r="H1784" t="s">
        <v>19</v>
      </c>
      <c r="I1784" t="s">
        <v>40</v>
      </c>
      <c r="J1784">
        <v>11</v>
      </c>
      <c r="K1784">
        <v>33524</v>
      </c>
      <c r="L1784">
        <f>Tabla24[[#This Row],[Precio_Unitario]]*Tabla24[[#This Row],[Unidades_Vendidas]]</f>
        <v>368764</v>
      </c>
      <c r="M1784" t="s">
        <v>36</v>
      </c>
    </row>
    <row r="1785" spans="1:13" x14ac:dyDescent="0.25">
      <c r="A1785" t="s">
        <v>396</v>
      </c>
      <c r="B1785" t="str">
        <f>TEXT(Tabla24[[#This Row],[Fecha]],"dddd")</f>
        <v>viernes</v>
      </c>
      <c r="C1785" t="str">
        <f>TEXT(Tabla24[[#This Row],[Fecha]],"mmmm")</f>
        <v>mayo</v>
      </c>
      <c r="D1785" t="str">
        <f>TEXT(Tabla24[[#This Row],[Fecha]],"aaaa")</f>
        <v>2024</v>
      </c>
      <c r="E1785" t="s">
        <v>42</v>
      </c>
      <c r="F1785" t="s">
        <v>29</v>
      </c>
      <c r="G1785" t="s">
        <v>39</v>
      </c>
      <c r="H1785" t="s">
        <v>19</v>
      </c>
      <c r="I1785" t="s">
        <v>26</v>
      </c>
      <c r="J1785">
        <v>8</v>
      </c>
      <c r="K1785">
        <v>16459</v>
      </c>
      <c r="L1785">
        <f>Tabla24[[#This Row],[Precio_Unitario]]*Tabla24[[#This Row],[Unidades_Vendidas]]</f>
        <v>131672</v>
      </c>
      <c r="M1785" t="s">
        <v>20</v>
      </c>
    </row>
    <row r="1786" spans="1:13" x14ac:dyDescent="0.25">
      <c r="A1786" t="s">
        <v>358</v>
      </c>
      <c r="B1786" t="str">
        <f>TEXT(Tabla24[[#This Row],[Fecha]],"dddd")</f>
        <v>martes</v>
      </c>
      <c r="C1786" t="str">
        <f>TEXT(Tabla24[[#This Row],[Fecha]],"mmmm")</f>
        <v>octubre</v>
      </c>
      <c r="D1786" t="str">
        <f>TEXT(Tabla24[[#This Row],[Fecha]],"aaaa")</f>
        <v>2024</v>
      </c>
      <c r="E1786" t="s">
        <v>33</v>
      </c>
      <c r="F1786" t="s">
        <v>34</v>
      </c>
      <c r="G1786" t="s">
        <v>24</v>
      </c>
      <c r="H1786" t="s">
        <v>25</v>
      </c>
      <c r="I1786" t="s">
        <v>40</v>
      </c>
      <c r="J1786">
        <v>1</v>
      </c>
      <c r="K1786">
        <v>59155</v>
      </c>
      <c r="L1786">
        <f>Tabla24[[#This Row],[Precio_Unitario]]*Tabla24[[#This Row],[Unidades_Vendidas]]</f>
        <v>59155</v>
      </c>
      <c r="M1786" t="s">
        <v>27</v>
      </c>
    </row>
    <row r="1787" spans="1:13" x14ac:dyDescent="0.25">
      <c r="A1787" t="s">
        <v>219</v>
      </c>
      <c r="B1787" t="str">
        <f>TEXT(Tabla24[[#This Row],[Fecha]],"dddd")</f>
        <v>sábado</v>
      </c>
      <c r="C1787" t="str">
        <f>TEXT(Tabla24[[#This Row],[Fecha]],"mmmm")</f>
        <v>julio</v>
      </c>
      <c r="D1787" t="str">
        <f>TEXT(Tabla24[[#This Row],[Fecha]],"aaaa")</f>
        <v>2024</v>
      </c>
      <c r="E1787" t="s">
        <v>33</v>
      </c>
      <c r="F1787" t="s">
        <v>12</v>
      </c>
      <c r="G1787" t="s">
        <v>13</v>
      </c>
      <c r="H1787" t="s">
        <v>19</v>
      </c>
      <c r="I1787" t="s">
        <v>15</v>
      </c>
      <c r="J1787">
        <v>14</v>
      </c>
      <c r="K1787">
        <v>37690</v>
      </c>
      <c r="L1787">
        <f>Tabla24[[#This Row],[Precio_Unitario]]*Tabla24[[#This Row],[Unidades_Vendidas]]</f>
        <v>527660</v>
      </c>
      <c r="M1787" t="s">
        <v>27</v>
      </c>
    </row>
    <row r="1788" spans="1:13" x14ac:dyDescent="0.25">
      <c r="A1788" t="s">
        <v>343</v>
      </c>
      <c r="B1788" t="str">
        <f>TEXT(Tabla24[[#This Row],[Fecha]],"dddd")</f>
        <v>lunes</v>
      </c>
      <c r="C1788" t="str">
        <f>TEXT(Tabla24[[#This Row],[Fecha]],"mmmm")</f>
        <v>diciembre</v>
      </c>
      <c r="D1788" t="str">
        <f>TEXT(Tabla24[[#This Row],[Fecha]],"aaaa")</f>
        <v>2024</v>
      </c>
      <c r="E1788" t="s">
        <v>33</v>
      </c>
      <c r="F1788" t="s">
        <v>34</v>
      </c>
      <c r="G1788" t="s">
        <v>13</v>
      </c>
      <c r="H1788" t="s">
        <v>25</v>
      </c>
      <c r="I1788" t="s">
        <v>40</v>
      </c>
      <c r="J1788">
        <v>6</v>
      </c>
      <c r="K1788">
        <v>49050</v>
      </c>
      <c r="L1788">
        <f>Tabla24[[#This Row],[Precio_Unitario]]*Tabla24[[#This Row],[Unidades_Vendidas]]</f>
        <v>294300</v>
      </c>
      <c r="M1788" t="s">
        <v>27</v>
      </c>
    </row>
    <row r="1789" spans="1:13" x14ac:dyDescent="0.25">
      <c r="A1789" t="s">
        <v>261</v>
      </c>
      <c r="B1789" t="str">
        <f>TEXT(Tabla24[[#This Row],[Fecha]],"dddd")</f>
        <v>domingo</v>
      </c>
      <c r="C1789" t="str">
        <f>TEXT(Tabla24[[#This Row],[Fecha]],"mmmm")</f>
        <v>diciembre</v>
      </c>
      <c r="D1789" t="str">
        <f>TEXT(Tabla24[[#This Row],[Fecha]],"aaaa")</f>
        <v>2024</v>
      </c>
      <c r="E1789" t="s">
        <v>33</v>
      </c>
      <c r="F1789" t="s">
        <v>38</v>
      </c>
      <c r="G1789" t="s">
        <v>24</v>
      </c>
      <c r="H1789" t="s">
        <v>30</v>
      </c>
      <c r="I1789" t="s">
        <v>26</v>
      </c>
      <c r="J1789">
        <v>5</v>
      </c>
      <c r="K1789">
        <v>25542</v>
      </c>
      <c r="L1789">
        <f>Tabla24[[#This Row],[Precio_Unitario]]*Tabla24[[#This Row],[Unidades_Vendidas]]</f>
        <v>127710</v>
      </c>
      <c r="M1789" t="s">
        <v>27</v>
      </c>
    </row>
    <row r="1790" spans="1:13" x14ac:dyDescent="0.25">
      <c r="A1790" t="s">
        <v>226</v>
      </c>
      <c r="B1790" t="str">
        <f>TEXT(Tabla24[[#This Row],[Fecha]],"dddd")</f>
        <v>lunes</v>
      </c>
      <c r="C1790" t="str">
        <f>TEXT(Tabla24[[#This Row],[Fecha]],"mmmm")</f>
        <v>mayo</v>
      </c>
      <c r="D1790" t="str">
        <f>TEXT(Tabla24[[#This Row],[Fecha]],"aaaa")</f>
        <v>2024</v>
      </c>
      <c r="E1790" t="s">
        <v>33</v>
      </c>
      <c r="F1790" t="s">
        <v>29</v>
      </c>
      <c r="G1790" t="s">
        <v>48</v>
      </c>
      <c r="H1790" t="s">
        <v>25</v>
      </c>
      <c r="I1790" t="s">
        <v>40</v>
      </c>
      <c r="J1790">
        <v>18</v>
      </c>
      <c r="K1790">
        <v>38832</v>
      </c>
      <c r="L1790">
        <f>Tabla24[[#This Row],[Precio_Unitario]]*Tabla24[[#This Row],[Unidades_Vendidas]]</f>
        <v>698976</v>
      </c>
      <c r="M1790" t="s">
        <v>36</v>
      </c>
    </row>
    <row r="1791" spans="1:13" x14ac:dyDescent="0.25">
      <c r="A1791" t="s">
        <v>393</v>
      </c>
      <c r="B1791" t="str">
        <f>TEXT(Tabla24[[#This Row],[Fecha]],"dddd")</f>
        <v>domingo</v>
      </c>
      <c r="C1791" t="str">
        <f>TEXT(Tabla24[[#This Row],[Fecha]],"mmmm")</f>
        <v>abril</v>
      </c>
      <c r="D1791" t="str">
        <f>TEXT(Tabla24[[#This Row],[Fecha]],"aaaa")</f>
        <v>2024</v>
      </c>
      <c r="E1791" t="s">
        <v>22</v>
      </c>
      <c r="F1791" t="s">
        <v>34</v>
      </c>
      <c r="G1791" t="s">
        <v>39</v>
      </c>
      <c r="H1791" t="s">
        <v>19</v>
      </c>
      <c r="I1791" t="s">
        <v>40</v>
      </c>
      <c r="J1791">
        <v>9</v>
      </c>
      <c r="K1791">
        <v>58393</v>
      </c>
      <c r="L1791">
        <f>Tabla24[[#This Row],[Precio_Unitario]]*Tabla24[[#This Row],[Unidades_Vendidas]]</f>
        <v>525537</v>
      </c>
      <c r="M1791" t="s">
        <v>16</v>
      </c>
    </row>
    <row r="1792" spans="1:13" x14ac:dyDescent="0.25">
      <c r="A1792" t="s">
        <v>368</v>
      </c>
      <c r="B1792" t="str">
        <f>TEXT(Tabla24[[#This Row],[Fecha]],"dddd")</f>
        <v>sábado</v>
      </c>
      <c r="C1792" t="str">
        <f>TEXT(Tabla24[[#This Row],[Fecha]],"mmmm")</f>
        <v>junio</v>
      </c>
      <c r="D1792" t="str">
        <f>TEXT(Tabla24[[#This Row],[Fecha]],"aaaa")</f>
        <v>2024</v>
      </c>
      <c r="E1792" t="s">
        <v>22</v>
      </c>
      <c r="F1792" t="s">
        <v>34</v>
      </c>
      <c r="G1792" t="s">
        <v>24</v>
      </c>
      <c r="H1792" t="s">
        <v>14</v>
      </c>
      <c r="I1792" t="s">
        <v>26</v>
      </c>
      <c r="J1792">
        <v>19</v>
      </c>
      <c r="K1792">
        <v>41343</v>
      </c>
      <c r="L1792">
        <f>Tabla24[[#This Row],[Precio_Unitario]]*Tabla24[[#This Row],[Unidades_Vendidas]]</f>
        <v>785517</v>
      </c>
      <c r="M1792" t="s">
        <v>27</v>
      </c>
    </row>
    <row r="1793" spans="1:13" x14ac:dyDescent="0.25">
      <c r="A1793" t="s">
        <v>349</v>
      </c>
      <c r="B1793" t="str">
        <f>TEXT(Tabla24[[#This Row],[Fecha]],"dddd")</f>
        <v>domingo</v>
      </c>
      <c r="C1793" t="str">
        <f>TEXT(Tabla24[[#This Row],[Fecha]],"mmmm")</f>
        <v>julio</v>
      </c>
      <c r="D1793" t="str">
        <f>TEXT(Tabla24[[#This Row],[Fecha]],"aaaa")</f>
        <v>2024</v>
      </c>
      <c r="E1793" t="s">
        <v>18</v>
      </c>
      <c r="F1793" t="s">
        <v>38</v>
      </c>
      <c r="G1793" t="s">
        <v>39</v>
      </c>
      <c r="H1793" t="s">
        <v>14</v>
      </c>
      <c r="I1793" t="s">
        <v>26</v>
      </c>
      <c r="J1793">
        <v>7</v>
      </c>
      <c r="K1793">
        <v>30207</v>
      </c>
      <c r="L1793">
        <f>Tabla24[[#This Row],[Precio_Unitario]]*Tabla24[[#This Row],[Unidades_Vendidas]]</f>
        <v>211449</v>
      </c>
      <c r="M1793" t="s">
        <v>36</v>
      </c>
    </row>
    <row r="1794" spans="1:13" x14ac:dyDescent="0.25">
      <c r="A1794" t="s">
        <v>78</v>
      </c>
      <c r="B1794" t="str">
        <f>TEXT(Tabla24[[#This Row],[Fecha]],"dddd")</f>
        <v>martes</v>
      </c>
      <c r="C1794" t="str">
        <f>TEXT(Tabla24[[#This Row],[Fecha]],"mmmm")</f>
        <v>octubre</v>
      </c>
      <c r="D1794" t="str">
        <f>TEXT(Tabla24[[#This Row],[Fecha]],"aaaa")</f>
        <v>2024</v>
      </c>
      <c r="E1794" t="s">
        <v>33</v>
      </c>
      <c r="F1794" t="s">
        <v>38</v>
      </c>
      <c r="G1794" t="s">
        <v>39</v>
      </c>
      <c r="H1794" t="s">
        <v>19</v>
      </c>
      <c r="I1794" t="s">
        <v>40</v>
      </c>
      <c r="J1794">
        <v>8</v>
      </c>
      <c r="K1794">
        <v>54500</v>
      </c>
      <c r="L1794">
        <f>Tabla24[[#This Row],[Precio_Unitario]]*Tabla24[[#This Row],[Unidades_Vendidas]]</f>
        <v>436000</v>
      </c>
      <c r="M1794" t="s">
        <v>27</v>
      </c>
    </row>
    <row r="1795" spans="1:13" x14ac:dyDescent="0.25">
      <c r="A1795" t="s">
        <v>346</v>
      </c>
      <c r="B1795" t="str">
        <f>TEXT(Tabla24[[#This Row],[Fecha]],"dddd")</f>
        <v>domingo</v>
      </c>
      <c r="C1795" t="str">
        <f>TEXT(Tabla24[[#This Row],[Fecha]],"mmmm")</f>
        <v>septiembre</v>
      </c>
      <c r="D1795" t="str">
        <f>TEXT(Tabla24[[#This Row],[Fecha]],"aaaa")</f>
        <v>2024</v>
      </c>
      <c r="E1795" t="s">
        <v>33</v>
      </c>
      <c r="F1795" t="s">
        <v>38</v>
      </c>
      <c r="G1795" t="s">
        <v>13</v>
      </c>
      <c r="H1795" t="s">
        <v>14</v>
      </c>
      <c r="I1795" t="s">
        <v>26</v>
      </c>
      <c r="J1795">
        <v>3</v>
      </c>
      <c r="K1795">
        <v>34375</v>
      </c>
      <c r="L1795">
        <f>Tabla24[[#This Row],[Precio_Unitario]]*Tabla24[[#This Row],[Unidades_Vendidas]]</f>
        <v>103125</v>
      </c>
      <c r="M1795" t="s">
        <v>20</v>
      </c>
    </row>
    <row r="1796" spans="1:13" x14ac:dyDescent="0.25">
      <c r="A1796" t="s">
        <v>200</v>
      </c>
      <c r="B1796" t="str">
        <f>TEXT(Tabla24[[#This Row],[Fecha]],"dddd")</f>
        <v>sábado</v>
      </c>
      <c r="C1796" t="str">
        <f>TEXT(Tabla24[[#This Row],[Fecha]],"mmmm")</f>
        <v>octubre</v>
      </c>
      <c r="D1796" t="str">
        <f>TEXT(Tabla24[[#This Row],[Fecha]],"aaaa")</f>
        <v>2024</v>
      </c>
      <c r="E1796" t="s">
        <v>18</v>
      </c>
      <c r="F1796" t="s">
        <v>34</v>
      </c>
      <c r="G1796" t="s">
        <v>44</v>
      </c>
      <c r="H1796" t="s">
        <v>30</v>
      </c>
      <c r="I1796" t="s">
        <v>15</v>
      </c>
      <c r="J1796">
        <v>20</v>
      </c>
      <c r="K1796">
        <v>45095</v>
      </c>
      <c r="L1796">
        <f>Tabla24[[#This Row],[Precio_Unitario]]*Tabla24[[#This Row],[Unidades_Vendidas]]</f>
        <v>901900</v>
      </c>
      <c r="M1796" t="s">
        <v>16</v>
      </c>
    </row>
    <row r="1797" spans="1:13" x14ac:dyDescent="0.25">
      <c r="A1797" t="s">
        <v>274</v>
      </c>
      <c r="B1797" t="str">
        <f>TEXT(Tabla24[[#This Row],[Fecha]],"dddd")</f>
        <v>sábado</v>
      </c>
      <c r="C1797" t="str">
        <f>TEXT(Tabla24[[#This Row],[Fecha]],"mmmm")</f>
        <v>enero</v>
      </c>
      <c r="D1797" t="str">
        <f>TEXT(Tabla24[[#This Row],[Fecha]],"aaaa")</f>
        <v>2024</v>
      </c>
      <c r="E1797" t="s">
        <v>18</v>
      </c>
      <c r="F1797" t="s">
        <v>38</v>
      </c>
      <c r="G1797" t="s">
        <v>44</v>
      </c>
      <c r="H1797" t="s">
        <v>35</v>
      </c>
      <c r="I1797" t="s">
        <v>40</v>
      </c>
      <c r="J1797">
        <v>2</v>
      </c>
      <c r="K1797">
        <v>53074</v>
      </c>
      <c r="L1797">
        <f>Tabla24[[#This Row],[Precio_Unitario]]*Tabla24[[#This Row],[Unidades_Vendidas]]</f>
        <v>106148</v>
      </c>
      <c r="M1797" t="s">
        <v>20</v>
      </c>
    </row>
    <row r="1798" spans="1:13" x14ac:dyDescent="0.25">
      <c r="A1798" t="s">
        <v>168</v>
      </c>
      <c r="B1798" t="str">
        <f>TEXT(Tabla24[[#This Row],[Fecha]],"dddd")</f>
        <v>martes</v>
      </c>
      <c r="C1798" t="str">
        <f>TEXT(Tabla24[[#This Row],[Fecha]],"mmmm")</f>
        <v>enero</v>
      </c>
      <c r="D1798" t="str">
        <f>TEXT(Tabla24[[#This Row],[Fecha]],"aaaa")</f>
        <v>2024</v>
      </c>
      <c r="E1798" t="s">
        <v>33</v>
      </c>
      <c r="F1798" t="s">
        <v>23</v>
      </c>
      <c r="G1798" t="s">
        <v>39</v>
      </c>
      <c r="H1798" t="s">
        <v>30</v>
      </c>
      <c r="I1798" t="s">
        <v>15</v>
      </c>
      <c r="J1798">
        <v>11</v>
      </c>
      <c r="K1798">
        <v>33084</v>
      </c>
      <c r="L1798">
        <f>Tabla24[[#This Row],[Precio_Unitario]]*Tabla24[[#This Row],[Unidades_Vendidas]]</f>
        <v>363924</v>
      </c>
      <c r="M1798" t="s">
        <v>16</v>
      </c>
    </row>
    <row r="1799" spans="1:13" x14ac:dyDescent="0.25">
      <c r="A1799" t="s">
        <v>200</v>
      </c>
      <c r="B1799" t="str">
        <f>TEXT(Tabla24[[#This Row],[Fecha]],"dddd")</f>
        <v>sábado</v>
      </c>
      <c r="C1799" t="str">
        <f>TEXT(Tabla24[[#This Row],[Fecha]],"mmmm")</f>
        <v>octubre</v>
      </c>
      <c r="D1799" t="str">
        <f>TEXT(Tabla24[[#This Row],[Fecha]],"aaaa")</f>
        <v>2024</v>
      </c>
      <c r="E1799" t="s">
        <v>22</v>
      </c>
      <c r="F1799" t="s">
        <v>34</v>
      </c>
      <c r="G1799" t="s">
        <v>24</v>
      </c>
      <c r="H1799" t="s">
        <v>35</v>
      </c>
      <c r="I1799" t="s">
        <v>26</v>
      </c>
      <c r="J1799">
        <v>5</v>
      </c>
      <c r="K1799">
        <v>28264</v>
      </c>
      <c r="L1799">
        <f>Tabla24[[#This Row],[Precio_Unitario]]*Tabla24[[#This Row],[Unidades_Vendidas]]</f>
        <v>141320</v>
      </c>
      <c r="M1799" t="s">
        <v>20</v>
      </c>
    </row>
    <row r="1800" spans="1:13" x14ac:dyDescent="0.25">
      <c r="A1800" t="s">
        <v>58</v>
      </c>
      <c r="B1800" t="str">
        <f>TEXT(Tabla24[[#This Row],[Fecha]],"dddd")</f>
        <v>lunes</v>
      </c>
      <c r="C1800" t="str">
        <f>TEXT(Tabla24[[#This Row],[Fecha]],"mmmm")</f>
        <v>octubre</v>
      </c>
      <c r="D1800" t="str">
        <f>TEXT(Tabla24[[#This Row],[Fecha]],"aaaa")</f>
        <v>2024</v>
      </c>
      <c r="E1800" t="s">
        <v>11</v>
      </c>
      <c r="F1800" t="s">
        <v>12</v>
      </c>
      <c r="G1800" t="s">
        <v>39</v>
      </c>
      <c r="H1800" t="s">
        <v>14</v>
      </c>
      <c r="I1800" t="s">
        <v>40</v>
      </c>
      <c r="J1800">
        <v>3</v>
      </c>
      <c r="K1800">
        <v>47644</v>
      </c>
      <c r="L1800">
        <f>Tabla24[[#This Row],[Precio_Unitario]]*Tabla24[[#This Row],[Unidades_Vendidas]]</f>
        <v>142932</v>
      </c>
      <c r="M1800" t="s">
        <v>20</v>
      </c>
    </row>
    <row r="1801" spans="1:13" x14ac:dyDescent="0.25">
      <c r="A1801" t="s">
        <v>103</v>
      </c>
      <c r="B1801" t="str">
        <f>TEXT(Tabla24[[#This Row],[Fecha]],"dddd")</f>
        <v>martes</v>
      </c>
      <c r="C1801" t="str">
        <f>TEXT(Tabla24[[#This Row],[Fecha]],"mmmm")</f>
        <v>febrero</v>
      </c>
      <c r="D1801" t="str">
        <f>TEXT(Tabla24[[#This Row],[Fecha]],"aaaa")</f>
        <v>2024</v>
      </c>
      <c r="E1801" t="s">
        <v>42</v>
      </c>
      <c r="F1801" t="s">
        <v>29</v>
      </c>
      <c r="G1801" t="s">
        <v>13</v>
      </c>
      <c r="H1801" t="s">
        <v>30</v>
      </c>
      <c r="I1801" t="s">
        <v>26</v>
      </c>
      <c r="J1801">
        <v>7</v>
      </c>
      <c r="K1801">
        <v>20434</v>
      </c>
      <c r="L1801">
        <f>Tabla24[[#This Row],[Precio_Unitario]]*Tabla24[[#This Row],[Unidades_Vendidas]]</f>
        <v>143038</v>
      </c>
      <c r="M1801" t="s">
        <v>36</v>
      </c>
    </row>
    <row r="1802" spans="1:13" x14ac:dyDescent="0.25">
      <c r="A1802" t="s">
        <v>87</v>
      </c>
      <c r="B1802" t="str">
        <f>TEXT(Tabla24[[#This Row],[Fecha]],"dddd")</f>
        <v>martes</v>
      </c>
      <c r="C1802" t="str">
        <f>TEXT(Tabla24[[#This Row],[Fecha]],"mmmm")</f>
        <v>noviembre</v>
      </c>
      <c r="D1802" t="str">
        <f>TEXT(Tabla24[[#This Row],[Fecha]],"aaaa")</f>
        <v>2024</v>
      </c>
      <c r="E1802" t="s">
        <v>42</v>
      </c>
      <c r="F1802" t="s">
        <v>12</v>
      </c>
      <c r="G1802" t="s">
        <v>39</v>
      </c>
      <c r="H1802" t="s">
        <v>19</v>
      </c>
      <c r="I1802" t="s">
        <v>26</v>
      </c>
      <c r="J1802">
        <v>18</v>
      </c>
      <c r="K1802">
        <v>25537</v>
      </c>
      <c r="L1802">
        <f>Tabla24[[#This Row],[Precio_Unitario]]*Tabla24[[#This Row],[Unidades_Vendidas]]</f>
        <v>459666</v>
      </c>
      <c r="M1802" t="s">
        <v>16</v>
      </c>
    </row>
    <row r="1803" spans="1:13" x14ac:dyDescent="0.25">
      <c r="A1803" t="s">
        <v>273</v>
      </c>
      <c r="B1803" t="str">
        <f>TEXT(Tabla24[[#This Row],[Fecha]],"dddd")</f>
        <v>lunes</v>
      </c>
      <c r="C1803" t="str">
        <f>TEXT(Tabla24[[#This Row],[Fecha]],"mmmm")</f>
        <v>julio</v>
      </c>
      <c r="D1803" t="str">
        <f>TEXT(Tabla24[[#This Row],[Fecha]],"aaaa")</f>
        <v>2024</v>
      </c>
      <c r="E1803" t="s">
        <v>33</v>
      </c>
      <c r="F1803" t="s">
        <v>23</v>
      </c>
      <c r="G1803" t="s">
        <v>24</v>
      </c>
      <c r="H1803" t="s">
        <v>19</v>
      </c>
      <c r="I1803" t="s">
        <v>40</v>
      </c>
      <c r="J1803">
        <v>9</v>
      </c>
      <c r="K1803">
        <v>48343</v>
      </c>
      <c r="L1803">
        <f>Tabla24[[#This Row],[Precio_Unitario]]*Tabla24[[#This Row],[Unidades_Vendidas]]</f>
        <v>435087</v>
      </c>
      <c r="M1803" t="s">
        <v>36</v>
      </c>
    </row>
    <row r="1804" spans="1:13" x14ac:dyDescent="0.25">
      <c r="A1804" t="s">
        <v>347</v>
      </c>
      <c r="B1804" t="str">
        <f>TEXT(Tabla24[[#This Row],[Fecha]],"dddd")</f>
        <v>viernes</v>
      </c>
      <c r="C1804" t="str">
        <f>TEXT(Tabla24[[#This Row],[Fecha]],"mmmm")</f>
        <v>julio</v>
      </c>
      <c r="D1804" t="str">
        <f>TEXT(Tabla24[[#This Row],[Fecha]],"aaaa")</f>
        <v>2024</v>
      </c>
      <c r="E1804" t="s">
        <v>42</v>
      </c>
      <c r="F1804" t="s">
        <v>29</v>
      </c>
      <c r="G1804" t="s">
        <v>39</v>
      </c>
      <c r="H1804" t="s">
        <v>25</v>
      </c>
      <c r="I1804" t="s">
        <v>15</v>
      </c>
      <c r="J1804">
        <v>5</v>
      </c>
      <c r="K1804">
        <v>16939</v>
      </c>
      <c r="L1804">
        <f>Tabla24[[#This Row],[Precio_Unitario]]*Tabla24[[#This Row],[Unidades_Vendidas]]</f>
        <v>84695</v>
      </c>
      <c r="M1804" t="s">
        <v>20</v>
      </c>
    </row>
    <row r="1805" spans="1:13" x14ac:dyDescent="0.25">
      <c r="A1805" t="s">
        <v>327</v>
      </c>
      <c r="B1805" t="str">
        <f>TEXT(Tabla24[[#This Row],[Fecha]],"dddd")</f>
        <v>domingo</v>
      </c>
      <c r="C1805" t="str">
        <f>TEXT(Tabla24[[#This Row],[Fecha]],"mmmm")</f>
        <v>enero</v>
      </c>
      <c r="D1805" t="str">
        <f>TEXT(Tabla24[[#This Row],[Fecha]],"aaaa")</f>
        <v>2024</v>
      </c>
      <c r="E1805" t="s">
        <v>33</v>
      </c>
      <c r="F1805" t="s">
        <v>23</v>
      </c>
      <c r="G1805" t="s">
        <v>24</v>
      </c>
      <c r="H1805" t="s">
        <v>35</v>
      </c>
      <c r="I1805" t="s">
        <v>40</v>
      </c>
      <c r="J1805">
        <v>16</v>
      </c>
      <c r="K1805">
        <v>51239</v>
      </c>
      <c r="L1805">
        <f>Tabla24[[#This Row],[Precio_Unitario]]*Tabla24[[#This Row],[Unidades_Vendidas]]</f>
        <v>819824</v>
      </c>
      <c r="M1805" t="s">
        <v>27</v>
      </c>
    </row>
    <row r="1806" spans="1:13" x14ac:dyDescent="0.25">
      <c r="A1806" t="s">
        <v>388</v>
      </c>
      <c r="B1806" t="str">
        <f>TEXT(Tabla24[[#This Row],[Fecha]],"dddd")</f>
        <v>sábado</v>
      </c>
      <c r="C1806" t="str">
        <f>TEXT(Tabla24[[#This Row],[Fecha]],"mmmm")</f>
        <v>junio</v>
      </c>
      <c r="D1806" t="str">
        <f>TEXT(Tabla24[[#This Row],[Fecha]],"aaaa")</f>
        <v>2024</v>
      </c>
      <c r="E1806" t="s">
        <v>42</v>
      </c>
      <c r="F1806" t="s">
        <v>38</v>
      </c>
      <c r="G1806" t="s">
        <v>13</v>
      </c>
      <c r="H1806" t="s">
        <v>14</v>
      </c>
      <c r="I1806" t="s">
        <v>26</v>
      </c>
      <c r="J1806">
        <v>17</v>
      </c>
      <c r="K1806">
        <v>42542</v>
      </c>
      <c r="L1806">
        <f>Tabla24[[#This Row],[Precio_Unitario]]*Tabla24[[#This Row],[Unidades_Vendidas]]</f>
        <v>723214</v>
      </c>
      <c r="M1806" t="s">
        <v>16</v>
      </c>
    </row>
    <row r="1807" spans="1:13" x14ac:dyDescent="0.25">
      <c r="A1807" t="s">
        <v>180</v>
      </c>
      <c r="B1807" t="str">
        <f>TEXT(Tabla24[[#This Row],[Fecha]],"dddd")</f>
        <v>viernes</v>
      </c>
      <c r="C1807" t="str">
        <f>TEXT(Tabla24[[#This Row],[Fecha]],"mmmm")</f>
        <v>marzo</v>
      </c>
      <c r="D1807" t="str">
        <f>TEXT(Tabla24[[#This Row],[Fecha]],"aaaa")</f>
        <v>2024</v>
      </c>
      <c r="E1807" t="s">
        <v>18</v>
      </c>
      <c r="F1807" t="s">
        <v>38</v>
      </c>
      <c r="G1807" t="s">
        <v>24</v>
      </c>
      <c r="H1807" t="s">
        <v>14</v>
      </c>
      <c r="I1807" t="s">
        <v>26</v>
      </c>
      <c r="J1807">
        <v>11</v>
      </c>
      <c r="K1807">
        <v>43866</v>
      </c>
      <c r="L1807">
        <f>Tabla24[[#This Row],[Precio_Unitario]]*Tabla24[[#This Row],[Unidades_Vendidas]]</f>
        <v>482526</v>
      </c>
      <c r="M1807" t="s">
        <v>20</v>
      </c>
    </row>
    <row r="1808" spans="1:13" x14ac:dyDescent="0.25">
      <c r="A1808" t="s">
        <v>361</v>
      </c>
      <c r="B1808" t="str">
        <f>TEXT(Tabla24[[#This Row],[Fecha]],"dddd")</f>
        <v>martes</v>
      </c>
      <c r="C1808" t="str">
        <f>TEXT(Tabla24[[#This Row],[Fecha]],"mmmm")</f>
        <v>junio</v>
      </c>
      <c r="D1808" t="str">
        <f>TEXT(Tabla24[[#This Row],[Fecha]],"aaaa")</f>
        <v>2024</v>
      </c>
      <c r="E1808" t="s">
        <v>18</v>
      </c>
      <c r="F1808" t="s">
        <v>34</v>
      </c>
      <c r="G1808" t="s">
        <v>39</v>
      </c>
      <c r="H1808" t="s">
        <v>35</v>
      </c>
      <c r="I1808" t="s">
        <v>26</v>
      </c>
      <c r="J1808">
        <v>4</v>
      </c>
      <c r="K1808">
        <v>35075</v>
      </c>
      <c r="L1808">
        <f>Tabla24[[#This Row],[Precio_Unitario]]*Tabla24[[#This Row],[Unidades_Vendidas]]</f>
        <v>140300</v>
      </c>
      <c r="M1808" t="s">
        <v>27</v>
      </c>
    </row>
    <row r="1809" spans="1:13" x14ac:dyDescent="0.25">
      <c r="A1809" t="s">
        <v>63</v>
      </c>
      <c r="B1809" t="str">
        <f>TEXT(Tabla24[[#This Row],[Fecha]],"dddd")</f>
        <v>lunes</v>
      </c>
      <c r="C1809" t="str">
        <f>TEXT(Tabla24[[#This Row],[Fecha]],"mmmm")</f>
        <v>octubre</v>
      </c>
      <c r="D1809" t="str">
        <f>TEXT(Tabla24[[#This Row],[Fecha]],"aaaa")</f>
        <v>2024</v>
      </c>
      <c r="E1809" t="s">
        <v>11</v>
      </c>
      <c r="F1809" t="s">
        <v>38</v>
      </c>
      <c r="G1809" t="s">
        <v>24</v>
      </c>
      <c r="H1809" t="s">
        <v>30</v>
      </c>
      <c r="I1809" t="s">
        <v>40</v>
      </c>
      <c r="J1809">
        <v>13</v>
      </c>
      <c r="K1809">
        <v>57373</v>
      </c>
      <c r="L1809">
        <f>Tabla24[[#This Row],[Precio_Unitario]]*Tabla24[[#This Row],[Unidades_Vendidas]]</f>
        <v>745849</v>
      </c>
      <c r="M1809" t="s">
        <v>16</v>
      </c>
    </row>
    <row r="1810" spans="1:13" x14ac:dyDescent="0.25">
      <c r="A1810" t="s">
        <v>176</v>
      </c>
      <c r="B1810" t="str">
        <f>TEXT(Tabla24[[#This Row],[Fecha]],"dddd")</f>
        <v>domingo</v>
      </c>
      <c r="C1810" t="str">
        <f>TEXT(Tabla24[[#This Row],[Fecha]],"mmmm")</f>
        <v>septiembre</v>
      </c>
      <c r="D1810" t="str">
        <f>TEXT(Tabla24[[#This Row],[Fecha]],"aaaa")</f>
        <v>2024</v>
      </c>
      <c r="E1810" t="s">
        <v>18</v>
      </c>
      <c r="F1810" t="s">
        <v>34</v>
      </c>
      <c r="G1810" t="s">
        <v>13</v>
      </c>
      <c r="H1810" t="s">
        <v>14</v>
      </c>
      <c r="I1810" t="s">
        <v>15</v>
      </c>
      <c r="J1810">
        <v>1</v>
      </c>
      <c r="K1810">
        <v>58785</v>
      </c>
      <c r="L1810">
        <f>Tabla24[[#This Row],[Precio_Unitario]]*Tabla24[[#This Row],[Unidades_Vendidas]]</f>
        <v>58785</v>
      </c>
      <c r="M1810" t="s">
        <v>16</v>
      </c>
    </row>
    <row r="1811" spans="1:13" x14ac:dyDescent="0.25">
      <c r="A1811" t="s">
        <v>339</v>
      </c>
      <c r="B1811" t="str">
        <f>TEXT(Tabla24[[#This Row],[Fecha]],"dddd")</f>
        <v>martes</v>
      </c>
      <c r="C1811" t="str">
        <f>TEXT(Tabla24[[#This Row],[Fecha]],"mmmm")</f>
        <v>mayo</v>
      </c>
      <c r="D1811" t="str">
        <f>TEXT(Tabla24[[#This Row],[Fecha]],"aaaa")</f>
        <v>2024</v>
      </c>
      <c r="E1811" t="s">
        <v>22</v>
      </c>
      <c r="F1811" t="s">
        <v>23</v>
      </c>
      <c r="G1811" t="s">
        <v>48</v>
      </c>
      <c r="H1811" t="s">
        <v>30</v>
      </c>
      <c r="I1811" t="s">
        <v>15</v>
      </c>
      <c r="J1811">
        <v>7</v>
      </c>
      <c r="K1811">
        <v>38877</v>
      </c>
      <c r="L1811">
        <f>Tabla24[[#This Row],[Precio_Unitario]]*Tabla24[[#This Row],[Unidades_Vendidas]]</f>
        <v>272139</v>
      </c>
      <c r="M1811" t="s">
        <v>36</v>
      </c>
    </row>
    <row r="1812" spans="1:13" x14ac:dyDescent="0.25">
      <c r="A1812" t="s">
        <v>205</v>
      </c>
      <c r="B1812" t="str">
        <f>TEXT(Tabla24[[#This Row],[Fecha]],"dddd")</f>
        <v>sábado</v>
      </c>
      <c r="C1812" t="str">
        <f>TEXT(Tabla24[[#This Row],[Fecha]],"mmmm")</f>
        <v>marzo</v>
      </c>
      <c r="D1812" t="str">
        <f>TEXT(Tabla24[[#This Row],[Fecha]],"aaaa")</f>
        <v>2024</v>
      </c>
      <c r="E1812" t="s">
        <v>22</v>
      </c>
      <c r="F1812" t="s">
        <v>38</v>
      </c>
      <c r="G1812" t="s">
        <v>13</v>
      </c>
      <c r="H1812" t="s">
        <v>30</v>
      </c>
      <c r="I1812" t="s">
        <v>15</v>
      </c>
      <c r="J1812">
        <v>3</v>
      </c>
      <c r="K1812">
        <v>15858</v>
      </c>
      <c r="L1812">
        <f>Tabla24[[#This Row],[Precio_Unitario]]*Tabla24[[#This Row],[Unidades_Vendidas]]</f>
        <v>47574</v>
      </c>
      <c r="M1812" t="s">
        <v>20</v>
      </c>
    </row>
    <row r="1813" spans="1:13" x14ac:dyDescent="0.25">
      <c r="A1813" t="s">
        <v>315</v>
      </c>
      <c r="B1813" t="str">
        <f>TEXT(Tabla24[[#This Row],[Fecha]],"dddd")</f>
        <v>domingo</v>
      </c>
      <c r="C1813" t="str">
        <f>TEXT(Tabla24[[#This Row],[Fecha]],"mmmm")</f>
        <v>diciembre</v>
      </c>
      <c r="D1813" t="str">
        <f>TEXT(Tabla24[[#This Row],[Fecha]],"aaaa")</f>
        <v>2024</v>
      </c>
      <c r="E1813" t="s">
        <v>33</v>
      </c>
      <c r="F1813" t="s">
        <v>12</v>
      </c>
      <c r="G1813" t="s">
        <v>39</v>
      </c>
      <c r="H1813" t="s">
        <v>19</v>
      </c>
      <c r="I1813" t="s">
        <v>40</v>
      </c>
      <c r="J1813">
        <v>5</v>
      </c>
      <c r="K1813">
        <v>24727</v>
      </c>
      <c r="L1813">
        <f>Tabla24[[#This Row],[Precio_Unitario]]*Tabla24[[#This Row],[Unidades_Vendidas]]</f>
        <v>123635</v>
      </c>
      <c r="M1813" t="s">
        <v>20</v>
      </c>
    </row>
    <row r="1814" spans="1:13" x14ac:dyDescent="0.25">
      <c r="A1814" t="s">
        <v>108</v>
      </c>
      <c r="B1814" t="str">
        <f>TEXT(Tabla24[[#This Row],[Fecha]],"dddd")</f>
        <v>viernes</v>
      </c>
      <c r="C1814" t="str">
        <f>TEXT(Tabla24[[#This Row],[Fecha]],"mmmm")</f>
        <v>marzo</v>
      </c>
      <c r="D1814" t="str">
        <f>TEXT(Tabla24[[#This Row],[Fecha]],"aaaa")</f>
        <v>2024</v>
      </c>
      <c r="E1814" t="s">
        <v>11</v>
      </c>
      <c r="F1814" t="s">
        <v>34</v>
      </c>
      <c r="G1814" t="s">
        <v>24</v>
      </c>
      <c r="H1814" t="s">
        <v>35</v>
      </c>
      <c r="I1814" t="s">
        <v>26</v>
      </c>
      <c r="J1814">
        <v>20</v>
      </c>
      <c r="K1814">
        <v>34673</v>
      </c>
      <c r="L1814">
        <f>Tabla24[[#This Row],[Precio_Unitario]]*Tabla24[[#This Row],[Unidades_Vendidas]]</f>
        <v>693460</v>
      </c>
      <c r="M1814" t="s">
        <v>36</v>
      </c>
    </row>
    <row r="1815" spans="1:13" x14ac:dyDescent="0.25">
      <c r="A1815" t="s">
        <v>213</v>
      </c>
      <c r="B1815" t="str">
        <f>TEXT(Tabla24[[#This Row],[Fecha]],"dddd")</f>
        <v>miércoles</v>
      </c>
      <c r="C1815" t="str">
        <f>TEXT(Tabla24[[#This Row],[Fecha]],"mmmm")</f>
        <v>septiembre</v>
      </c>
      <c r="D1815" t="str">
        <f>TEXT(Tabla24[[#This Row],[Fecha]],"aaaa")</f>
        <v>2024</v>
      </c>
      <c r="E1815" t="s">
        <v>33</v>
      </c>
      <c r="F1815" t="s">
        <v>29</v>
      </c>
      <c r="G1815" t="s">
        <v>44</v>
      </c>
      <c r="H1815" t="s">
        <v>14</v>
      </c>
      <c r="I1815" t="s">
        <v>15</v>
      </c>
      <c r="J1815">
        <v>6</v>
      </c>
      <c r="K1815">
        <v>27133</v>
      </c>
      <c r="L1815">
        <f>Tabla24[[#This Row],[Precio_Unitario]]*Tabla24[[#This Row],[Unidades_Vendidas]]</f>
        <v>162798</v>
      </c>
      <c r="M1815" t="s">
        <v>20</v>
      </c>
    </row>
    <row r="1816" spans="1:13" x14ac:dyDescent="0.25">
      <c r="A1816" t="s">
        <v>371</v>
      </c>
      <c r="B1816" t="str">
        <f>TEXT(Tabla24[[#This Row],[Fecha]],"dddd")</f>
        <v>jueves</v>
      </c>
      <c r="C1816" t="str">
        <f>TEXT(Tabla24[[#This Row],[Fecha]],"mmmm")</f>
        <v>abril</v>
      </c>
      <c r="D1816" t="str">
        <f>TEXT(Tabla24[[#This Row],[Fecha]],"aaaa")</f>
        <v>2024</v>
      </c>
      <c r="E1816" t="s">
        <v>22</v>
      </c>
      <c r="F1816" t="s">
        <v>12</v>
      </c>
      <c r="G1816" t="s">
        <v>24</v>
      </c>
      <c r="H1816" t="s">
        <v>30</v>
      </c>
      <c r="I1816" t="s">
        <v>15</v>
      </c>
      <c r="J1816">
        <v>9</v>
      </c>
      <c r="K1816">
        <v>31555</v>
      </c>
      <c r="L1816">
        <f>Tabla24[[#This Row],[Precio_Unitario]]*Tabla24[[#This Row],[Unidades_Vendidas]]</f>
        <v>283995</v>
      </c>
      <c r="M1816" t="s">
        <v>16</v>
      </c>
    </row>
    <row r="1817" spans="1:13" x14ac:dyDescent="0.25">
      <c r="A1817" t="s">
        <v>315</v>
      </c>
      <c r="B1817" t="str">
        <f>TEXT(Tabla24[[#This Row],[Fecha]],"dddd")</f>
        <v>domingo</v>
      </c>
      <c r="C1817" t="str">
        <f>TEXT(Tabla24[[#This Row],[Fecha]],"mmmm")</f>
        <v>diciembre</v>
      </c>
      <c r="D1817" t="str">
        <f>TEXT(Tabla24[[#This Row],[Fecha]],"aaaa")</f>
        <v>2024</v>
      </c>
      <c r="E1817" t="s">
        <v>42</v>
      </c>
      <c r="F1817" t="s">
        <v>38</v>
      </c>
      <c r="G1817" t="s">
        <v>48</v>
      </c>
      <c r="H1817" t="s">
        <v>25</v>
      </c>
      <c r="I1817" t="s">
        <v>15</v>
      </c>
      <c r="J1817">
        <v>7</v>
      </c>
      <c r="K1817">
        <v>53681</v>
      </c>
      <c r="L1817">
        <f>Tabla24[[#This Row],[Precio_Unitario]]*Tabla24[[#This Row],[Unidades_Vendidas]]</f>
        <v>375767</v>
      </c>
      <c r="M1817" t="s">
        <v>27</v>
      </c>
    </row>
    <row r="1818" spans="1:13" x14ac:dyDescent="0.25">
      <c r="A1818" t="s">
        <v>294</v>
      </c>
      <c r="B1818" t="str">
        <f>TEXT(Tabla24[[#This Row],[Fecha]],"dddd")</f>
        <v>domingo</v>
      </c>
      <c r="C1818" t="str">
        <f>TEXT(Tabla24[[#This Row],[Fecha]],"mmmm")</f>
        <v>febrero</v>
      </c>
      <c r="D1818" t="str">
        <f>TEXT(Tabla24[[#This Row],[Fecha]],"aaaa")</f>
        <v>2024</v>
      </c>
      <c r="E1818" t="s">
        <v>33</v>
      </c>
      <c r="F1818" t="s">
        <v>23</v>
      </c>
      <c r="G1818" t="s">
        <v>13</v>
      </c>
      <c r="H1818" t="s">
        <v>35</v>
      </c>
      <c r="I1818" t="s">
        <v>15</v>
      </c>
      <c r="J1818">
        <v>6</v>
      </c>
      <c r="K1818">
        <v>40449</v>
      </c>
      <c r="L1818">
        <f>Tabla24[[#This Row],[Precio_Unitario]]*Tabla24[[#This Row],[Unidades_Vendidas]]</f>
        <v>242694</v>
      </c>
      <c r="M1818" t="s">
        <v>20</v>
      </c>
    </row>
    <row r="1819" spans="1:13" x14ac:dyDescent="0.25">
      <c r="A1819" t="s">
        <v>164</v>
      </c>
      <c r="B1819" t="str">
        <f>TEXT(Tabla24[[#This Row],[Fecha]],"dddd")</f>
        <v>domingo</v>
      </c>
      <c r="C1819" t="str">
        <f>TEXT(Tabla24[[#This Row],[Fecha]],"mmmm")</f>
        <v>junio</v>
      </c>
      <c r="D1819" t="str">
        <f>TEXT(Tabla24[[#This Row],[Fecha]],"aaaa")</f>
        <v>2024</v>
      </c>
      <c r="E1819" t="s">
        <v>22</v>
      </c>
      <c r="F1819" t="s">
        <v>38</v>
      </c>
      <c r="G1819" t="s">
        <v>44</v>
      </c>
      <c r="H1819" t="s">
        <v>35</v>
      </c>
      <c r="I1819" t="s">
        <v>26</v>
      </c>
      <c r="J1819">
        <v>7</v>
      </c>
      <c r="K1819">
        <v>58578</v>
      </c>
      <c r="L1819">
        <f>Tabla24[[#This Row],[Precio_Unitario]]*Tabla24[[#This Row],[Unidades_Vendidas]]</f>
        <v>410046</v>
      </c>
      <c r="M1819" t="s">
        <v>36</v>
      </c>
    </row>
    <row r="1820" spans="1:13" x14ac:dyDescent="0.25">
      <c r="A1820" t="s">
        <v>157</v>
      </c>
      <c r="B1820" t="str">
        <f>TEXT(Tabla24[[#This Row],[Fecha]],"dddd")</f>
        <v>viernes</v>
      </c>
      <c r="C1820" t="str">
        <f>TEXT(Tabla24[[#This Row],[Fecha]],"mmmm")</f>
        <v>septiembre</v>
      </c>
      <c r="D1820" t="str">
        <f>TEXT(Tabla24[[#This Row],[Fecha]],"aaaa")</f>
        <v>2024</v>
      </c>
      <c r="E1820" t="s">
        <v>33</v>
      </c>
      <c r="F1820" t="s">
        <v>38</v>
      </c>
      <c r="G1820" t="s">
        <v>39</v>
      </c>
      <c r="H1820" t="s">
        <v>19</v>
      </c>
      <c r="I1820" t="s">
        <v>40</v>
      </c>
      <c r="J1820">
        <v>4</v>
      </c>
      <c r="K1820">
        <v>40941</v>
      </c>
      <c r="L1820">
        <f>Tabla24[[#This Row],[Precio_Unitario]]*Tabla24[[#This Row],[Unidades_Vendidas]]</f>
        <v>163764</v>
      </c>
      <c r="M1820" t="s">
        <v>16</v>
      </c>
    </row>
    <row r="1821" spans="1:13" x14ac:dyDescent="0.25">
      <c r="A1821" t="s">
        <v>309</v>
      </c>
      <c r="B1821" t="str">
        <f>TEXT(Tabla24[[#This Row],[Fecha]],"dddd")</f>
        <v>domingo</v>
      </c>
      <c r="C1821" t="str">
        <f>TEXT(Tabla24[[#This Row],[Fecha]],"mmmm")</f>
        <v>mayo</v>
      </c>
      <c r="D1821" t="str">
        <f>TEXT(Tabla24[[#This Row],[Fecha]],"aaaa")</f>
        <v>2024</v>
      </c>
      <c r="E1821" t="s">
        <v>11</v>
      </c>
      <c r="F1821" t="s">
        <v>29</v>
      </c>
      <c r="G1821" t="s">
        <v>48</v>
      </c>
      <c r="H1821" t="s">
        <v>14</v>
      </c>
      <c r="I1821" t="s">
        <v>15</v>
      </c>
      <c r="J1821">
        <v>19</v>
      </c>
      <c r="K1821">
        <v>56204</v>
      </c>
      <c r="L1821">
        <f>Tabla24[[#This Row],[Precio_Unitario]]*Tabla24[[#This Row],[Unidades_Vendidas]]</f>
        <v>1067876</v>
      </c>
      <c r="M1821" t="s">
        <v>36</v>
      </c>
    </row>
    <row r="1822" spans="1:13" x14ac:dyDescent="0.25">
      <c r="A1822" t="s">
        <v>320</v>
      </c>
      <c r="B1822" t="str">
        <f>TEXT(Tabla24[[#This Row],[Fecha]],"dddd")</f>
        <v>viernes</v>
      </c>
      <c r="C1822" t="str">
        <f>TEXT(Tabla24[[#This Row],[Fecha]],"mmmm")</f>
        <v>abril</v>
      </c>
      <c r="D1822" t="str">
        <f>TEXT(Tabla24[[#This Row],[Fecha]],"aaaa")</f>
        <v>2024</v>
      </c>
      <c r="E1822" t="s">
        <v>11</v>
      </c>
      <c r="F1822" t="s">
        <v>38</v>
      </c>
      <c r="G1822" t="s">
        <v>44</v>
      </c>
      <c r="H1822" t="s">
        <v>35</v>
      </c>
      <c r="I1822" t="s">
        <v>15</v>
      </c>
      <c r="J1822">
        <v>20</v>
      </c>
      <c r="K1822">
        <v>47488</v>
      </c>
      <c r="L1822">
        <f>Tabla24[[#This Row],[Precio_Unitario]]*Tabla24[[#This Row],[Unidades_Vendidas]]</f>
        <v>949760</v>
      </c>
      <c r="M1822" t="s">
        <v>16</v>
      </c>
    </row>
    <row r="1823" spans="1:13" x14ac:dyDescent="0.25">
      <c r="A1823" t="s">
        <v>305</v>
      </c>
      <c r="B1823" t="str">
        <f>TEXT(Tabla24[[#This Row],[Fecha]],"dddd")</f>
        <v>viernes</v>
      </c>
      <c r="C1823" t="str">
        <f>TEXT(Tabla24[[#This Row],[Fecha]],"mmmm")</f>
        <v>septiembre</v>
      </c>
      <c r="D1823" t="str">
        <f>TEXT(Tabla24[[#This Row],[Fecha]],"aaaa")</f>
        <v>2024</v>
      </c>
      <c r="E1823" t="s">
        <v>11</v>
      </c>
      <c r="F1823" t="s">
        <v>38</v>
      </c>
      <c r="G1823" t="s">
        <v>39</v>
      </c>
      <c r="H1823" t="s">
        <v>19</v>
      </c>
      <c r="I1823" t="s">
        <v>15</v>
      </c>
      <c r="J1823">
        <v>7</v>
      </c>
      <c r="K1823">
        <v>22250</v>
      </c>
      <c r="L1823">
        <f>Tabla24[[#This Row],[Precio_Unitario]]*Tabla24[[#This Row],[Unidades_Vendidas]]</f>
        <v>155750</v>
      </c>
      <c r="M1823" t="s">
        <v>36</v>
      </c>
    </row>
    <row r="1824" spans="1:13" x14ac:dyDescent="0.25">
      <c r="A1824" t="s">
        <v>278</v>
      </c>
      <c r="B1824" t="str">
        <f>TEXT(Tabla24[[#This Row],[Fecha]],"dddd")</f>
        <v>miércoles</v>
      </c>
      <c r="C1824" t="str">
        <f>TEXT(Tabla24[[#This Row],[Fecha]],"mmmm")</f>
        <v>julio</v>
      </c>
      <c r="D1824" t="str">
        <f>TEXT(Tabla24[[#This Row],[Fecha]],"aaaa")</f>
        <v>2024</v>
      </c>
      <c r="E1824" t="s">
        <v>18</v>
      </c>
      <c r="F1824" t="s">
        <v>12</v>
      </c>
      <c r="G1824" t="s">
        <v>13</v>
      </c>
      <c r="H1824" t="s">
        <v>19</v>
      </c>
      <c r="I1824" t="s">
        <v>15</v>
      </c>
      <c r="J1824">
        <v>8</v>
      </c>
      <c r="K1824">
        <v>59380</v>
      </c>
      <c r="L1824">
        <f>Tabla24[[#This Row],[Precio_Unitario]]*Tabla24[[#This Row],[Unidades_Vendidas]]</f>
        <v>475040</v>
      </c>
      <c r="M1824" t="s">
        <v>20</v>
      </c>
    </row>
    <row r="1825" spans="1:13" x14ac:dyDescent="0.25">
      <c r="A1825" t="s">
        <v>177</v>
      </c>
      <c r="B1825" t="str">
        <f>TEXT(Tabla24[[#This Row],[Fecha]],"dddd")</f>
        <v>martes</v>
      </c>
      <c r="C1825" t="str">
        <f>TEXT(Tabla24[[#This Row],[Fecha]],"mmmm")</f>
        <v>abril</v>
      </c>
      <c r="D1825" t="str">
        <f>TEXT(Tabla24[[#This Row],[Fecha]],"aaaa")</f>
        <v>2024</v>
      </c>
      <c r="E1825" t="s">
        <v>22</v>
      </c>
      <c r="F1825" t="s">
        <v>38</v>
      </c>
      <c r="G1825" t="s">
        <v>48</v>
      </c>
      <c r="H1825" t="s">
        <v>19</v>
      </c>
      <c r="I1825" t="s">
        <v>15</v>
      </c>
      <c r="J1825">
        <v>10</v>
      </c>
      <c r="K1825">
        <v>40554</v>
      </c>
      <c r="L1825">
        <f>Tabla24[[#This Row],[Precio_Unitario]]*Tabla24[[#This Row],[Unidades_Vendidas]]</f>
        <v>405540</v>
      </c>
      <c r="M1825" t="s">
        <v>36</v>
      </c>
    </row>
    <row r="1826" spans="1:13" x14ac:dyDescent="0.25">
      <c r="A1826" t="s">
        <v>259</v>
      </c>
      <c r="B1826" t="str">
        <f>TEXT(Tabla24[[#This Row],[Fecha]],"dddd")</f>
        <v>lunes</v>
      </c>
      <c r="C1826" t="str">
        <f>TEXT(Tabla24[[#This Row],[Fecha]],"mmmm")</f>
        <v>noviembre</v>
      </c>
      <c r="D1826" t="str">
        <f>TEXT(Tabla24[[#This Row],[Fecha]],"aaaa")</f>
        <v>2024</v>
      </c>
      <c r="E1826" t="s">
        <v>22</v>
      </c>
      <c r="F1826" t="s">
        <v>29</v>
      </c>
      <c r="G1826" t="s">
        <v>44</v>
      </c>
      <c r="H1826" t="s">
        <v>35</v>
      </c>
      <c r="I1826" t="s">
        <v>40</v>
      </c>
      <c r="J1826">
        <v>14</v>
      </c>
      <c r="K1826">
        <v>51865</v>
      </c>
      <c r="L1826">
        <f>Tabla24[[#This Row],[Precio_Unitario]]*Tabla24[[#This Row],[Unidades_Vendidas]]</f>
        <v>726110</v>
      </c>
      <c r="M1826" t="s">
        <v>20</v>
      </c>
    </row>
    <row r="1827" spans="1:13" x14ac:dyDescent="0.25">
      <c r="A1827" t="s">
        <v>328</v>
      </c>
      <c r="B1827" t="str">
        <f>TEXT(Tabla24[[#This Row],[Fecha]],"dddd")</f>
        <v>viernes</v>
      </c>
      <c r="C1827" t="str">
        <f>TEXT(Tabla24[[#This Row],[Fecha]],"mmmm")</f>
        <v>diciembre</v>
      </c>
      <c r="D1827" t="str">
        <f>TEXT(Tabla24[[#This Row],[Fecha]],"aaaa")</f>
        <v>2024</v>
      </c>
      <c r="E1827" t="s">
        <v>33</v>
      </c>
      <c r="F1827" t="s">
        <v>38</v>
      </c>
      <c r="G1827" t="s">
        <v>48</v>
      </c>
      <c r="H1827" t="s">
        <v>35</v>
      </c>
      <c r="I1827" t="s">
        <v>40</v>
      </c>
      <c r="J1827">
        <v>12</v>
      </c>
      <c r="K1827">
        <v>52545</v>
      </c>
      <c r="L1827">
        <f>Tabla24[[#This Row],[Precio_Unitario]]*Tabla24[[#This Row],[Unidades_Vendidas]]</f>
        <v>630540</v>
      </c>
      <c r="M1827" t="s">
        <v>36</v>
      </c>
    </row>
    <row r="1828" spans="1:13" x14ac:dyDescent="0.25">
      <c r="A1828" t="s">
        <v>172</v>
      </c>
      <c r="B1828" t="str">
        <f>TEXT(Tabla24[[#This Row],[Fecha]],"dddd")</f>
        <v>domingo</v>
      </c>
      <c r="C1828" t="str">
        <f>TEXT(Tabla24[[#This Row],[Fecha]],"mmmm")</f>
        <v>marzo</v>
      </c>
      <c r="D1828" t="str">
        <f>TEXT(Tabla24[[#This Row],[Fecha]],"aaaa")</f>
        <v>2024</v>
      </c>
      <c r="E1828" t="s">
        <v>22</v>
      </c>
      <c r="F1828" t="s">
        <v>29</v>
      </c>
      <c r="G1828" t="s">
        <v>13</v>
      </c>
      <c r="H1828" t="s">
        <v>19</v>
      </c>
      <c r="I1828" t="s">
        <v>15</v>
      </c>
      <c r="J1828">
        <v>12</v>
      </c>
      <c r="K1828">
        <v>16891</v>
      </c>
      <c r="L1828">
        <f>Tabla24[[#This Row],[Precio_Unitario]]*Tabla24[[#This Row],[Unidades_Vendidas]]</f>
        <v>202692</v>
      </c>
      <c r="M1828" t="s">
        <v>36</v>
      </c>
    </row>
    <row r="1829" spans="1:13" x14ac:dyDescent="0.25">
      <c r="A1829" t="s">
        <v>232</v>
      </c>
      <c r="B1829" t="str">
        <f>TEXT(Tabla24[[#This Row],[Fecha]],"dddd")</f>
        <v>sábado</v>
      </c>
      <c r="C1829" t="str">
        <f>TEXT(Tabla24[[#This Row],[Fecha]],"mmmm")</f>
        <v>octubre</v>
      </c>
      <c r="D1829" t="str">
        <f>TEXT(Tabla24[[#This Row],[Fecha]],"aaaa")</f>
        <v>2024</v>
      </c>
      <c r="E1829" t="s">
        <v>42</v>
      </c>
      <c r="F1829" t="s">
        <v>12</v>
      </c>
      <c r="G1829" t="s">
        <v>39</v>
      </c>
      <c r="H1829" t="s">
        <v>25</v>
      </c>
      <c r="I1829" t="s">
        <v>15</v>
      </c>
      <c r="J1829">
        <v>11</v>
      </c>
      <c r="K1829">
        <v>44448</v>
      </c>
      <c r="L1829">
        <f>Tabla24[[#This Row],[Precio_Unitario]]*Tabla24[[#This Row],[Unidades_Vendidas]]</f>
        <v>488928</v>
      </c>
      <c r="M1829" t="s">
        <v>16</v>
      </c>
    </row>
    <row r="1830" spans="1:13" x14ac:dyDescent="0.25">
      <c r="A1830" t="s">
        <v>309</v>
      </c>
      <c r="B1830" t="str">
        <f>TEXT(Tabla24[[#This Row],[Fecha]],"dddd")</f>
        <v>domingo</v>
      </c>
      <c r="C1830" t="str">
        <f>TEXT(Tabla24[[#This Row],[Fecha]],"mmmm")</f>
        <v>mayo</v>
      </c>
      <c r="D1830" t="str">
        <f>TEXT(Tabla24[[#This Row],[Fecha]],"aaaa")</f>
        <v>2024</v>
      </c>
      <c r="E1830" t="s">
        <v>42</v>
      </c>
      <c r="F1830" t="s">
        <v>38</v>
      </c>
      <c r="G1830" t="s">
        <v>39</v>
      </c>
      <c r="H1830" t="s">
        <v>14</v>
      </c>
      <c r="I1830" t="s">
        <v>15</v>
      </c>
      <c r="J1830">
        <v>14</v>
      </c>
      <c r="K1830">
        <v>28994</v>
      </c>
      <c r="L1830">
        <f>Tabla24[[#This Row],[Precio_Unitario]]*Tabla24[[#This Row],[Unidades_Vendidas]]</f>
        <v>405916</v>
      </c>
      <c r="M1830" t="s">
        <v>27</v>
      </c>
    </row>
    <row r="1831" spans="1:13" x14ac:dyDescent="0.25">
      <c r="A1831" t="s">
        <v>229</v>
      </c>
      <c r="B1831" t="str">
        <f>TEXT(Tabla24[[#This Row],[Fecha]],"dddd")</f>
        <v>viernes</v>
      </c>
      <c r="C1831" t="str">
        <f>TEXT(Tabla24[[#This Row],[Fecha]],"mmmm")</f>
        <v>agosto</v>
      </c>
      <c r="D1831" t="str">
        <f>TEXT(Tabla24[[#This Row],[Fecha]],"aaaa")</f>
        <v>2024</v>
      </c>
      <c r="E1831" t="s">
        <v>11</v>
      </c>
      <c r="F1831" t="s">
        <v>38</v>
      </c>
      <c r="G1831" t="s">
        <v>48</v>
      </c>
      <c r="H1831" t="s">
        <v>25</v>
      </c>
      <c r="I1831" t="s">
        <v>26</v>
      </c>
      <c r="J1831">
        <v>20</v>
      </c>
      <c r="K1831">
        <v>23059</v>
      </c>
      <c r="L1831">
        <f>Tabla24[[#This Row],[Precio_Unitario]]*Tabla24[[#This Row],[Unidades_Vendidas]]</f>
        <v>461180</v>
      </c>
      <c r="M1831" t="s">
        <v>16</v>
      </c>
    </row>
    <row r="1832" spans="1:13" x14ac:dyDescent="0.25">
      <c r="A1832" t="s">
        <v>276</v>
      </c>
      <c r="B1832" t="str">
        <f>TEXT(Tabla24[[#This Row],[Fecha]],"dddd")</f>
        <v>domingo</v>
      </c>
      <c r="C1832" t="str">
        <f>TEXT(Tabla24[[#This Row],[Fecha]],"mmmm")</f>
        <v>marzo</v>
      </c>
      <c r="D1832" t="str">
        <f>TEXT(Tabla24[[#This Row],[Fecha]],"aaaa")</f>
        <v>2024</v>
      </c>
      <c r="E1832" t="s">
        <v>11</v>
      </c>
      <c r="F1832" t="s">
        <v>34</v>
      </c>
      <c r="G1832" t="s">
        <v>44</v>
      </c>
      <c r="H1832" t="s">
        <v>14</v>
      </c>
      <c r="I1832" t="s">
        <v>26</v>
      </c>
      <c r="J1832">
        <v>14</v>
      </c>
      <c r="K1832">
        <v>39500</v>
      </c>
      <c r="L1832">
        <f>Tabla24[[#This Row],[Precio_Unitario]]*Tabla24[[#This Row],[Unidades_Vendidas]]</f>
        <v>553000</v>
      </c>
      <c r="M1832" t="s">
        <v>20</v>
      </c>
    </row>
    <row r="1833" spans="1:13" x14ac:dyDescent="0.25">
      <c r="A1833" t="s">
        <v>21</v>
      </c>
      <c r="B1833" t="str">
        <f>TEXT(Tabla24[[#This Row],[Fecha]],"dddd")</f>
        <v>lunes</v>
      </c>
      <c r="C1833" t="str">
        <f>TEXT(Tabla24[[#This Row],[Fecha]],"mmmm")</f>
        <v>septiembre</v>
      </c>
      <c r="D1833" t="str">
        <f>TEXT(Tabla24[[#This Row],[Fecha]],"aaaa")</f>
        <v>2024</v>
      </c>
      <c r="E1833" t="s">
        <v>18</v>
      </c>
      <c r="F1833" t="s">
        <v>23</v>
      </c>
      <c r="G1833" t="s">
        <v>39</v>
      </c>
      <c r="H1833" t="s">
        <v>30</v>
      </c>
      <c r="I1833" t="s">
        <v>15</v>
      </c>
      <c r="J1833">
        <v>4</v>
      </c>
      <c r="K1833">
        <v>38745</v>
      </c>
      <c r="L1833">
        <f>Tabla24[[#This Row],[Precio_Unitario]]*Tabla24[[#This Row],[Unidades_Vendidas]]</f>
        <v>154980</v>
      </c>
      <c r="M1833" t="s">
        <v>27</v>
      </c>
    </row>
    <row r="1834" spans="1:13" x14ac:dyDescent="0.25">
      <c r="A1834" t="s">
        <v>278</v>
      </c>
      <c r="B1834" t="str">
        <f>TEXT(Tabla24[[#This Row],[Fecha]],"dddd")</f>
        <v>miércoles</v>
      </c>
      <c r="C1834" t="str">
        <f>TEXT(Tabla24[[#This Row],[Fecha]],"mmmm")</f>
        <v>julio</v>
      </c>
      <c r="D1834" t="str">
        <f>TEXT(Tabla24[[#This Row],[Fecha]],"aaaa")</f>
        <v>2024</v>
      </c>
      <c r="E1834" t="s">
        <v>22</v>
      </c>
      <c r="F1834" t="s">
        <v>12</v>
      </c>
      <c r="G1834" t="s">
        <v>39</v>
      </c>
      <c r="H1834" t="s">
        <v>30</v>
      </c>
      <c r="I1834" t="s">
        <v>26</v>
      </c>
      <c r="J1834">
        <v>15</v>
      </c>
      <c r="K1834">
        <v>53259</v>
      </c>
      <c r="L1834">
        <f>Tabla24[[#This Row],[Precio_Unitario]]*Tabla24[[#This Row],[Unidades_Vendidas]]</f>
        <v>798885</v>
      </c>
      <c r="M1834" t="s">
        <v>36</v>
      </c>
    </row>
    <row r="1835" spans="1:13" x14ac:dyDescent="0.25">
      <c r="A1835" t="s">
        <v>225</v>
      </c>
      <c r="B1835" t="str">
        <f>TEXT(Tabla24[[#This Row],[Fecha]],"dddd")</f>
        <v>miércoles</v>
      </c>
      <c r="C1835" t="str">
        <f>TEXT(Tabla24[[#This Row],[Fecha]],"mmmm")</f>
        <v>marzo</v>
      </c>
      <c r="D1835" t="str">
        <f>TEXT(Tabla24[[#This Row],[Fecha]],"aaaa")</f>
        <v>2024</v>
      </c>
      <c r="E1835" t="s">
        <v>18</v>
      </c>
      <c r="F1835" t="s">
        <v>12</v>
      </c>
      <c r="G1835" t="s">
        <v>13</v>
      </c>
      <c r="H1835" t="s">
        <v>14</v>
      </c>
      <c r="I1835" t="s">
        <v>15</v>
      </c>
      <c r="J1835">
        <v>5</v>
      </c>
      <c r="K1835">
        <v>32950</v>
      </c>
      <c r="L1835">
        <f>Tabla24[[#This Row],[Precio_Unitario]]*Tabla24[[#This Row],[Unidades_Vendidas]]</f>
        <v>164750</v>
      </c>
      <c r="M1835" t="s">
        <v>16</v>
      </c>
    </row>
    <row r="1836" spans="1:13" x14ac:dyDescent="0.25">
      <c r="A1836" t="s">
        <v>188</v>
      </c>
      <c r="B1836" t="str">
        <f>TEXT(Tabla24[[#This Row],[Fecha]],"dddd")</f>
        <v>miércoles</v>
      </c>
      <c r="C1836" t="str">
        <f>TEXT(Tabla24[[#This Row],[Fecha]],"mmmm")</f>
        <v>enero</v>
      </c>
      <c r="D1836" t="str">
        <f>TEXT(Tabla24[[#This Row],[Fecha]],"aaaa")</f>
        <v>2024</v>
      </c>
      <c r="E1836" t="s">
        <v>22</v>
      </c>
      <c r="F1836" t="s">
        <v>23</v>
      </c>
      <c r="G1836" t="s">
        <v>48</v>
      </c>
      <c r="H1836" t="s">
        <v>25</v>
      </c>
      <c r="I1836" t="s">
        <v>40</v>
      </c>
      <c r="J1836">
        <v>6</v>
      </c>
      <c r="K1836">
        <v>33187</v>
      </c>
      <c r="L1836">
        <f>Tabla24[[#This Row],[Precio_Unitario]]*Tabla24[[#This Row],[Unidades_Vendidas]]</f>
        <v>199122</v>
      </c>
      <c r="M1836" t="s">
        <v>20</v>
      </c>
    </row>
    <row r="1837" spans="1:13" x14ac:dyDescent="0.25">
      <c r="A1837" t="s">
        <v>54</v>
      </c>
      <c r="B1837" t="str">
        <f>TEXT(Tabla24[[#This Row],[Fecha]],"dddd")</f>
        <v>sábado</v>
      </c>
      <c r="C1837" t="str">
        <f>TEXT(Tabla24[[#This Row],[Fecha]],"mmmm")</f>
        <v>marzo</v>
      </c>
      <c r="D1837" t="str">
        <f>TEXT(Tabla24[[#This Row],[Fecha]],"aaaa")</f>
        <v>2024</v>
      </c>
      <c r="E1837" t="s">
        <v>11</v>
      </c>
      <c r="F1837" t="s">
        <v>29</v>
      </c>
      <c r="G1837" t="s">
        <v>39</v>
      </c>
      <c r="H1837" t="s">
        <v>35</v>
      </c>
      <c r="I1837" t="s">
        <v>26</v>
      </c>
      <c r="J1837">
        <v>4</v>
      </c>
      <c r="K1837">
        <v>19214</v>
      </c>
      <c r="L1837">
        <f>Tabla24[[#This Row],[Precio_Unitario]]*Tabla24[[#This Row],[Unidades_Vendidas]]</f>
        <v>76856</v>
      </c>
      <c r="M1837" t="s">
        <v>36</v>
      </c>
    </row>
    <row r="1838" spans="1:13" x14ac:dyDescent="0.25">
      <c r="A1838" t="s">
        <v>152</v>
      </c>
      <c r="B1838" t="str">
        <f>TEXT(Tabla24[[#This Row],[Fecha]],"dddd")</f>
        <v>lunes</v>
      </c>
      <c r="C1838" t="str">
        <f>TEXT(Tabla24[[#This Row],[Fecha]],"mmmm")</f>
        <v>febrero</v>
      </c>
      <c r="D1838" t="str">
        <f>TEXT(Tabla24[[#This Row],[Fecha]],"aaaa")</f>
        <v>2024</v>
      </c>
      <c r="E1838" t="s">
        <v>42</v>
      </c>
      <c r="F1838" t="s">
        <v>23</v>
      </c>
      <c r="G1838" t="s">
        <v>48</v>
      </c>
      <c r="H1838" t="s">
        <v>35</v>
      </c>
      <c r="I1838" t="s">
        <v>40</v>
      </c>
      <c r="J1838">
        <v>13</v>
      </c>
      <c r="K1838">
        <v>55152</v>
      </c>
      <c r="L1838">
        <f>Tabla24[[#This Row],[Precio_Unitario]]*Tabla24[[#This Row],[Unidades_Vendidas]]</f>
        <v>716976</v>
      </c>
      <c r="M1838" t="s">
        <v>16</v>
      </c>
    </row>
    <row r="1839" spans="1:13" x14ac:dyDescent="0.25">
      <c r="A1839" t="s">
        <v>106</v>
      </c>
      <c r="B1839" t="str">
        <f>TEXT(Tabla24[[#This Row],[Fecha]],"dddd")</f>
        <v>domingo</v>
      </c>
      <c r="C1839" t="str">
        <f>TEXT(Tabla24[[#This Row],[Fecha]],"mmmm")</f>
        <v>diciembre</v>
      </c>
      <c r="D1839" t="str">
        <f>TEXT(Tabla24[[#This Row],[Fecha]],"aaaa")</f>
        <v>2024</v>
      </c>
      <c r="E1839" t="s">
        <v>18</v>
      </c>
      <c r="F1839" t="s">
        <v>38</v>
      </c>
      <c r="G1839" t="s">
        <v>24</v>
      </c>
      <c r="H1839" t="s">
        <v>35</v>
      </c>
      <c r="I1839" t="s">
        <v>40</v>
      </c>
      <c r="J1839">
        <v>18</v>
      </c>
      <c r="K1839">
        <v>35437</v>
      </c>
      <c r="L1839">
        <f>Tabla24[[#This Row],[Precio_Unitario]]*Tabla24[[#This Row],[Unidades_Vendidas]]</f>
        <v>637866</v>
      </c>
      <c r="M1839" t="s">
        <v>36</v>
      </c>
    </row>
    <row r="1840" spans="1:13" x14ac:dyDescent="0.25">
      <c r="A1840" t="s">
        <v>166</v>
      </c>
      <c r="B1840" t="str">
        <f>TEXT(Tabla24[[#This Row],[Fecha]],"dddd")</f>
        <v>lunes</v>
      </c>
      <c r="C1840" t="str">
        <f>TEXT(Tabla24[[#This Row],[Fecha]],"mmmm")</f>
        <v>enero</v>
      </c>
      <c r="D1840" t="str">
        <f>TEXT(Tabla24[[#This Row],[Fecha]],"aaaa")</f>
        <v>2024</v>
      </c>
      <c r="E1840" t="s">
        <v>22</v>
      </c>
      <c r="F1840" t="s">
        <v>29</v>
      </c>
      <c r="G1840" t="s">
        <v>44</v>
      </c>
      <c r="H1840" t="s">
        <v>19</v>
      </c>
      <c r="I1840" t="s">
        <v>40</v>
      </c>
      <c r="J1840">
        <v>3</v>
      </c>
      <c r="K1840">
        <v>28756</v>
      </c>
      <c r="L1840">
        <f>Tabla24[[#This Row],[Precio_Unitario]]*Tabla24[[#This Row],[Unidades_Vendidas]]</f>
        <v>86268</v>
      </c>
      <c r="M1840" t="s">
        <v>36</v>
      </c>
    </row>
    <row r="1841" spans="1:13" x14ac:dyDescent="0.25">
      <c r="A1841" t="s">
        <v>82</v>
      </c>
      <c r="B1841" t="str">
        <f>TEXT(Tabla24[[#This Row],[Fecha]],"dddd")</f>
        <v>viernes</v>
      </c>
      <c r="C1841" t="str">
        <f>TEXT(Tabla24[[#This Row],[Fecha]],"mmmm")</f>
        <v>junio</v>
      </c>
      <c r="D1841" t="str">
        <f>TEXT(Tabla24[[#This Row],[Fecha]],"aaaa")</f>
        <v>2024</v>
      </c>
      <c r="E1841" t="s">
        <v>11</v>
      </c>
      <c r="F1841" t="s">
        <v>38</v>
      </c>
      <c r="G1841" t="s">
        <v>39</v>
      </c>
      <c r="H1841" t="s">
        <v>25</v>
      </c>
      <c r="I1841" t="s">
        <v>26</v>
      </c>
      <c r="J1841">
        <v>7</v>
      </c>
      <c r="K1841">
        <v>23173</v>
      </c>
      <c r="L1841">
        <f>Tabla24[[#This Row],[Precio_Unitario]]*Tabla24[[#This Row],[Unidades_Vendidas]]</f>
        <v>162211</v>
      </c>
      <c r="M1841" t="s">
        <v>16</v>
      </c>
    </row>
    <row r="1842" spans="1:13" x14ac:dyDescent="0.25">
      <c r="A1842" t="s">
        <v>85</v>
      </c>
      <c r="B1842" t="str">
        <f>TEXT(Tabla24[[#This Row],[Fecha]],"dddd")</f>
        <v>sábado</v>
      </c>
      <c r="C1842" t="str">
        <f>TEXT(Tabla24[[#This Row],[Fecha]],"mmmm")</f>
        <v>julio</v>
      </c>
      <c r="D1842" t="str">
        <f>TEXT(Tabla24[[#This Row],[Fecha]],"aaaa")</f>
        <v>2024</v>
      </c>
      <c r="E1842" t="s">
        <v>11</v>
      </c>
      <c r="F1842" t="s">
        <v>38</v>
      </c>
      <c r="G1842" t="s">
        <v>24</v>
      </c>
      <c r="H1842" t="s">
        <v>30</v>
      </c>
      <c r="I1842" t="s">
        <v>40</v>
      </c>
      <c r="J1842">
        <v>10</v>
      </c>
      <c r="K1842">
        <v>53005</v>
      </c>
      <c r="L1842">
        <f>Tabla24[[#This Row],[Precio_Unitario]]*Tabla24[[#This Row],[Unidades_Vendidas]]</f>
        <v>530050</v>
      </c>
      <c r="M1842" t="s">
        <v>16</v>
      </c>
    </row>
    <row r="1843" spans="1:13" x14ac:dyDescent="0.25">
      <c r="A1843" t="s">
        <v>390</v>
      </c>
      <c r="B1843" t="str">
        <f>TEXT(Tabla24[[#This Row],[Fecha]],"dddd")</f>
        <v>lunes</v>
      </c>
      <c r="C1843" t="str">
        <f>TEXT(Tabla24[[#This Row],[Fecha]],"mmmm")</f>
        <v>septiembre</v>
      </c>
      <c r="D1843" t="str">
        <f>TEXT(Tabla24[[#This Row],[Fecha]],"aaaa")</f>
        <v>2024</v>
      </c>
      <c r="E1843" t="s">
        <v>11</v>
      </c>
      <c r="F1843" t="s">
        <v>34</v>
      </c>
      <c r="G1843" t="s">
        <v>48</v>
      </c>
      <c r="H1843" t="s">
        <v>35</v>
      </c>
      <c r="I1843" t="s">
        <v>40</v>
      </c>
      <c r="J1843">
        <v>14</v>
      </c>
      <c r="K1843">
        <v>37875</v>
      </c>
      <c r="L1843">
        <f>Tabla24[[#This Row],[Precio_Unitario]]*Tabla24[[#This Row],[Unidades_Vendidas]]</f>
        <v>530250</v>
      </c>
      <c r="M1843" t="s">
        <v>20</v>
      </c>
    </row>
    <row r="1844" spans="1:13" x14ac:dyDescent="0.25">
      <c r="A1844" t="s">
        <v>132</v>
      </c>
      <c r="B1844" t="str">
        <f>TEXT(Tabla24[[#This Row],[Fecha]],"dddd")</f>
        <v>jueves</v>
      </c>
      <c r="C1844" t="str">
        <f>TEXT(Tabla24[[#This Row],[Fecha]],"mmmm")</f>
        <v>enero</v>
      </c>
      <c r="D1844" t="str">
        <f>TEXT(Tabla24[[#This Row],[Fecha]],"aaaa")</f>
        <v>2024</v>
      </c>
      <c r="E1844" t="s">
        <v>42</v>
      </c>
      <c r="F1844" t="s">
        <v>34</v>
      </c>
      <c r="G1844" t="s">
        <v>24</v>
      </c>
      <c r="H1844" t="s">
        <v>35</v>
      </c>
      <c r="I1844" t="s">
        <v>40</v>
      </c>
      <c r="J1844">
        <v>13</v>
      </c>
      <c r="K1844">
        <v>23614</v>
      </c>
      <c r="L1844">
        <f>Tabla24[[#This Row],[Precio_Unitario]]*Tabla24[[#This Row],[Unidades_Vendidas]]</f>
        <v>306982</v>
      </c>
      <c r="M1844" t="s">
        <v>36</v>
      </c>
    </row>
    <row r="1845" spans="1:13" x14ac:dyDescent="0.25">
      <c r="A1845" t="s">
        <v>127</v>
      </c>
      <c r="B1845" t="str">
        <f>TEXT(Tabla24[[#This Row],[Fecha]],"dddd")</f>
        <v>sábado</v>
      </c>
      <c r="C1845" t="str">
        <f>TEXT(Tabla24[[#This Row],[Fecha]],"mmmm")</f>
        <v>septiembre</v>
      </c>
      <c r="D1845" t="str">
        <f>TEXT(Tabla24[[#This Row],[Fecha]],"aaaa")</f>
        <v>2024</v>
      </c>
      <c r="E1845" t="s">
        <v>11</v>
      </c>
      <c r="F1845" t="s">
        <v>38</v>
      </c>
      <c r="G1845" t="s">
        <v>13</v>
      </c>
      <c r="H1845" t="s">
        <v>30</v>
      </c>
      <c r="I1845" t="s">
        <v>26</v>
      </c>
      <c r="J1845">
        <v>1</v>
      </c>
      <c r="K1845">
        <v>59410</v>
      </c>
      <c r="L1845">
        <f>Tabla24[[#This Row],[Precio_Unitario]]*Tabla24[[#This Row],[Unidades_Vendidas]]</f>
        <v>59410</v>
      </c>
      <c r="M1845" t="s">
        <v>36</v>
      </c>
    </row>
    <row r="1846" spans="1:13" x14ac:dyDescent="0.25">
      <c r="A1846" t="s">
        <v>329</v>
      </c>
      <c r="B1846" t="str">
        <f>TEXT(Tabla24[[#This Row],[Fecha]],"dddd")</f>
        <v>sábado</v>
      </c>
      <c r="C1846" t="str">
        <f>TEXT(Tabla24[[#This Row],[Fecha]],"mmmm")</f>
        <v>agosto</v>
      </c>
      <c r="D1846" t="str">
        <f>TEXT(Tabla24[[#This Row],[Fecha]],"aaaa")</f>
        <v>2024</v>
      </c>
      <c r="E1846" t="s">
        <v>33</v>
      </c>
      <c r="F1846" t="s">
        <v>38</v>
      </c>
      <c r="G1846" t="s">
        <v>24</v>
      </c>
      <c r="H1846" t="s">
        <v>14</v>
      </c>
      <c r="I1846" t="s">
        <v>15</v>
      </c>
      <c r="J1846">
        <v>20</v>
      </c>
      <c r="K1846">
        <v>30750</v>
      </c>
      <c r="L1846">
        <f>Tabla24[[#This Row],[Precio_Unitario]]*Tabla24[[#This Row],[Unidades_Vendidas]]</f>
        <v>615000</v>
      </c>
      <c r="M1846" t="s">
        <v>27</v>
      </c>
    </row>
    <row r="1847" spans="1:13" x14ac:dyDescent="0.25">
      <c r="A1847" t="s">
        <v>94</v>
      </c>
      <c r="B1847" t="str">
        <f>TEXT(Tabla24[[#This Row],[Fecha]],"dddd")</f>
        <v>miércoles</v>
      </c>
      <c r="C1847" t="str">
        <f>TEXT(Tabla24[[#This Row],[Fecha]],"mmmm")</f>
        <v>mayo</v>
      </c>
      <c r="D1847" t="str">
        <f>TEXT(Tabla24[[#This Row],[Fecha]],"aaaa")</f>
        <v>2024</v>
      </c>
      <c r="E1847" t="s">
        <v>18</v>
      </c>
      <c r="F1847" t="s">
        <v>29</v>
      </c>
      <c r="G1847" t="s">
        <v>39</v>
      </c>
      <c r="H1847" t="s">
        <v>14</v>
      </c>
      <c r="I1847" t="s">
        <v>26</v>
      </c>
      <c r="J1847">
        <v>13</v>
      </c>
      <c r="K1847">
        <v>24274</v>
      </c>
      <c r="L1847">
        <f>Tabla24[[#This Row],[Precio_Unitario]]*Tabla24[[#This Row],[Unidades_Vendidas]]</f>
        <v>315562</v>
      </c>
      <c r="M1847" t="s">
        <v>16</v>
      </c>
    </row>
    <row r="1848" spans="1:13" x14ac:dyDescent="0.25">
      <c r="A1848" t="s">
        <v>390</v>
      </c>
      <c r="B1848" t="str">
        <f>TEXT(Tabla24[[#This Row],[Fecha]],"dddd")</f>
        <v>lunes</v>
      </c>
      <c r="C1848" t="str">
        <f>TEXT(Tabla24[[#This Row],[Fecha]],"mmmm")</f>
        <v>septiembre</v>
      </c>
      <c r="D1848" t="str">
        <f>TEXT(Tabla24[[#This Row],[Fecha]],"aaaa")</f>
        <v>2024</v>
      </c>
      <c r="E1848" t="s">
        <v>11</v>
      </c>
      <c r="F1848" t="s">
        <v>29</v>
      </c>
      <c r="G1848" t="s">
        <v>24</v>
      </c>
      <c r="H1848" t="s">
        <v>35</v>
      </c>
      <c r="I1848" t="s">
        <v>15</v>
      </c>
      <c r="J1848">
        <v>6</v>
      </c>
      <c r="K1848">
        <v>40455</v>
      </c>
      <c r="L1848">
        <f>Tabla24[[#This Row],[Precio_Unitario]]*Tabla24[[#This Row],[Unidades_Vendidas]]</f>
        <v>242730</v>
      </c>
      <c r="M1848" t="s">
        <v>27</v>
      </c>
    </row>
    <row r="1849" spans="1:13" x14ac:dyDescent="0.25">
      <c r="A1849" t="s">
        <v>114</v>
      </c>
      <c r="B1849" t="str">
        <f>TEXT(Tabla24[[#This Row],[Fecha]],"dddd")</f>
        <v>domingo</v>
      </c>
      <c r="C1849" t="str">
        <f>TEXT(Tabla24[[#This Row],[Fecha]],"mmmm")</f>
        <v>junio</v>
      </c>
      <c r="D1849" t="str">
        <f>TEXT(Tabla24[[#This Row],[Fecha]],"aaaa")</f>
        <v>2024</v>
      </c>
      <c r="E1849" t="s">
        <v>18</v>
      </c>
      <c r="F1849" t="s">
        <v>12</v>
      </c>
      <c r="G1849" t="s">
        <v>24</v>
      </c>
      <c r="H1849" t="s">
        <v>25</v>
      </c>
      <c r="I1849" t="s">
        <v>15</v>
      </c>
      <c r="J1849">
        <v>9</v>
      </c>
      <c r="K1849">
        <v>32417</v>
      </c>
      <c r="L1849">
        <f>Tabla24[[#This Row],[Precio_Unitario]]*Tabla24[[#This Row],[Unidades_Vendidas]]</f>
        <v>291753</v>
      </c>
      <c r="M1849" t="s">
        <v>27</v>
      </c>
    </row>
    <row r="1850" spans="1:13" x14ac:dyDescent="0.25">
      <c r="A1850" t="s">
        <v>233</v>
      </c>
      <c r="B1850" t="str">
        <f>TEXT(Tabla24[[#This Row],[Fecha]],"dddd")</f>
        <v>martes</v>
      </c>
      <c r="C1850" t="str">
        <f>TEXT(Tabla24[[#This Row],[Fecha]],"mmmm")</f>
        <v>abril</v>
      </c>
      <c r="D1850" t="str">
        <f>TEXT(Tabla24[[#This Row],[Fecha]],"aaaa")</f>
        <v>2024</v>
      </c>
      <c r="E1850" t="s">
        <v>18</v>
      </c>
      <c r="F1850" t="s">
        <v>34</v>
      </c>
      <c r="G1850" t="s">
        <v>48</v>
      </c>
      <c r="H1850" t="s">
        <v>14</v>
      </c>
      <c r="I1850" t="s">
        <v>26</v>
      </c>
      <c r="J1850">
        <v>16</v>
      </c>
      <c r="K1850">
        <v>15551</v>
      </c>
      <c r="L1850">
        <f>Tabla24[[#This Row],[Precio_Unitario]]*Tabla24[[#This Row],[Unidades_Vendidas]]</f>
        <v>248816</v>
      </c>
      <c r="M1850" t="s">
        <v>16</v>
      </c>
    </row>
    <row r="1851" spans="1:13" x14ac:dyDescent="0.25">
      <c r="A1851" t="s">
        <v>98</v>
      </c>
      <c r="B1851" t="str">
        <f>TEXT(Tabla24[[#This Row],[Fecha]],"dddd")</f>
        <v>miércoles</v>
      </c>
      <c r="C1851" t="str">
        <f>TEXT(Tabla24[[#This Row],[Fecha]],"mmmm")</f>
        <v>mayo</v>
      </c>
      <c r="D1851" t="str">
        <f>TEXT(Tabla24[[#This Row],[Fecha]],"aaaa")</f>
        <v>2024</v>
      </c>
      <c r="E1851" t="s">
        <v>11</v>
      </c>
      <c r="F1851" t="s">
        <v>29</v>
      </c>
      <c r="G1851" t="s">
        <v>44</v>
      </c>
      <c r="H1851" t="s">
        <v>25</v>
      </c>
      <c r="I1851" t="s">
        <v>15</v>
      </c>
      <c r="J1851">
        <v>10</v>
      </c>
      <c r="K1851">
        <v>48677</v>
      </c>
      <c r="L1851">
        <f>Tabla24[[#This Row],[Precio_Unitario]]*Tabla24[[#This Row],[Unidades_Vendidas]]</f>
        <v>486770</v>
      </c>
      <c r="M1851" t="s">
        <v>36</v>
      </c>
    </row>
    <row r="1852" spans="1:13" x14ac:dyDescent="0.25">
      <c r="A1852" t="s">
        <v>303</v>
      </c>
      <c r="B1852" t="str">
        <f>TEXT(Tabla24[[#This Row],[Fecha]],"dddd")</f>
        <v>miércoles</v>
      </c>
      <c r="C1852" t="str">
        <f>TEXT(Tabla24[[#This Row],[Fecha]],"mmmm")</f>
        <v>octubre</v>
      </c>
      <c r="D1852" t="str">
        <f>TEXT(Tabla24[[#This Row],[Fecha]],"aaaa")</f>
        <v>2024</v>
      </c>
      <c r="E1852" t="s">
        <v>11</v>
      </c>
      <c r="F1852" t="s">
        <v>12</v>
      </c>
      <c r="G1852" t="s">
        <v>13</v>
      </c>
      <c r="H1852" t="s">
        <v>14</v>
      </c>
      <c r="I1852" t="s">
        <v>15</v>
      </c>
      <c r="J1852">
        <v>9</v>
      </c>
      <c r="K1852">
        <v>19942</v>
      </c>
      <c r="L1852">
        <f>Tabla24[[#This Row],[Precio_Unitario]]*Tabla24[[#This Row],[Unidades_Vendidas]]</f>
        <v>179478</v>
      </c>
      <c r="M1852" t="s">
        <v>27</v>
      </c>
    </row>
    <row r="1853" spans="1:13" x14ac:dyDescent="0.25">
      <c r="A1853" t="s">
        <v>78</v>
      </c>
      <c r="B1853" t="str">
        <f>TEXT(Tabla24[[#This Row],[Fecha]],"dddd")</f>
        <v>martes</v>
      </c>
      <c r="C1853" t="str">
        <f>TEXT(Tabla24[[#This Row],[Fecha]],"mmmm")</f>
        <v>octubre</v>
      </c>
      <c r="D1853" t="str">
        <f>TEXT(Tabla24[[#This Row],[Fecha]],"aaaa")</f>
        <v>2024</v>
      </c>
      <c r="E1853" t="s">
        <v>11</v>
      </c>
      <c r="F1853" t="s">
        <v>12</v>
      </c>
      <c r="G1853" t="s">
        <v>24</v>
      </c>
      <c r="H1853" t="s">
        <v>25</v>
      </c>
      <c r="I1853" t="s">
        <v>40</v>
      </c>
      <c r="J1853">
        <v>18</v>
      </c>
      <c r="K1853">
        <v>20523</v>
      </c>
      <c r="L1853">
        <f>Tabla24[[#This Row],[Precio_Unitario]]*Tabla24[[#This Row],[Unidades_Vendidas]]</f>
        <v>369414</v>
      </c>
      <c r="M1853" t="s">
        <v>36</v>
      </c>
    </row>
    <row r="1854" spans="1:13" x14ac:dyDescent="0.25">
      <c r="A1854" t="s">
        <v>85</v>
      </c>
      <c r="B1854" t="str">
        <f>TEXT(Tabla24[[#This Row],[Fecha]],"dddd")</f>
        <v>sábado</v>
      </c>
      <c r="C1854" t="str">
        <f>TEXT(Tabla24[[#This Row],[Fecha]],"mmmm")</f>
        <v>julio</v>
      </c>
      <c r="D1854" t="str">
        <f>TEXT(Tabla24[[#This Row],[Fecha]],"aaaa")</f>
        <v>2024</v>
      </c>
      <c r="E1854" t="s">
        <v>33</v>
      </c>
      <c r="F1854" t="s">
        <v>34</v>
      </c>
      <c r="G1854" t="s">
        <v>44</v>
      </c>
      <c r="H1854" t="s">
        <v>30</v>
      </c>
      <c r="I1854" t="s">
        <v>26</v>
      </c>
      <c r="J1854">
        <v>14</v>
      </c>
      <c r="K1854">
        <v>42576</v>
      </c>
      <c r="L1854">
        <f>Tabla24[[#This Row],[Precio_Unitario]]*Tabla24[[#This Row],[Unidades_Vendidas]]</f>
        <v>596064</v>
      </c>
      <c r="M1854" t="s">
        <v>36</v>
      </c>
    </row>
    <row r="1855" spans="1:13" x14ac:dyDescent="0.25">
      <c r="A1855" t="s">
        <v>140</v>
      </c>
      <c r="B1855" t="str">
        <f>TEXT(Tabla24[[#This Row],[Fecha]],"dddd")</f>
        <v>jueves</v>
      </c>
      <c r="C1855" t="str">
        <f>TEXT(Tabla24[[#This Row],[Fecha]],"mmmm")</f>
        <v>octubre</v>
      </c>
      <c r="D1855" t="str">
        <f>TEXT(Tabla24[[#This Row],[Fecha]],"aaaa")</f>
        <v>2024</v>
      </c>
      <c r="E1855" t="s">
        <v>33</v>
      </c>
      <c r="F1855" t="s">
        <v>29</v>
      </c>
      <c r="G1855" t="s">
        <v>48</v>
      </c>
      <c r="H1855" t="s">
        <v>19</v>
      </c>
      <c r="I1855" t="s">
        <v>40</v>
      </c>
      <c r="J1855">
        <v>8</v>
      </c>
      <c r="K1855">
        <v>53510</v>
      </c>
      <c r="L1855">
        <f>Tabla24[[#This Row],[Precio_Unitario]]*Tabla24[[#This Row],[Unidades_Vendidas]]</f>
        <v>428080</v>
      </c>
      <c r="M1855" t="s">
        <v>36</v>
      </c>
    </row>
    <row r="1856" spans="1:13" x14ac:dyDescent="0.25">
      <c r="A1856" t="s">
        <v>67</v>
      </c>
      <c r="B1856" t="str">
        <f>TEXT(Tabla24[[#This Row],[Fecha]],"dddd")</f>
        <v>jueves</v>
      </c>
      <c r="C1856" t="str">
        <f>TEXT(Tabla24[[#This Row],[Fecha]],"mmmm")</f>
        <v>agosto</v>
      </c>
      <c r="D1856" t="str">
        <f>TEXT(Tabla24[[#This Row],[Fecha]],"aaaa")</f>
        <v>2024</v>
      </c>
      <c r="E1856" t="s">
        <v>18</v>
      </c>
      <c r="F1856" t="s">
        <v>29</v>
      </c>
      <c r="G1856" t="s">
        <v>13</v>
      </c>
      <c r="H1856" t="s">
        <v>35</v>
      </c>
      <c r="I1856" t="s">
        <v>15</v>
      </c>
      <c r="J1856">
        <v>16</v>
      </c>
      <c r="K1856">
        <v>36826</v>
      </c>
      <c r="L1856">
        <f>Tabla24[[#This Row],[Precio_Unitario]]*Tabla24[[#This Row],[Unidades_Vendidas]]</f>
        <v>589216</v>
      </c>
      <c r="M1856" t="s">
        <v>16</v>
      </c>
    </row>
    <row r="1857" spans="1:13" x14ac:dyDescent="0.25">
      <c r="A1857" t="s">
        <v>175</v>
      </c>
      <c r="B1857" t="str">
        <f>TEXT(Tabla24[[#This Row],[Fecha]],"dddd")</f>
        <v>domingo</v>
      </c>
      <c r="C1857" t="str">
        <f>TEXT(Tabla24[[#This Row],[Fecha]],"mmmm")</f>
        <v>febrero</v>
      </c>
      <c r="D1857" t="str">
        <f>TEXT(Tabla24[[#This Row],[Fecha]],"aaaa")</f>
        <v>2024</v>
      </c>
      <c r="E1857" t="s">
        <v>22</v>
      </c>
      <c r="F1857" t="s">
        <v>23</v>
      </c>
      <c r="G1857" t="s">
        <v>24</v>
      </c>
      <c r="H1857" t="s">
        <v>14</v>
      </c>
      <c r="I1857" t="s">
        <v>15</v>
      </c>
      <c r="J1857">
        <v>14</v>
      </c>
      <c r="K1857">
        <v>52934</v>
      </c>
      <c r="L1857">
        <f>Tabla24[[#This Row],[Precio_Unitario]]*Tabla24[[#This Row],[Unidades_Vendidas]]</f>
        <v>741076</v>
      </c>
      <c r="M1857" t="s">
        <v>27</v>
      </c>
    </row>
    <row r="1858" spans="1:13" x14ac:dyDescent="0.25">
      <c r="A1858" t="s">
        <v>349</v>
      </c>
      <c r="B1858" t="str">
        <f>TEXT(Tabla24[[#This Row],[Fecha]],"dddd")</f>
        <v>domingo</v>
      </c>
      <c r="C1858" t="str">
        <f>TEXT(Tabla24[[#This Row],[Fecha]],"mmmm")</f>
        <v>julio</v>
      </c>
      <c r="D1858" t="str">
        <f>TEXT(Tabla24[[#This Row],[Fecha]],"aaaa")</f>
        <v>2024</v>
      </c>
      <c r="E1858" t="s">
        <v>11</v>
      </c>
      <c r="F1858" t="s">
        <v>12</v>
      </c>
      <c r="G1858" t="s">
        <v>39</v>
      </c>
      <c r="H1858" t="s">
        <v>25</v>
      </c>
      <c r="I1858" t="s">
        <v>26</v>
      </c>
      <c r="J1858">
        <v>6</v>
      </c>
      <c r="K1858">
        <v>58292</v>
      </c>
      <c r="L1858">
        <f>Tabla24[[#This Row],[Precio_Unitario]]*Tabla24[[#This Row],[Unidades_Vendidas]]</f>
        <v>349752</v>
      </c>
      <c r="M1858" t="s">
        <v>16</v>
      </c>
    </row>
    <row r="1859" spans="1:13" x14ac:dyDescent="0.25">
      <c r="A1859" t="s">
        <v>322</v>
      </c>
      <c r="B1859" t="str">
        <f>TEXT(Tabla24[[#This Row],[Fecha]],"dddd")</f>
        <v>miércoles</v>
      </c>
      <c r="C1859" t="str">
        <f>TEXT(Tabla24[[#This Row],[Fecha]],"mmmm")</f>
        <v>septiembre</v>
      </c>
      <c r="D1859" t="str">
        <f>TEXT(Tabla24[[#This Row],[Fecha]],"aaaa")</f>
        <v>2024</v>
      </c>
      <c r="E1859" t="s">
        <v>18</v>
      </c>
      <c r="F1859" t="s">
        <v>12</v>
      </c>
      <c r="G1859" t="s">
        <v>44</v>
      </c>
      <c r="H1859" t="s">
        <v>35</v>
      </c>
      <c r="I1859" t="s">
        <v>26</v>
      </c>
      <c r="J1859">
        <v>16</v>
      </c>
      <c r="K1859">
        <v>36158</v>
      </c>
      <c r="L1859">
        <f>Tabla24[[#This Row],[Precio_Unitario]]*Tabla24[[#This Row],[Unidades_Vendidas]]</f>
        <v>578528</v>
      </c>
      <c r="M1859" t="s">
        <v>16</v>
      </c>
    </row>
    <row r="1860" spans="1:13" x14ac:dyDescent="0.25">
      <c r="A1860" t="s">
        <v>209</v>
      </c>
      <c r="B1860" t="str">
        <f>TEXT(Tabla24[[#This Row],[Fecha]],"dddd")</f>
        <v>martes</v>
      </c>
      <c r="C1860" t="str">
        <f>TEXT(Tabla24[[#This Row],[Fecha]],"mmmm")</f>
        <v>septiembre</v>
      </c>
      <c r="D1860" t="str">
        <f>TEXT(Tabla24[[#This Row],[Fecha]],"aaaa")</f>
        <v>2024</v>
      </c>
      <c r="E1860" t="s">
        <v>11</v>
      </c>
      <c r="F1860" t="s">
        <v>29</v>
      </c>
      <c r="G1860" t="s">
        <v>39</v>
      </c>
      <c r="H1860" t="s">
        <v>14</v>
      </c>
      <c r="I1860" t="s">
        <v>40</v>
      </c>
      <c r="J1860">
        <v>1</v>
      </c>
      <c r="K1860">
        <v>25238</v>
      </c>
      <c r="L1860">
        <f>Tabla24[[#This Row],[Precio_Unitario]]*Tabla24[[#This Row],[Unidades_Vendidas]]</f>
        <v>25238</v>
      </c>
      <c r="M1860" t="s">
        <v>36</v>
      </c>
    </row>
    <row r="1861" spans="1:13" x14ac:dyDescent="0.25">
      <c r="A1861" t="s">
        <v>49</v>
      </c>
      <c r="B1861" t="str">
        <f>TEXT(Tabla24[[#This Row],[Fecha]],"dddd")</f>
        <v>lunes</v>
      </c>
      <c r="C1861" t="str">
        <f>TEXT(Tabla24[[#This Row],[Fecha]],"mmmm")</f>
        <v>mayo</v>
      </c>
      <c r="D1861" t="str">
        <f>TEXT(Tabla24[[#This Row],[Fecha]],"aaaa")</f>
        <v>2024</v>
      </c>
      <c r="E1861" t="s">
        <v>42</v>
      </c>
      <c r="F1861" t="s">
        <v>38</v>
      </c>
      <c r="G1861" t="s">
        <v>48</v>
      </c>
      <c r="H1861" t="s">
        <v>19</v>
      </c>
      <c r="I1861" t="s">
        <v>15</v>
      </c>
      <c r="J1861">
        <v>9</v>
      </c>
      <c r="K1861">
        <v>33732</v>
      </c>
      <c r="L1861">
        <f>Tabla24[[#This Row],[Precio_Unitario]]*Tabla24[[#This Row],[Unidades_Vendidas]]</f>
        <v>303588</v>
      </c>
      <c r="M1861" t="s">
        <v>27</v>
      </c>
    </row>
    <row r="1862" spans="1:13" x14ac:dyDescent="0.25">
      <c r="A1862" t="s">
        <v>235</v>
      </c>
      <c r="B1862" t="str">
        <f>TEXT(Tabla24[[#This Row],[Fecha]],"dddd")</f>
        <v>jueves</v>
      </c>
      <c r="C1862" t="str">
        <f>TEXT(Tabla24[[#This Row],[Fecha]],"mmmm")</f>
        <v>diciembre</v>
      </c>
      <c r="D1862" t="str">
        <f>TEXT(Tabla24[[#This Row],[Fecha]],"aaaa")</f>
        <v>2024</v>
      </c>
      <c r="E1862" t="s">
        <v>33</v>
      </c>
      <c r="F1862" t="s">
        <v>12</v>
      </c>
      <c r="G1862" t="s">
        <v>44</v>
      </c>
      <c r="H1862" t="s">
        <v>14</v>
      </c>
      <c r="I1862" t="s">
        <v>15</v>
      </c>
      <c r="J1862">
        <v>7</v>
      </c>
      <c r="K1862">
        <v>45788</v>
      </c>
      <c r="L1862">
        <f>Tabla24[[#This Row],[Precio_Unitario]]*Tabla24[[#This Row],[Unidades_Vendidas]]</f>
        <v>320516</v>
      </c>
      <c r="M1862" t="s">
        <v>27</v>
      </c>
    </row>
    <row r="1863" spans="1:13" x14ac:dyDescent="0.25">
      <c r="A1863" t="s">
        <v>61</v>
      </c>
      <c r="B1863" t="str">
        <f>TEXT(Tabla24[[#This Row],[Fecha]],"dddd")</f>
        <v>domingo</v>
      </c>
      <c r="C1863" t="str">
        <f>TEXT(Tabla24[[#This Row],[Fecha]],"mmmm")</f>
        <v>abril</v>
      </c>
      <c r="D1863" t="str">
        <f>TEXT(Tabla24[[#This Row],[Fecha]],"aaaa")</f>
        <v>2024</v>
      </c>
      <c r="E1863" t="s">
        <v>22</v>
      </c>
      <c r="F1863" t="s">
        <v>12</v>
      </c>
      <c r="G1863" t="s">
        <v>44</v>
      </c>
      <c r="H1863" t="s">
        <v>30</v>
      </c>
      <c r="I1863" t="s">
        <v>40</v>
      </c>
      <c r="J1863">
        <v>14</v>
      </c>
      <c r="K1863">
        <v>19285</v>
      </c>
      <c r="L1863">
        <f>Tabla24[[#This Row],[Precio_Unitario]]*Tabla24[[#This Row],[Unidades_Vendidas]]</f>
        <v>269990</v>
      </c>
      <c r="M1863" t="s">
        <v>16</v>
      </c>
    </row>
    <row r="1864" spans="1:13" x14ac:dyDescent="0.25">
      <c r="A1864" t="s">
        <v>191</v>
      </c>
      <c r="B1864" t="str">
        <f>TEXT(Tabla24[[#This Row],[Fecha]],"dddd")</f>
        <v>sábado</v>
      </c>
      <c r="C1864" t="str">
        <f>TEXT(Tabla24[[#This Row],[Fecha]],"mmmm")</f>
        <v>marzo</v>
      </c>
      <c r="D1864" t="str">
        <f>TEXT(Tabla24[[#This Row],[Fecha]],"aaaa")</f>
        <v>2024</v>
      </c>
      <c r="E1864" t="s">
        <v>18</v>
      </c>
      <c r="F1864" t="s">
        <v>12</v>
      </c>
      <c r="G1864" t="s">
        <v>13</v>
      </c>
      <c r="H1864" t="s">
        <v>30</v>
      </c>
      <c r="I1864" t="s">
        <v>40</v>
      </c>
      <c r="J1864">
        <v>19</v>
      </c>
      <c r="K1864">
        <v>55708</v>
      </c>
      <c r="L1864">
        <f>Tabla24[[#This Row],[Precio_Unitario]]*Tabla24[[#This Row],[Unidades_Vendidas]]</f>
        <v>1058452</v>
      </c>
      <c r="M1864" t="s">
        <v>27</v>
      </c>
    </row>
    <row r="1865" spans="1:13" x14ac:dyDescent="0.25">
      <c r="A1865" t="s">
        <v>223</v>
      </c>
      <c r="B1865" t="str">
        <f>TEXT(Tabla24[[#This Row],[Fecha]],"dddd")</f>
        <v>viernes</v>
      </c>
      <c r="C1865" t="str">
        <f>TEXT(Tabla24[[#This Row],[Fecha]],"mmmm")</f>
        <v>septiembre</v>
      </c>
      <c r="D1865" t="str">
        <f>TEXT(Tabla24[[#This Row],[Fecha]],"aaaa")</f>
        <v>2024</v>
      </c>
      <c r="E1865" t="s">
        <v>11</v>
      </c>
      <c r="F1865" t="s">
        <v>23</v>
      </c>
      <c r="G1865" t="s">
        <v>39</v>
      </c>
      <c r="H1865" t="s">
        <v>25</v>
      </c>
      <c r="I1865" t="s">
        <v>26</v>
      </c>
      <c r="J1865">
        <v>14</v>
      </c>
      <c r="K1865">
        <v>47290</v>
      </c>
      <c r="L1865">
        <f>Tabla24[[#This Row],[Precio_Unitario]]*Tabla24[[#This Row],[Unidades_Vendidas]]</f>
        <v>662060</v>
      </c>
      <c r="M1865" t="s">
        <v>27</v>
      </c>
    </row>
    <row r="1866" spans="1:13" x14ac:dyDescent="0.25">
      <c r="A1866" t="s">
        <v>379</v>
      </c>
      <c r="B1866" t="str">
        <f>TEXT(Tabla24[[#This Row],[Fecha]],"dddd")</f>
        <v>jueves</v>
      </c>
      <c r="C1866" t="str">
        <f>TEXT(Tabla24[[#This Row],[Fecha]],"mmmm")</f>
        <v>noviembre</v>
      </c>
      <c r="D1866" t="str">
        <f>TEXT(Tabla24[[#This Row],[Fecha]],"aaaa")</f>
        <v>2024</v>
      </c>
      <c r="E1866" t="s">
        <v>18</v>
      </c>
      <c r="F1866" t="s">
        <v>34</v>
      </c>
      <c r="G1866" t="s">
        <v>44</v>
      </c>
      <c r="H1866" t="s">
        <v>25</v>
      </c>
      <c r="I1866" t="s">
        <v>40</v>
      </c>
      <c r="J1866">
        <v>16</v>
      </c>
      <c r="K1866">
        <v>50983</v>
      </c>
      <c r="L1866">
        <f>Tabla24[[#This Row],[Precio_Unitario]]*Tabla24[[#This Row],[Unidades_Vendidas]]</f>
        <v>815728</v>
      </c>
      <c r="M1866" t="s">
        <v>20</v>
      </c>
    </row>
    <row r="1867" spans="1:13" x14ac:dyDescent="0.25">
      <c r="A1867" t="s">
        <v>323</v>
      </c>
      <c r="B1867" t="str">
        <f>TEXT(Tabla24[[#This Row],[Fecha]],"dddd")</f>
        <v>domingo</v>
      </c>
      <c r="C1867" t="str">
        <f>TEXT(Tabla24[[#This Row],[Fecha]],"mmmm")</f>
        <v>julio</v>
      </c>
      <c r="D1867" t="str">
        <f>TEXT(Tabla24[[#This Row],[Fecha]],"aaaa")</f>
        <v>2024</v>
      </c>
      <c r="E1867" t="s">
        <v>33</v>
      </c>
      <c r="F1867" t="s">
        <v>23</v>
      </c>
      <c r="G1867" t="s">
        <v>48</v>
      </c>
      <c r="H1867" t="s">
        <v>14</v>
      </c>
      <c r="I1867" t="s">
        <v>15</v>
      </c>
      <c r="J1867">
        <v>13</v>
      </c>
      <c r="K1867">
        <v>31430</v>
      </c>
      <c r="L1867">
        <f>Tabla24[[#This Row],[Precio_Unitario]]*Tabla24[[#This Row],[Unidades_Vendidas]]</f>
        <v>408590</v>
      </c>
      <c r="M1867" t="s">
        <v>20</v>
      </c>
    </row>
    <row r="1868" spans="1:13" x14ac:dyDescent="0.25">
      <c r="A1868" t="s">
        <v>344</v>
      </c>
      <c r="B1868" t="str">
        <f>TEXT(Tabla24[[#This Row],[Fecha]],"dddd")</f>
        <v>miércoles</v>
      </c>
      <c r="C1868" t="str">
        <f>TEXT(Tabla24[[#This Row],[Fecha]],"mmmm")</f>
        <v>diciembre</v>
      </c>
      <c r="D1868" t="str">
        <f>TEXT(Tabla24[[#This Row],[Fecha]],"aaaa")</f>
        <v>2024</v>
      </c>
      <c r="E1868" t="s">
        <v>18</v>
      </c>
      <c r="F1868" t="s">
        <v>34</v>
      </c>
      <c r="G1868" t="s">
        <v>39</v>
      </c>
      <c r="H1868" t="s">
        <v>35</v>
      </c>
      <c r="I1868" t="s">
        <v>40</v>
      </c>
      <c r="J1868">
        <v>5</v>
      </c>
      <c r="K1868">
        <v>51775</v>
      </c>
      <c r="L1868">
        <f>Tabla24[[#This Row],[Precio_Unitario]]*Tabla24[[#This Row],[Unidades_Vendidas]]</f>
        <v>258875</v>
      </c>
      <c r="M1868" t="s">
        <v>27</v>
      </c>
    </row>
    <row r="1869" spans="1:13" x14ac:dyDescent="0.25">
      <c r="A1869" t="s">
        <v>181</v>
      </c>
      <c r="B1869" t="str">
        <f>TEXT(Tabla24[[#This Row],[Fecha]],"dddd")</f>
        <v>viernes</v>
      </c>
      <c r="C1869" t="str">
        <f>TEXT(Tabla24[[#This Row],[Fecha]],"mmmm")</f>
        <v>agosto</v>
      </c>
      <c r="D1869" t="str">
        <f>TEXT(Tabla24[[#This Row],[Fecha]],"aaaa")</f>
        <v>2024</v>
      </c>
      <c r="E1869" t="s">
        <v>22</v>
      </c>
      <c r="F1869" t="s">
        <v>23</v>
      </c>
      <c r="G1869" t="s">
        <v>24</v>
      </c>
      <c r="H1869" t="s">
        <v>19</v>
      </c>
      <c r="I1869" t="s">
        <v>40</v>
      </c>
      <c r="J1869">
        <v>3</v>
      </c>
      <c r="K1869">
        <v>16997</v>
      </c>
      <c r="L1869">
        <f>Tabla24[[#This Row],[Precio_Unitario]]*Tabla24[[#This Row],[Unidades_Vendidas]]</f>
        <v>50991</v>
      </c>
      <c r="M1869" t="s">
        <v>27</v>
      </c>
    </row>
    <row r="1870" spans="1:13" x14ac:dyDescent="0.25">
      <c r="A1870" t="s">
        <v>392</v>
      </c>
      <c r="B1870" t="str">
        <f>TEXT(Tabla24[[#This Row],[Fecha]],"dddd")</f>
        <v>martes</v>
      </c>
      <c r="C1870" t="str">
        <f>TEXT(Tabla24[[#This Row],[Fecha]],"mmmm")</f>
        <v>diciembre</v>
      </c>
      <c r="D1870" t="str">
        <f>TEXT(Tabla24[[#This Row],[Fecha]],"aaaa")</f>
        <v>2024</v>
      </c>
      <c r="E1870" t="s">
        <v>33</v>
      </c>
      <c r="F1870" t="s">
        <v>12</v>
      </c>
      <c r="G1870" t="s">
        <v>39</v>
      </c>
      <c r="H1870" t="s">
        <v>25</v>
      </c>
      <c r="I1870" t="s">
        <v>40</v>
      </c>
      <c r="J1870">
        <v>10</v>
      </c>
      <c r="K1870">
        <v>43696</v>
      </c>
      <c r="L1870">
        <f>Tabla24[[#This Row],[Precio_Unitario]]*Tabla24[[#This Row],[Unidades_Vendidas]]</f>
        <v>436960</v>
      </c>
      <c r="M1870" t="s">
        <v>27</v>
      </c>
    </row>
    <row r="1871" spans="1:13" x14ac:dyDescent="0.25">
      <c r="A1871" t="s">
        <v>125</v>
      </c>
      <c r="B1871" t="str">
        <f>TEXT(Tabla24[[#This Row],[Fecha]],"dddd")</f>
        <v>martes</v>
      </c>
      <c r="C1871" t="str">
        <f>TEXT(Tabla24[[#This Row],[Fecha]],"mmmm")</f>
        <v>septiembre</v>
      </c>
      <c r="D1871" t="str">
        <f>TEXT(Tabla24[[#This Row],[Fecha]],"aaaa")</f>
        <v>2024</v>
      </c>
      <c r="E1871" t="s">
        <v>18</v>
      </c>
      <c r="F1871" t="s">
        <v>38</v>
      </c>
      <c r="G1871" t="s">
        <v>44</v>
      </c>
      <c r="H1871" t="s">
        <v>14</v>
      </c>
      <c r="I1871" t="s">
        <v>26</v>
      </c>
      <c r="J1871">
        <v>5</v>
      </c>
      <c r="K1871">
        <v>54298</v>
      </c>
      <c r="L1871">
        <f>Tabla24[[#This Row],[Precio_Unitario]]*Tabla24[[#This Row],[Unidades_Vendidas]]</f>
        <v>271490</v>
      </c>
      <c r="M1871" t="s">
        <v>36</v>
      </c>
    </row>
    <row r="1872" spans="1:13" x14ac:dyDescent="0.25">
      <c r="A1872" t="s">
        <v>339</v>
      </c>
      <c r="B1872" t="str">
        <f>TEXT(Tabla24[[#This Row],[Fecha]],"dddd")</f>
        <v>martes</v>
      </c>
      <c r="C1872" t="str">
        <f>TEXT(Tabla24[[#This Row],[Fecha]],"mmmm")</f>
        <v>mayo</v>
      </c>
      <c r="D1872" t="str">
        <f>TEXT(Tabla24[[#This Row],[Fecha]],"aaaa")</f>
        <v>2024</v>
      </c>
      <c r="E1872" t="s">
        <v>42</v>
      </c>
      <c r="F1872" t="s">
        <v>38</v>
      </c>
      <c r="G1872" t="s">
        <v>48</v>
      </c>
      <c r="H1872" t="s">
        <v>30</v>
      </c>
      <c r="I1872" t="s">
        <v>40</v>
      </c>
      <c r="J1872">
        <v>8</v>
      </c>
      <c r="K1872">
        <v>44773</v>
      </c>
      <c r="L1872">
        <f>Tabla24[[#This Row],[Precio_Unitario]]*Tabla24[[#This Row],[Unidades_Vendidas]]</f>
        <v>358184</v>
      </c>
      <c r="M1872" t="s">
        <v>20</v>
      </c>
    </row>
    <row r="1873" spans="1:13" x14ac:dyDescent="0.25">
      <c r="A1873" t="s">
        <v>78</v>
      </c>
      <c r="B1873" t="str">
        <f>TEXT(Tabla24[[#This Row],[Fecha]],"dddd")</f>
        <v>martes</v>
      </c>
      <c r="C1873" t="str">
        <f>TEXT(Tabla24[[#This Row],[Fecha]],"mmmm")</f>
        <v>octubre</v>
      </c>
      <c r="D1873" t="str">
        <f>TEXT(Tabla24[[#This Row],[Fecha]],"aaaa")</f>
        <v>2024</v>
      </c>
      <c r="E1873" t="s">
        <v>18</v>
      </c>
      <c r="F1873" t="s">
        <v>34</v>
      </c>
      <c r="G1873" t="s">
        <v>48</v>
      </c>
      <c r="H1873" t="s">
        <v>19</v>
      </c>
      <c r="I1873" t="s">
        <v>15</v>
      </c>
      <c r="J1873">
        <v>17</v>
      </c>
      <c r="K1873">
        <v>22246</v>
      </c>
      <c r="L1873">
        <f>Tabla24[[#This Row],[Precio_Unitario]]*Tabla24[[#This Row],[Unidades_Vendidas]]</f>
        <v>378182</v>
      </c>
      <c r="M1873" t="s">
        <v>16</v>
      </c>
    </row>
    <row r="1874" spans="1:13" x14ac:dyDescent="0.25">
      <c r="A1874" t="s">
        <v>200</v>
      </c>
      <c r="B1874" t="str">
        <f>TEXT(Tabla24[[#This Row],[Fecha]],"dddd")</f>
        <v>sábado</v>
      </c>
      <c r="C1874" t="str">
        <f>TEXT(Tabla24[[#This Row],[Fecha]],"mmmm")</f>
        <v>octubre</v>
      </c>
      <c r="D1874" t="str">
        <f>TEXT(Tabla24[[#This Row],[Fecha]],"aaaa")</f>
        <v>2024</v>
      </c>
      <c r="E1874" t="s">
        <v>11</v>
      </c>
      <c r="F1874" t="s">
        <v>38</v>
      </c>
      <c r="G1874" t="s">
        <v>44</v>
      </c>
      <c r="H1874" t="s">
        <v>25</v>
      </c>
      <c r="I1874" t="s">
        <v>15</v>
      </c>
      <c r="J1874">
        <v>20</v>
      </c>
      <c r="K1874">
        <v>32051</v>
      </c>
      <c r="L1874">
        <f>Tabla24[[#This Row],[Precio_Unitario]]*Tabla24[[#This Row],[Unidades_Vendidas]]</f>
        <v>641020</v>
      </c>
      <c r="M1874" t="s">
        <v>20</v>
      </c>
    </row>
    <row r="1875" spans="1:13" x14ac:dyDescent="0.25">
      <c r="A1875" t="s">
        <v>289</v>
      </c>
      <c r="B1875" t="str">
        <f>TEXT(Tabla24[[#This Row],[Fecha]],"dddd")</f>
        <v>miércoles</v>
      </c>
      <c r="C1875" t="str">
        <f>TEXT(Tabla24[[#This Row],[Fecha]],"mmmm")</f>
        <v>diciembre</v>
      </c>
      <c r="D1875" t="str">
        <f>TEXT(Tabla24[[#This Row],[Fecha]],"aaaa")</f>
        <v>2024</v>
      </c>
      <c r="E1875" t="s">
        <v>11</v>
      </c>
      <c r="F1875" t="s">
        <v>38</v>
      </c>
      <c r="G1875" t="s">
        <v>44</v>
      </c>
      <c r="H1875" t="s">
        <v>25</v>
      </c>
      <c r="I1875" t="s">
        <v>15</v>
      </c>
      <c r="J1875">
        <v>2</v>
      </c>
      <c r="K1875">
        <v>50422</v>
      </c>
      <c r="L1875">
        <f>Tabla24[[#This Row],[Precio_Unitario]]*Tabla24[[#This Row],[Unidades_Vendidas]]</f>
        <v>100844</v>
      </c>
      <c r="M1875" t="s">
        <v>27</v>
      </c>
    </row>
    <row r="1876" spans="1:13" x14ac:dyDescent="0.25">
      <c r="A1876" t="s">
        <v>246</v>
      </c>
      <c r="B1876" t="str">
        <f>TEXT(Tabla24[[#This Row],[Fecha]],"dddd")</f>
        <v>martes</v>
      </c>
      <c r="C1876" t="str">
        <f>TEXT(Tabla24[[#This Row],[Fecha]],"mmmm")</f>
        <v>noviembre</v>
      </c>
      <c r="D1876" t="str">
        <f>TEXT(Tabla24[[#This Row],[Fecha]],"aaaa")</f>
        <v>2024</v>
      </c>
      <c r="E1876" t="s">
        <v>11</v>
      </c>
      <c r="F1876" t="s">
        <v>38</v>
      </c>
      <c r="G1876" t="s">
        <v>24</v>
      </c>
      <c r="H1876" t="s">
        <v>25</v>
      </c>
      <c r="I1876" t="s">
        <v>15</v>
      </c>
      <c r="J1876">
        <v>19</v>
      </c>
      <c r="K1876">
        <v>28621</v>
      </c>
      <c r="L1876">
        <f>Tabla24[[#This Row],[Precio_Unitario]]*Tabla24[[#This Row],[Unidades_Vendidas]]</f>
        <v>543799</v>
      </c>
      <c r="M1876" t="s">
        <v>16</v>
      </c>
    </row>
    <row r="1877" spans="1:13" x14ac:dyDescent="0.25">
      <c r="A1877" t="s">
        <v>80</v>
      </c>
      <c r="B1877" t="str">
        <f>TEXT(Tabla24[[#This Row],[Fecha]],"dddd")</f>
        <v>miércoles</v>
      </c>
      <c r="C1877" t="str">
        <f>TEXT(Tabla24[[#This Row],[Fecha]],"mmmm")</f>
        <v>mayo</v>
      </c>
      <c r="D1877" t="str">
        <f>TEXT(Tabla24[[#This Row],[Fecha]],"aaaa")</f>
        <v>2024</v>
      </c>
      <c r="E1877" t="s">
        <v>33</v>
      </c>
      <c r="F1877" t="s">
        <v>38</v>
      </c>
      <c r="G1877" t="s">
        <v>24</v>
      </c>
      <c r="H1877" t="s">
        <v>30</v>
      </c>
      <c r="I1877" t="s">
        <v>15</v>
      </c>
      <c r="J1877">
        <v>19</v>
      </c>
      <c r="K1877">
        <v>47443</v>
      </c>
      <c r="L1877">
        <f>Tabla24[[#This Row],[Precio_Unitario]]*Tabla24[[#This Row],[Unidades_Vendidas]]</f>
        <v>901417</v>
      </c>
      <c r="M1877" t="s">
        <v>20</v>
      </c>
    </row>
    <row r="1878" spans="1:13" x14ac:dyDescent="0.25">
      <c r="A1878" t="s">
        <v>76</v>
      </c>
      <c r="B1878" t="str">
        <f>TEXT(Tabla24[[#This Row],[Fecha]],"dddd")</f>
        <v>jueves</v>
      </c>
      <c r="C1878" t="str">
        <f>TEXT(Tabla24[[#This Row],[Fecha]],"mmmm")</f>
        <v>abril</v>
      </c>
      <c r="D1878" t="str">
        <f>TEXT(Tabla24[[#This Row],[Fecha]],"aaaa")</f>
        <v>2024</v>
      </c>
      <c r="E1878" t="s">
        <v>33</v>
      </c>
      <c r="F1878" t="s">
        <v>12</v>
      </c>
      <c r="G1878" t="s">
        <v>48</v>
      </c>
      <c r="H1878" t="s">
        <v>25</v>
      </c>
      <c r="I1878" t="s">
        <v>40</v>
      </c>
      <c r="J1878">
        <v>16</v>
      </c>
      <c r="K1878">
        <v>42393</v>
      </c>
      <c r="L1878">
        <f>Tabla24[[#This Row],[Precio_Unitario]]*Tabla24[[#This Row],[Unidades_Vendidas]]</f>
        <v>678288</v>
      </c>
      <c r="M1878" t="s">
        <v>20</v>
      </c>
    </row>
    <row r="1879" spans="1:13" x14ac:dyDescent="0.25">
      <c r="A1879" t="s">
        <v>288</v>
      </c>
      <c r="B1879" t="str">
        <f>TEXT(Tabla24[[#This Row],[Fecha]],"dddd")</f>
        <v>viernes</v>
      </c>
      <c r="C1879" t="str">
        <f>TEXT(Tabla24[[#This Row],[Fecha]],"mmmm")</f>
        <v>junio</v>
      </c>
      <c r="D1879" t="str">
        <f>TEXT(Tabla24[[#This Row],[Fecha]],"aaaa")</f>
        <v>2024</v>
      </c>
      <c r="E1879" t="s">
        <v>33</v>
      </c>
      <c r="F1879" t="s">
        <v>12</v>
      </c>
      <c r="G1879" t="s">
        <v>24</v>
      </c>
      <c r="H1879" t="s">
        <v>14</v>
      </c>
      <c r="I1879" t="s">
        <v>26</v>
      </c>
      <c r="J1879">
        <v>1</v>
      </c>
      <c r="K1879">
        <v>55400</v>
      </c>
      <c r="L1879">
        <f>Tabla24[[#This Row],[Precio_Unitario]]*Tabla24[[#This Row],[Unidades_Vendidas]]</f>
        <v>55400</v>
      </c>
      <c r="M1879" t="s">
        <v>36</v>
      </c>
    </row>
    <row r="1880" spans="1:13" x14ac:dyDescent="0.25">
      <c r="A1880" t="s">
        <v>178</v>
      </c>
      <c r="B1880" t="str">
        <f>TEXT(Tabla24[[#This Row],[Fecha]],"dddd")</f>
        <v>jueves</v>
      </c>
      <c r="C1880" t="str">
        <f>TEXT(Tabla24[[#This Row],[Fecha]],"mmmm")</f>
        <v>julio</v>
      </c>
      <c r="D1880" t="str">
        <f>TEXT(Tabla24[[#This Row],[Fecha]],"aaaa")</f>
        <v>2024</v>
      </c>
      <c r="E1880" t="s">
        <v>42</v>
      </c>
      <c r="F1880" t="s">
        <v>29</v>
      </c>
      <c r="G1880" t="s">
        <v>13</v>
      </c>
      <c r="H1880" t="s">
        <v>35</v>
      </c>
      <c r="I1880" t="s">
        <v>26</v>
      </c>
      <c r="J1880">
        <v>16</v>
      </c>
      <c r="K1880">
        <v>20737</v>
      </c>
      <c r="L1880">
        <f>Tabla24[[#This Row],[Precio_Unitario]]*Tabla24[[#This Row],[Unidades_Vendidas]]</f>
        <v>331792</v>
      </c>
      <c r="M1880" t="s">
        <v>36</v>
      </c>
    </row>
    <row r="1881" spans="1:13" x14ac:dyDescent="0.25">
      <c r="A1881" t="s">
        <v>126</v>
      </c>
      <c r="B1881" t="str">
        <f>TEXT(Tabla24[[#This Row],[Fecha]],"dddd")</f>
        <v>lunes</v>
      </c>
      <c r="C1881" t="str">
        <f>TEXT(Tabla24[[#This Row],[Fecha]],"mmmm")</f>
        <v>noviembre</v>
      </c>
      <c r="D1881" t="str">
        <f>TEXT(Tabla24[[#This Row],[Fecha]],"aaaa")</f>
        <v>2024</v>
      </c>
      <c r="E1881" t="s">
        <v>18</v>
      </c>
      <c r="F1881" t="s">
        <v>29</v>
      </c>
      <c r="G1881" t="s">
        <v>24</v>
      </c>
      <c r="H1881" t="s">
        <v>30</v>
      </c>
      <c r="I1881" t="s">
        <v>40</v>
      </c>
      <c r="J1881">
        <v>7</v>
      </c>
      <c r="K1881">
        <v>32233</v>
      </c>
      <c r="L1881">
        <f>Tabla24[[#This Row],[Precio_Unitario]]*Tabla24[[#This Row],[Unidades_Vendidas]]</f>
        <v>225631</v>
      </c>
      <c r="M1881" t="s">
        <v>16</v>
      </c>
    </row>
    <row r="1882" spans="1:13" x14ac:dyDescent="0.25">
      <c r="A1882" t="s">
        <v>293</v>
      </c>
      <c r="B1882" t="str">
        <f>TEXT(Tabla24[[#This Row],[Fecha]],"dddd")</f>
        <v>jueves</v>
      </c>
      <c r="C1882" t="str">
        <f>TEXT(Tabla24[[#This Row],[Fecha]],"mmmm")</f>
        <v>mayo</v>
      </c>
      <c r="D1882" t="str">
        <f>TEXT(Tabla24[[#This Row],[Fecha]],"aaaa")</f>
        <v>2024</v>
      </c>
      <c r="E1882" t="s">
        <v>33</v>
      </c>
      <c r="F1882" t="s">
        <v>34</v>
      </c>
      <c r="G1882" t="s">
        <v>48</v>
      </c>
      <c r="H1882" t="s">
        <v>19</v>
      </c>
      <c r="I1882" t="s">
        <v>15</v>
      </c>
      <c r="J1882">
        <v>12</v>
      </c>
      <c r="K1882">
        <v>29377</v>
      </c>
      <c r="L1882">
        <f>Tabla24[[#This Row],[Precio_Unitario]]*Tabla24[[#This Row],[Unidades_Vendidas]]</f>
        <v>352524</v>
      </c>
      <c r="M1882" t="s">
        <v>36</v>
      </c>
    </row>
    <row r="1883" spans="1:13" x14ac:dyDescent="0.25">
      <c r="A1883" t="s">
        <v>88</v>
      </c>
      <c r="B1883" t="str">
        <f>TEXT(Tabla24[[#This Row],[Fecha]],"dddd")</f>
        <v>miércoles</v>
      </c>
      <c r="C1883" t="str">
        <f>TEXT(Tabla24[[#This Row],[Fecha]],"mmmm")</f>
        <v>enero</v>
      </c>
      <c r="D1883" t="str">
        <f>TEXT(Tabla24[[#This Row],[Fecha]],"aaaa")</f>
        <v>2024</v>
      </c>
      <c r="E1883" t="s">
        <v>42</v>
      </c>
      <c r="F1883" t="s">
        <v>23</v>
      </c>
      <c r="G1883" t="s">
        <v>13</v>
      </c>
      <c r="H1883" t="s">
        <v>35</v>
      </c>
      <c r="I1883" t="s">
        <v>40</v>
      </c>
      <c r="J1883">
        <v>8</v>
      </c>
      <c r="K1883">
        <v>18520</v>
      </c>
      <c r="L1883">
        <f>Tabla24[[#This Row],[Precio_Unitario]]*Tabla24[[#This Row],[Unidades_Vendidas]]</f>
        <v>148160</v>
      </c>
      <c r="M1883" t="s">
        <v>36</v>
      </c>
    </row>
    <row r="1884" spans="1:13" x14ac:dyDescent="0.25">
      <c r="A1884" t="s">
        <v>209</v>
      </c>
      <c r="B1884" t="str">
        <f>TEXT(Tabla24[[#This Row],[Fecha]],"dddd")</f>
        <v>martes</v>
      </c>
      <c r="C1884" t="str">
        <f>TEXT(Tabla24[[#This Row],[Fecha]],"mmmm")</f>
        <v>septiembre</v>
      </c>
      <c r="D1884" t="str">
        <f>TEXT(Tabla24[[#This Row],[Fecha]],"aaaa")</f>
        <v>2024</v>
      </c>
      <c r="E1884" t="s">
        <v>22</v>
      </c>
      <c r="F1884" t="s">
        <v>34</v>
      </c>
      <c r="G1884" t="s">
        <v>24</v>
      </c>
      <c r="H1884" t="s">
        <v>35</v>
      </c>
      <c r="I1884" t="s">
        <v>26</v>
      </c>
      <c r="J1884">
        <v>3</v>
      </c>
      <c r="K1884">
        <v>45976</v>
      </c>
      <c r="L1884">
        <f>Tabla24[[#This Row],[Precio_Unitario]]*Tabla24[[#This Row],[Unidades_Vendidas]]</f>
        <v>137928</v>
      </c>
      <c r="M1884" t="s">
        <v>16</v>
      </c>
    </row>
    <row r="1885" spans="1:13" x14ac:dyDescent="0.25">
      <c r="A1885" t="s">
        <v>118</v>
      </c>
      <c r="B1885" t="str">
        <f>TEXT(Tabla24[[#This Row],[Fecha]],"dddd")</f>
        <v>jueves</v>
      </c>
      <c r="C1885" t="str">
        <f>TEXT(Tabla24[[#This Row],[Fecha]],"mmmm")</f>
        <v>enero</v>
      </c>
      <c r="D1885" t="str">
        <f>TEXT(Tabla24[[#This Row],[Fecha]],"aaaa")</f>
        <v>2024</v>
      </c>
      <c r="E1885" t="s">
        <v>11</v>
      </c>
      <c r="F1885" t="s">
        <v>34</v>
      </c>
      <c r="G1885" t="s">
        <v>24</v>
      </c>
      <c r="H1885" t="s">
        <v>30</v>
      </c>
      <c r="I1885" t="s">
        <v>15</v>
      </c>
      <c r="J1885">
        <v>3</v>
      </c>
      <c r="K1885">
        <v>34673</v>
      </c>
      <c r="L1885">
        <f>Tabla24[[#This Row],[Precio_Unitario]]*Tabla24[[#This Row],[Unidades_Vendidas]]</f>
        <v>104019</v>
      </c>
      <c r="M1885" t="s">
        <v>36</v>
      </c>
    </row>
    <row r="1886" spans="1:13" x14ac:dyDescent="0.25">
      <c r="A1886" t="s">
        <v>368</v>
      </c>
      <c r="B1886" t="str">
        <f>TEXT(Tabla24[[#This Row],[Fecha]],"dddd")</f>
        <v>sábado</v>
      </c>
      <c r="C1886" t="str">
        <f>TEXT(Tabla24[[#This Row],[Fecha]],"mmmm")</f>
        <v>junio</v>
      </c>
      <c r="D1886" t="str">
        <f>TEXT(Tabla24[[#This Row],[Fecha]],"aaaa")</f>
        <v>2024</v>
      </c>
      <c r="E1886" t="s">
        <v>22</v>
      </c>
      <c r="F1886" t="s">
        <v>38</v>
      </c>
      <c r="G1886" t="s">
        <v>13</v>
      </c>
      <c r="H1886" t="s">
        <v>30</v>
      </c>
      <c r="I1886" t="s">
        <v>15</v>
      </c>
      <c r="J1886">
        <v>7</v>
      </c>
      <c r="K1886">
        <v>38363</v>
      </c>
      <c r="L1886">
        <f>Tabla24[[#This Row],[Precio_Unitario]]*Tabla24[[#This Row],[Unidades_Vendidas]]</f>
        <v>268541</v>
      </c>
      <c r="M1886" t="s">
        <v>27</v>
      </c>
    </row>
    <row r="1887" spans="1:13" x14ac:dyDescent="0.25">
      <c r="A1887" t="s">
        <v>102</v>
      </c>
      <c r="B1887" t="str">
        <f>TEXT(Tabla24[[#This Row],[Fecha]],"dddd")</f>
        <v>viernes</v>
      </c>
      <c r="C1887" t="str">
        <f>TEXT(Tabla24[[#This Row],[Fecha]],"mmmm")</f>
        <v>noviembre</v>
      </c>
      <c r="D1887" t="str">
        <f>TEXT(Tabla24[[#This Row],[Fecha]],"aaaa")</f>
        <v>2024</v>
      </c>
      <c r="E1887" t="s">
        <v>11</v>
      </c>
      <c r="F1887" t="s">
        <v>23</v>
      </c>
      <c r="G1887" t="s">
        <v>48</v>
      </c>
      <c r="H1887" t="s">
        <v>35</v>
      </c>
      <c r="I1887" t="s">
        <v>15</v>
      </c>
      <c r="J1887">
        <v>7</v>
      </c>
      <c r="K1887">
        <v>17579</v>
      </c>
      <c r="L1887">
        <f>Tabla24[[#This Row],[Precio_Unitario]]*Tabla24[[#This Row],[Unidades_Vendidas]]</f>
        <v>123053</v>
      </c>
      <c r="M1887" t="s">
        <v>16</v>
      </c>
    </row>
    <row r="1888" spans="1:13" x14ac:dyDescent="0.25">
      <c r="A1888" t="s">
        <v>285</v>
      </c>
      <c r="B1888" t="str">
        <f>TEXT(Tabla24[[#This Row],[Fecha]],"dddd")</f>
        <v>miércoles</v>
      </c>
      <c r="C1888" t="str">
        <f>TEXT(Tabla24[[#This Row],[Fecha]],"mmmm")</f>
        <v>octubre</v>
      </c>
      <c r="D1888" t="str">
        <f>TEXT(Tabla24[[#This Row],[Fecha]],"aaaa")</f>
        <v>2024</v>
      </c>
      <c r="E1888" t="s">
        <v>22</v>
      </c>
      <c r="F1888" t="s">
        <v>23</v>
      </c>
      <c r="G1888" t="s">
        <v>39</v>
      </c>
      <c r="H1888" t="s">
        <v>25</v>
      </c>
      <c r="I1888" t="s">
        <v>40</v>
      </c>
      <c r="J1888">
        <v>11</v>
      </c>
      <c r="K1888">
        <v>51348</v>
      </c>
      <c r="L1888">
        <f>Tabla24[[#This Row],[Precio_Unitario]]*Tabla24[[#This Row],[Unidades_Vendidas]]</f>
        <v>564828</v>
      </c>
      <c r="M1888" t="s">
        <v>36</v>
      </c>
    </row>
    <row r="1889" spans="1:13" x14ac:dyDescent="0.25">
      <c r="A1889" t="s">
        <v>75</v>
      </c>
      <c r="B1889" t="str">
        <f>TEXT(Tabla24[[#This Row],[Fecha]],"dddd")</f>
        <v>lunes</v>
      </c>
      <c r="C1889" t="str">
        <f>TEXT(Tabla24[[#This Row],[Fecha]],"mmmm")</f>
        <v>diciembre</v>
      </c>
      <c r="D1889" t="str">
        <f>TEXT(Tabla24[[#This Row],[Fecha]],"aaaa")</f>
        <v>2024</v>
      </c>
      <c r="E1889" t="s">
        <v>22</v>
      </c>
      <c r="F1889" t="s">
        <v>34</v>
      </c>
      <c r="G1889" t="s">
        <v>24</v>
      </c>
      <c r="H1889" t="s">
        <v>25</v>
      </c>
      <c r="I1889" t="s">
        <v>26</v>
      </c>
      <c r="J1889">
        <v>6</v>
      </c>
      <c r="K1889">
        <v>41020</v>
      </c>
      <c r="L1889">
        <f>Tabla24[[#This Row],[Precio_Unitario]]*Tabla24[[#This Row],[Unidades_Vendidas]]</f>
        <v>246120</v>
      </c>
      <c r="M1889" t="s">
        <v>27</v>
      </c>
    </row>
    <row r="1890" spans="1:13" x14ac:dyDescent="0.25">
      <c r="A1890" t="s">
        <v>145</v>
      </c>
      <c r="B1890" t="str">
        <f>TEXT(Tabla24[[#This Row],[Fecha]],"dddd")</f>
        <v>jueves</v>
      </c>
      <c r="C1890" t="str">
        <f>TEXT(Tabla24[[#This Row],[Fecha]],"mmmm")</f>
        <v>diciembre</v>
      </c>
      <c r="D1890" t="str">
        <f>TEXT(Tabla24[[#This Row],[Fecha]],"aaaa")</f>
        <v>2024</v>
      </c>
      <c r="E1890" t="s">
        <v>11</v>
      </c>
      <c r="F1890" t="s">
        <v>34</v>
      </c>
      <c r="G1890" t="s">
        <v>13</v>
      </c>
      <c r="H1890" t="s">
        <v>35</v>
      </c>
      <c r="I1890" t="s">
        <v>15</v>
      </c>
      <c r="J1890">
        <v>10</v>
      </c>
      <c r="K1890">
        <v>57718</v>
      </c>
      <c r="L1890">
        <f>Tabla24[[#This Row],[Precio_Unitario]]*Tabla24[[#This Row],[Unidades_Vendidas]]</f>
        <v>577180</v>
      </c>
      <c r="M1890" t="s">
        <v>27</v>
      </c>
    </row>
    <row r="1891" spans="1:13" x14ac:dyDescent="0.25">
      <c r="A1891" t="s">
        <v>297</v>
      </c>
      <c r="B1891" t="str">
        <f>TEXT(Tabla24[[#This Row],[Fecha]],"dddd")</f>
        <v>viernes</v>
      </c>
      <c r="C1891" t="str">
        <f>TEXT(Tabla24[[#This Row],[Fecha]],"mmmm")</f>
        <v>abril</v>
      </c>
      <c r="D1891" t="str">
        <f>TEXT(Tabla24[[#This Row],[Fecha]],"aaaa")</f>
        <v>2024</v>
      </c>
      <c r="E1891" t="s">
        <v>18</v>
      </c>
      <c r="F1891" t="s">
        <v>38</v>
      </c>
      <c r="G1891" t="s">
        <v>13</v>
      </c>
      <c r="H1891" t="s">
        <v>19</v>
      </c>
      <c r="I1891" t="s">
        <v>15</v>
      </c>
      <c r="J1891">
        <v>18</v>
      </c>
      <c r="K1891">
        <v>16121</v>
      </c>
      <c r="L1891">
        <f>Tabla24[[#This Row],[Precio_Unitario]]*Tabla24[[#This Row],[Unidades_Vendidas]]</f>
        <v>290178</v>
      </c>
      <c r="M1891" t="s">
        <v>27</v>
      </c>
    </row>
    <row r="1892" spans="1:13" x14ac:dyDescent="0.25">
      <c r="A1892" t="s">
        <v>367</v>
      </c>
      <c r="B1892" t="str">
        <f>TEXT(Tabla24[[#This Row],[Fecha]],"dddd")</f>
        <v>sábado</v>
      </c>
      <c r="C1892" t="str">
        <f>TEXT(Tabla24[[#This Row],[Fecha]],"mmmm")</f>
        <v>abril</v>
      </c>
      <c r="D1892" t="str">
        <f>TEXT(Tabla24[[#This Row],[Fecha]],"aaaa")</f>
        <v>2024</v>
      </c>
      <c r="E1892" t="s">
        <v>18</v>
      </c>
      <c r="F1892" t="s">
        <v>23</v>
      </c>
      <c r="G1892" t="s">
        <v>39</v>
      </c>
      <c r="H1892" t="s">
        <v>30</v>
      </c>
      <c r="I1892" t="s">
        <v>26</v>
      </c>
      <c r="J1892">
        <v>20</v>
      </c>
      <c r="K1892">
        <v>19420</v>
      </c>
      <c r="L1892">
        <f>Tabla24[[#This Row],[Precio_Unitario]]*Tabla24[[#This Row],[Unidades_Vendidas]]</f>
        <v>388400</v>
      </c>
      <c r="M1892" t="s">
        <v>27</v>
      </c>
    </row>
    <row r="1893" spans="1:13" x14ac:dyDescent="0.25">
      <c r="A1893" t="s">
        <v>205</v>
      </c>
      <c r="B1893" t="str">
        <f>TEXT(Tabla24[[#This Row],[Fecha]],"dddd")</f>
        <v>sábado</v>
      </c>
      <c r="C1893" t="str">
        <f>TEXT(Tabla24[[#This Row],[Fecha]],"mmmm")</f>
        <v>marzo</v>
      </c>
      <c r="D1893" t="str">
        <f>TEXT(Tabla24[[#This Row],[Fecha]],"aaaa")</f>
        <v>2024</v>
      </c>
      <c r="E1893" t="s">
        <v>11</v>
      </c>
      <c r="F1893" t="s">
        <v>12</v>
      </c>
      <c r="G1893" t="s">
        <v>44</v>
      </c>
      <c r="H1893" t="s">
        <v>14</v>
      </c>
      <c r="I1893" t="s">
        <v>15</v>
      </c>
      <c r="J1893">
        <v>18</v>
      </c>
      <c r="K1893">
        <v>58229</v>
      </c>
      <c r="L1893">
        <f>Tabla24[[#This Row],[Precio_Unitario]]*Tabla24[[#This Row],[Unidades_Vendidas]]</f>
        <v>1048122</v>
      </c>
      <c r="M1893" t="s">
        <v>20</v>
      </c>
    </row>
    <row r="1894" spans="1:13" x14ac:dyDescent="0.25">
      <c r="A1894" t="s">
        <v>390</v>
      </c>
      <c r="B1894" t="str">
        <f>TEXT(Tabla24[[#This Row],[Fecha]],"dddd")</f>
        <v>lunes</v>
      </c>
      <c r="C1894" t="str">
        <f>TEXT(Tabla24[[#This Row],[Fecha]],"mmmm")</f>
        <v>septiembre</v>
      </c>
      <c r="D1894" t="str">
        <f>TEXT(Tabla24[[#This Row],[Fecha]],"aaaa")</f>
        <v>2024</v>
      </c>
      <c r="E1894" t="s">
        <v>42</v>
      </c>
      <c r="F1894" t="s">
        <v>23</v>
      </c>
      <c r="G1894" t="s">
        <v>13</v>
      </c>
      <c r="H1894" t="s">
        <v>35</v>
      </c>
      <c r="I1894" t="s">
        <v>40</v>
      </c>
      <c r="J1894">
        <v>8</v>
      </c>
      <c r="K1894">
        <v>24059</v>
      </c>
      <c r="L1894">
        <f>Tabla24[[#This Row],[Precio_Unitario]]*Tabla24[[#This Row],[Unidades_Vendidas]]</f>
        <v>192472</v>
      </c>
      <c r="M1894" t="s">
        <v>20</v>
      </c>
    </row>
    <row r="1895" spans="1:13" x14ac:dyDescent="0.25">
      <c r="A1895" t="s">
        <v>207</v>
      </c>
      <c r="B1895" t="str">
        <f>TEXT(Tabla24[[#This Row],[Fecha]],"dddd")</f>
        <v>sábado</v>
      </c>
      <c r="C1895" t="str">
        <f>TEXT(Tabla24[[#This Row],[Fecha]],"mmmm")</f>
        <v>abril</v>
      </c>
      <c r="D1895" t="str">
        <f>TEXT(Tabla24[[#This Row],[Fecha]],"aaaa")</f>
        <v>2024</v>
      </c>
      <c r="E1895" t="s">
        <v>33</v>
      </c>
      <c r="F1895" t="s">
        <v>23</v>
      </c>
      <c r="G1895" t="s">
        <v>39</v>
      </c>
      <c r="H1895" t="s">
        <v>30</v>
      </c>
      <c r="I1895" t="s">
        <v>15</v>
      </c>
      <c r="J1895">
        <v>10</v>
      </c>
      <c r="K1895">
        <v>25902</v>
      </c>
      <c r="L1895">
        <f>Tabla24[[#This Row],[Precio_Unitario]]*Tabla24[[#This Row],[Unidades_Vendidas]]</f>
        <v>259020</v>
      </c>
      <c r="M1895" t="s">
        <v>20</v>
      </c>
    </row>
    <row r="1896" spans="1:13" x14ac:dyDescent="0.25">
      <c r="A1896" t="s">
        <v>276</v>
      </c>
      <c r="B1896" t="str">
        <f>TEXT(Tabla24[[#This Row],[Fecha]],"dddd")</f>
        <v>domingo</v>
      </c>
      <c r="C1896" t="str">
        <f>TEXT(Tabla24[[#This Row],[Fecha]],"mmmm")</f>
        <v>marzo</v>
      </c>
      <c r="D1896" t="str">
        <f>TEXT(Tabla24[[#This Row],[Fecha]],"aaaa")</f>
        <v>2024</v>
      </c>
      <c r="E1896" t="s">
        <v>33</v>
      </c>
      <c r="F1896" t="s">
        <v>23</v>
      </c>
      <c r="G1896" t="s">
        <v>24</v>
      </c>
      <c r="H1896" t="s">
        <v>14</v>
      </c>
      <c r="I1896" t="s">
        <v>40</v>
      </c>
      <c r="J1896">
        <v>5</v>
      </c>
      <c r="K1896">
        <v>48705</v>
      </c>
      <c r="L1896">
        <f>Tabla24[[#This Row],[Precio_Unitario]]*Tabla24[[#This Row],[Unidades_Vendidas]]</f>
        <v>243525</v>
      </c>
      <c r="M1896" t="s">
        <v>36</v>
      </c>
    </row>
    <row r="1897" spans="1:13" x14ac:dyDescent="0.25">
      <c r="A1897" t="s">
        <v>94</v>
      </c>
      <c r="B1897" t="str">
        <f>TEXT(Tabla24[[#This Row],[Fecha]],"dddd")</f>
        <v>miércoles</v>
      </c>
      <c r="C1897" t="str">
        <f>TEXT(Tabla24[[#This Row],[Fecha]],"mmmm")</f>
        <v>mayo</v>
      </c>
      <c r="D1897" t="str">
        <f>TEXT(Tabla24[[#This Row],[Fecha]],"aaaa")</f>
        <v>2024</v>
      </c>
      <c r="E1897" t="s">
        <v>11</v>
      </c>
      <c r="F1897" t="s">
        <v>34</v>
      </c>
      <c r="G1897" t="s">
        <v>13</v>
      </c>
      <c r="H1897" t="s">
        <v>14</v>
      </c>
      <c r="I1897" t="s">
        <v>40</v>
      </c>
      <c r="J1897">
        <v>2</v>
      </c>
      <c r="K1897">
        <v>34196</v>
      </c>
      <c r="L1897">
        <f>Tabla24[[#This Row],[Precio_Unitario]]*Tabla24[[#This Row],[Unidades_Vendidas]]</f>
        <v>68392</v>
      </c>
      <c r="M1897" t="s">
        <v>16</v>
      </c>
    </row>
    <row r="1898" spans="1:13" x14ac:dyDescent="0.25">
      <c r="A1898" t="s">
        <v>54</v>
      </c>
      <c r="B1898" t="str">
        <f>TEXT(Tabla24[[#This Row],[Fecha]],"dddd")</f>
        <v>sábado</v>
      </c>
      <c r="C1898" t="str">
        <f>TEXT(Tabla24[[#This Row],[Fecha]],"mmmm")</f>
        <v>marzo</v>
      </c>
      <c r="D1898" t="str">
        <f>TEXT(Tabla24[[#This Row],[Fecha]],"aaaa")</f>
        <v>2024</v>
      </c>
      <c r="E1898" t="s">
        <v>11</v>
      </c>
      <c r="F1898" t="s">
        <v>23</v>
      </c>
      <c r="G1898" t="s">
        <v>24</v>
      </c>
      <c r="H1898" t="s">
        <v>14</v>
      </c>
      <c r="I1898" t="s">
        <v>15</v>
      </c>
      <c r="J1898">
        <v>20</v>
      </c>
      <c r="K1898">
        <v>20224</v>
      </c>
      <c r="L1898">
        <f>Tabla24[[#This Row],[Precio_Unitario]]*Tabla24[[#This Row],[Unidades_Vendidas]]</f>
        <v>404480</v>
      </c>
      <c r="M1898" t="s">
        <v>36</v>
      </c>
    </row>
    <row r="1899" spans="1:13" x14ac:dyDescent="0.25">
      <c r="A1899" t="s">
        <v>43</v>
      </c>
      <c r="B1899" t="str">
        <f>TEXT(Tabla24[[#This Row],[Fecha]],"dddd")</f>
        <v>martes</v>
      </c>
      <c r="C1899" t="str">
        <f>TEXT(Tabla24[[#This Row],[Fecha]],"mmmm")</f>
        <v>marzo</v>
      </c>
      <c r="D1899" t="str">
        <f>TEXT(Tabla24[[#This Row],[Fecha]],"aaaa")</f>
        <v>2024</v>
      </c>
      <c r="E1899" t="s">
        <v>42</v>
      </c>
      <c r="F1899" t="s">
        <v>38</v>
      </c>
      <c r="G1899" t="s">
        <v>39</v>
      </c>
      <c r="H1899" t="s">
        <v>14</v>
      </c>
      <c r="I1899" t="s">
        <v>15</v>
      </c>
      <c r="J1899">
        <v>20</v>
      </c>
      <c r="K1899">
        <v>38317</v>
      </c>
      <c r="L1899">
        <f>Tabla24[[#This Row],[Precio_Unitario]]*Tabla24[[#This Row],[Unidades_Vendidas]]</f>
        <v>766340</v>
      </c>
      <c r="M1899" t="s">
        <v>16</v>
      </c>
    </row>
    <row r="1900" spans="1:13" x14ac:dyDescent="0.25">
      <c r="A1900" t="s">
        <v>315</v>
      </c>
      <c r="B1900" t="str">
        <f>TEXT(Tabla24[[#This Row],[Fecha]],"dddd")</f>
        <v>domingo</v>
      </c>
      <c r="C1900" t="str">
        <f>TEXT(Tabla24[[#This Row],[Fecha]],"mmmm")</f>
        <v>diciembre</v>
      </c>
      <c r="D1900" t="str">
        <f>TEXT(Tabla24[[#This Row],[Fecha]],"aaaa")</f>
        <v>2024</v>
      </c>
      <c r="E1900" t="s">
        <v>18</v>
      </c>
      <c r="F1900" t="s">
        <v>12</v>
      </c>
      <c r="G1900" t="s">
        <v>24</v>
      </c>
      <c r="H1900" t="s">
        <v>25</v>
      </c>
      <c r="I1900" t="s">
        <v>26</v>
      </c>
      <c r="J1900">
        <v>7</v>
      </c>
      <c r="K1900">
        <v>57241</v>
      </c>
      <c r="L1900">
        <f>Tabla24[[#This Row],[Precio_Unitario]]*Tabla24[[#This Row],[Unidades_Vendidas]]</f>
        <v>400687</v>
      </c>
      <c r="M1900" t="s">
        <v>20</v>
      </c>
    </row>
    <row r="1901" spans="1:13" x14ac:dyDescent="0.25">
      <c r="A1901" t="s">
        <v>159</v>
      </c>
      <c r="B1901" t="str">
        <f>TEXT(Tabla24[[#This Row],[Fecha]],"dddd")</f>
        <v>jueves</v>
      </c>
      <c r="C1901" t="str">
        <f>TEXT(Tabla24[[#This Row],[Fecha]],"mmmm")</f>
        <v>febrero</v>
      </c>
      <c r="D1901" t="str">
        <f>TEXT(Tabla24[[#This Row],[Fecha]],"aaaa")</f>
        <v>2024</v>
      </c>
      <c r="E1901" t="s">
        <v>22</v>
      </c>
      <c r="F1901" t="s">
        <v>29</v>
      </c>
      <c r="G1901" t="s">
        <v>48</v>
      </c>
      <c r="H1901" t="s">
        <v>14</v>
      </c>
      <c r="I1901" t="s">
        <v>15</v>
      </c>
      <c r="J1901">
        <v>15</v>
      </c>
      <c r="K1901">
        <v>58374</v>
      </c>
      <c r="L1901">
        <f>Tabla24[[#This Row],[Precio_Unitario]]*Tabla24[[#This Row],[Unidades_Vendidas]]</f>
        <v>875610</v>
      </c>
      <c r="M1901" t="s">
        <v>16</v>
      </c>
    </row>
    <row r="1902" spans="1:13" x14ac:dyDescent="0.25">
      <c r="A1902" t="s">
        <v>241</v>
      </c>
      <c r="B1902" t="str">
        <f>TEXT(Tabla24[[#This Row],[Fecha]],"dddd")</f>
        <v>domingo</v>
      </c>
      <c r="C1902" t="str">
        <f>TEXT(Tabla24[[#This Row],[Fecha]],"mmmm")</f>
        <v>febrero</v>
      </c>
      <c r="D1902" t="str">
        <f>TEXT(Tabla24[[#This Row],[Fecha]],"aaaa")</f>
        <v>2024</v>
      </c>
      <c r="E1902" t="s">
        <v>18</v>
      </c>
      <c r="F1902" t="s">
        <v>38</v>
      </c>
      <c r="G1902" t="s">
        <v>24</v>
      </c>
      <c r="H1902" t="s">
        <v>19</v>
      </c>
      <c r="I1902" t="s">
        <v>40</v>
      </c>
      <c r="J1902">
        <v>14</v>
      </c>
      <c r="K1902">
        <v>48299</v>
      </c>
      <c r="L1902">
        <f>Tabla24[[#This Row],[Precio_Unitario]]*Tabla24[[#This Row],[Unidades_Vendidas]]</f>
        <v>676186</v>
      </c>
      <c r="M1902" t="s">
        <v>20</v>
      </c>
    </row>
    <row r="1903" spans="1:13" x14ac:dyDescent="0.25">
      <c r="A1903" t="s">
        <v>303</v>
      </c>
      <c r="B1903" t="str">
        <f>TEXT(Tabla24[[#This Row],[Fecha]],"dddd")</f>
        <v>miércoles</v>
      </c>
      <c r="C1903" t="str">
        <f>TEXT(Tabla24[[#This Row],[Fecha]],"mmmm")</f>
        <v>octubre</v>
      </c>
      <c r="D1903" t="str">
        <f>TEXT(Tabla24[[#This Row],[Fecha]],"aaaa")</f>
        <v>2024</v>
      </c>
      <c r="E1903" t="s">
        <v>18</v>
      </c>
      <c r="F1903" t="s">
        <v>38</v>
      </c>
      <c r="G1903" t="s">
        <v>13</v>
      </c>
      <c r="H1903" t="s">
        <v>25</v>
      </c>
      <c r="I1903" t="s">
        <v>40</v>
      </c>
      <c r="J1903">
        <v>20</v>
      </c>
      <c r="K1903">
        <v>45643</v>
      </c>
      <c r="L1903">
        <f>Tabla24[[#This Row],[Precio_Unitario]]*Tabla24[[#This Row],[Unidades_Vendidas]]</f>
        <v>912860</v>
      </c>
      <c r="M1903" t="s">
        <v>20</v>
      </c>
    </row>
    <row r="1904" spans="1:13" x14ac:dyDescent="0.25">
      <c r="A1904" t="s">
        <v>292</v>
      </c>
      <c r="B1904" t="str">
        <f>TEXT(Tabla24[[#This Row],[Fecha]],"dddd")</f>
        <v>sábado</v>
      </c>
      <c r="C1904" t="str">
        <f>TEXT(Tabla24[[#This Row],[Fecha]],"mmmm")</f>
        <v>junio</v>
      </c>
      <c r="D1904" t="str">
        <f>TEXT(Tabla24[[#This Row],[Fecha]],"aaaa")</f>
        <v>2024</v>
      </c>
      <c r="E1904" t="s">
        <v>22</v>
      </c>
      <c r="F1904" t="s">
        <v>34</v>
      </c>
      <c r="G1904" t="s">
        <v>39</v>
      </c>
      <c r="H1904" t="s">
        <v>19</v>
      </c>
      <c r="I1904" t="s">
        <v>26</v>
      </c>
      <c r="J1904">
        <v>20</v>
      </c>
      <c r="K1904">
        <v>27717</v>
      </c>
      <c r="L1904">
        <f>Tabla24[[#This Row],[Precio_Unitario]]*Tabla24[[#This Row],[Unidades_Vendidas]]</f>
        <v>554340</v>
      </c>
      <c r="M1904" t="s">
        <v>27</v>
      </c>
    </row>
    <row r="1905" spans="1:13" x14ac:dyDescent="0.25">
      <c r="A1905" t="s">
        <v>384</v>
      </c>
      <c r="B1905" t="str">
        <f>TEXT(Tabla24[[#This Row],[Fecha]],"dddd")</f>
        <v>sábado</v>
      </c>
      <c r="C1905" t="str">
        <f>TEXT(Tabla24[[#This Row],[Fecha]],"mmmm")</f>
        <v>agosto</v>
      </c>
      <c r="D1905" t="str">
        <f>TEXT(Tabla24[[#This Row],[Fecha]],"aaaa")</f>
        <v>2024</v>
      </c>
      <c r="E1905" t="s">
        <v>33</v>
      </c>
      <c r="F1905" t="s">
        <v>23</v>
      </c>
      <c r="G1905" t="s">
        <v>24</v>
      </c>
      <c r="H1905" t="s">
        <v>14</v>
      </c>
      <c r="I1905" t="s">
        <v>26</v>
      </c>
      <c r="J1905">
        <v>8</v>
      </c>
      <c r="K1905">
        <v>44148</v>
      </c>
      <c r="L1905">
        <f>Tabla24[[#This Row],[Precio_Unitario]]*Tabla24[[#This Row],[Unidades_Vendidas]]</f>
        <v>353184</v>
      </c>
      <c r="M1905" t="s">
        <v>20</v>
      </c>
    </row>
    <row r="1906" spans="1:13" x14ac:dyDescent="0.25">
      <c r="A1906" t="s">
        <v>10</v>
      </c>
      <c r="B1906" t="str">
        <f>TEXT(Tabla24[[#This Row],[Fecha]],"dddd")</f>
        <v>martes</v>
      </c>
      <c r="C1906" t="str">
        <f>TEXT(Tabla24[[#This Row],[Fecha]],"mmmm")</f>
        <v>julio</v>
      </c>
      <c r="D1906" t="str">
        <f>TEXT(Tabla24[[#This Row],[Fecha]],"aaaa")</f>
        <v>2024</v>
      </c>
      <c r="E1906" t="s">
        <v>18</v>
      </c>
      <c r="F1906" t="s">
        <v>34</v>
      </c>
      <c r="G1906" t="s">
        <v>39</v>
      </c>
      <c r="H1906" t="s">
        <v>35</v>
      </c>
      <c r="I1906" t="s">
        <v>15</v>
      </c>
      <c r="J1906">
        <v>20</v>
      </c>
      <c r="K1906">
        <v>26318</v>
      </c>
      <c r="L1906">
        <f>Tabla24[[#This Row],[Precio_Unitario]]*Tabla24[[#This Row],[Unidades_Vendidas]]</f>
        <v>526360</v>
      </c>
      <c r="M1906" t="s">
        <v>27</v>
      </c>
    </row>
    <row r="1907" spans="1:13" x14ac:dyDescent="0.25">
      <c r="A1907" t="s">
        <v>346</v>
      </c>
      <c r="B1907" t="str">
        <f>TEXT(Tabla24[[#This Row],[Fecha]],"dddd")</f>
        <v>domingo</v>
      </c>
      <c r="C1907" t="str">
        <f>TEXT(Tabla24[[#This Row],[Fecha]],"mmmm")</f>
        <v>septiembre</v>
      </c>
      <c r="D1907" t="str">
        <f>TEXT(Tabla24[[#This Row],[Fecha]],"aaaa")</f>
        <v>2024</v>
      </c>
      <c r="E1907" t="s">
        <v>42</v>
      </c>
      <c r="F1907" t="s">
        <v>38</v>
      </c>
      <c r="G1907" t="s">
        <v>13</v>
      </c>
      <c r="H1907" t="s">
        <v>14</v>
      </c>
      <c r="I1907" t="s">
        <v>15</v>
      </c>
      <c r="J1907">
        <v>19</v>
      </c>
      <c r="K1907">
        <v>53331</v>
      </c>
      <c r="L1907">
        <f>Tabla24[[#This Row],[Precio_Unitario]]*Tabla24[[#This Row],[Unidades_Vendidas]]</f>
        <v>1013289</v>
      </c>
      <c r="M1907" t="s">
        <v>16</v>
      </c>
    </row>
    <row r="1908" spans="1:13" x14ac:dyDescent="0.25">
      <c r="A1908" t="s">
        <v>218</v>
      </c>
      <c r="B1908" t="str">
        <f>TEXT(Tabla24[[#This Row],[Fecha]],"dddd")</f>
        <v>lunes</v>
      </c>
      <c r="C1908" t="str">
        <f>TEXT(Tabla24[[#This Row],[Fecha]],"mmmm")</f>
        <v>marzo</v>
      </c>
      <c r="D1908" t="str">
        <f>TEXT(Tabla24[[#This Row],[Fecha]],"aaaa")</f>
        <v>2024</v>
      </c>
      <c r="E1908" t="s">
        <v>42</v>
      </c>
      <c r="F1908" t="s">
        <v>29</v>
      </c>
      <c r="G1908" t="s">
        <v>13</v>
      </c>
      <c r="H1908" t="s">
        <v>35</v>
      </c>
      <c r="I1908" t="s">
        <v>15</v>
      </c>
      <c r="J1908">
        <v>18</v>
      </c>
      <c r="K1908">
        <v>37211</v>
      </c>
      <c r="L1908">
        <f>Tabla24[[#This Row],[Precio_Unitario]]*Tabla24[[#This Row],[Unidades_Vendidas]]</f>
        <v>669798</v>
      </c>
      <c r="M1908" t="s">
        <v>36</v>
      </c>
    </row>
    <row r="1909" spans="1:13" x14ac:dyDescent="0.25">
      <c r="A1909" t="s">
        <v>64</v>
      </c>
      <c r="B1909" t="str">
        <f>TEXT(Tabla24[[#This Row],[Fecha]],"dddd")</f>
        <v>martes</v>
      </c>
      <c r="C1909" t="str">
        <f>TEXT(Tabla24[[#This Row],[Fecha]],"mmmm")</f>
        <v>octubre</v>
      </c>
      <c r="D1909" t="str">
        <f>TEXT(Tabla24[[#This Row],[Fecha]],"aaaa")</f>
        <v>2024</v>
      </c>
      <c r="E1909" t="s">
        <v>33</v>
      </c>
      <c r="F1909" t="s">
        <v>38</v>
      </c>
      <c r="G1909" t="s">
        <v>24</v>
      </c>
      <c r="H1909" t="s">
        <v>25</v>
      </c>
      <c r="I1909" t="s">
        <v>15</v>
      </c>
      <c r="J1909">
        <v>4</v>
      </c>
      <c r="K1909">
        <v>42154</v>
      </c>
      <c r="L1909">
        <f>Tabla24[[#This Row],[Precio_Unitario]]*Tabla24[[#This Row],[Unidades_Vendidas]]</f>
        <v>168616</v>
      </c>
      <c r="M1909" t="s">
        <v>16</v>
      </c>
    </row>
    <row r="1910" spans="1:13" x14ac:dyDescent="0.25">
      <c r="A1910" t="s">
        <v>353</v>
      </c>
      <c r="B1910" t="str">
        <f>TEXT(Tabla24[[#This Row],[Fecha]],"dddd")</f>
        <v>martes</v>
      </c>
      <c r="C1910" t="str">
        <f>TEXT(Tabla24[[#This Row],[Fecha]],"mmmm")</f>
        <v>junio</v>
      </c>
      <c r="D1910" t="str">
        <f>TEXT(Tabla24[[#This Row],[Fecha]],"aaaa")</f>
        <v>2024</v>
      </c>
      <c r="E1910" t="s">
        <v>42</v>
      </c>
      <c r="F1910" t="s">
        <v>38</v>
      </c>
      <c r="G1910" t="s">
        <v>13</v>
      </c>
      <c r="H1910" t="s">
        <v>14</v>
      </c>
      <c r="I1910" t="s">
        <v>15</v>
      </c>
      <c r="J1910">
        <v>14</v>
      </c>
      <c r="K1910">
        <v>51237</v>
      </c>
      <c r="L1910">
        <f>Tabla24[[#This Row],[Precio_Unitario]]*Tabla24[[#This Row],[Unidades_Vendidas]]</f>
        <v>717318</v>
      </c>
      <c r="M1910" t="s">
        <v>20</v>
      </c>
    </row>
    <row r="1911" spans="1:13" x14ac:dyDescent="0.25">
      <c r="A1911" t="s">
        <v>321</v>
      </c>
      <c r="B1911" t="str">
        <f>TEXT(Tabla24[[#This Row],[Fecha]],"dddd")</f>
        <v>sábado</v>
      </c>
      <c r="C1911" t="str">
        <f>TEXT(Tabla24[[#This Row],[Fecha]],"mmmm")</f>
        <v>noviembre</v>
      </c>
      <c r="D1911" t="str">
        <f>TEXT(Tabla24[[#This Row],[Fecha]],"aaaa")</f>
        <v>2024</v>
      </c>
      <c r="E1911" t="s">
        <v>42</v>
      </c>
      <c r="F1911" t="s">
        <v>38</v>
      </c>
      <c r="G1911" t="s">
        <v>44</v>
      </c>
      <c r="H1911" t="s">
        <v>25</v>
      </c>
      <c r="I1911" t="s">
        <v>40</v>
      </c>
      <c r="J1911">
        <v>14</v>
      </c>
      <c r="K1911">
        <v>22063</v>
      </c>
      <c r="L1911">
        <f>Tabla24[[#This Row],[Precio_Unitario]]*Tabla24[[#This Row],[Unidades_Vendidas]]</f>
        <v>308882</v>
      </c>
      <c r="M1911" t="s">
        <v>16</v>
      </c>
    </row>
    <row r="1912" spans="1:13" x14ac:dyDescent="0.25">
      <c r="A1912" t="s">
        <v>277</v>
      </c>
      <c r="B1912" t="str">
        <f>TEXT(Tabla24[[#This Row],[Fecha]],"dddd")</f>
        <v>miércoles</v>
      </c>
      <c r="C1912" t="str">
        <f>TEXT(Tabla24[[#This Row],[Fecha]],"mmmm")</f>
        <v>agosto</v>
      </c>
      <c r="D1912" t="str">
        <f>TEXT(Tabla24[[#This Row],[Fecha]],"aaaa")</f>
        <v>2024</v>
      </c>
      <c r="E1912" t="s">
        <v>33</v>
      </c>
      <c r="F1912" t="s">
        <v>34</v>
      </c>
      <c r="G1912" t="s">
        <v>48</v>
      </c>
      <c r="H1912" t="s">
        <v>35</v>
      </c>
      <c r="I1912" t="s">
        <v>15</v>
      </c>
      <c r="J1912">
        <v>14</v>
      </c>
      <c r="K1912">
        <v>26872</v>
      </c>
      <c r="L1912">
        <f>Tabla24[[#This Row],[Precio_Unitario]]*Tabla24[[#This Row],[Unidades_Vendidas]]</f>
        <v>376208</v>
      </c>
      <c r="M1912" t="s">
        <v>27</v>
      </c>
    </row>
    <row r="1913" spans="1:13" x14ac:dyDescent="0.25">
      <c r="A1913" t="s">
        <v>386</v>
      </c>
      <c r="B1913" t="str">
        <f>TEXT(Tabla24[[#This Row],[Fecha]],"dddd")</f>
        <v>lunes</v>
      </c>
      <c r="C1913" t="str">
        <f>TEXT(Tabla24[[#This Row],[Fecha]],"mmmm")</f>
        <v>mayo</v>
      </c>
      <c r="D1913" t="str">
        <f>TEXT(Tabla24[[#This Row],[Fecha]],"aaaa")</f>
        <v>2024</v>
      </c>
      <c r="E1913" t="s">
        <v>18</v>
      </c>
      <c r="F1913" t="s">
        <v>29</v>
      </c>
      <c r="G1913" t="s">
        <v>44</v>
      </c>
      <c r="H1913" t="s">
        <v>30</v>
      </c>
      <c r="I1913" t="s">
        <v>26</v>
      </c>
      <c r="J1913">
        <v>20</v>
      </c>
      <c r="K1913">
        <v>54924</v>
      </c>
      <c r="L1913">
        <f>Tabla24[[#This Row],[Precio_Unitario]]*Tabla24[[#This Row],[Unidades_Vendidas]]</f>
        <v>1098480</v>
      </c>
      <c r="M1913" t="s">
        <v>36</v>
      </c>
    </row>
    <row r="1914" spans="1:13" x14ac:dyDescent="0.25">
      <c r="A1914" t="s">
        <v>111</v>
      </c>
      <c r="B1914" t="str">
        <f>TEXT(Tabla24[[#This Row],[Fecha]],"dddd")</f>
        <v>jueves</v>
      </c>
      <c r="C1914" t="str">
        <f>TEXT(Tabla24[[#This Row],[Fecha]],"mmmm")</f>
        <v>abril</v>
      </c>
      <c r="D1914" t="str">
        <f>TEXT(Tabla24[[#This Row],[Fecha]],"aaaa")</f>
        <v>2024</v>
      </c>
      <c r="E1914" t="s">
        <v>33</v>
      </c>
      <c r="F1914" t="s">
        <v>29</v>
      </c>
      <c r="G1914" t="s">
        <v>48</v>
      </c>
      <c r="H1914" t="s">
        <v>19</v>
      </c>
      <c r="I1914" t="s">
        <v>15</v>
      </c>
      <c r="J1914">
        <v>18</v>
      </c>
      <c r="K1914">
        <v>43344</v>
      </c>
      <c r="L1914">
        <f>Tabla24[[#This Row],[Precio_Unitario]]*Tabla24[[#This Row],[Unidades_Vendidas]]</f>
        <v>780192</v>
      </c>
      <c r="M1914" t="s">
        <v>20</v>
      </c>
    </row>
    <row r="1915" spans="1:13" x14ac:dyDescent="0.25">
      <c r="A1915" t="s">
        <v>305</v>
      </c>
      <c r="B1915" t="str">
        <f>TEXT(Tabla24[[#This Row],[Fecha]],"dddd")</f>
        <v>viernes</v>
      </c>
      <c r="C1915" t="str">
        <f>TEXT(Tabla24[[#This Row],[Fecha]],"mmmm")</f>
        <v>septiembre</v>
      </c>
      <c r="D1915" t="str">
        <f>TEXT(Tabla24[[#This Row],[Fecha]],"aaaa")</f>
        <v>2024</v>
      </c>
      <c r="E1915" t="s">
        <v>22</v>
      </c>
      <c r="F1915" t="s">
        <v>38</v>
      </c>
      <c r="G1915" t="s">
        <v>13</v>
      </c>
      <c r="H1915" t="s">
        <v>14</v>
      </c>
      <c r="I1915" t="s">
        <v>26</v>
      </c>
      <c r="J1915">
        <v>6</v>
      </c>
      <c r="K1915">
        <v>34610</v>
      </c>
      <c r="L1915">
        <f>Tabla24[[#This Row],[Precio_Unitario]]*Tabla24[[#This Row],[Unidades_Vendidas]]</f>
        <v>207660</v>
      </c>
      <c r="M1915" t="s">
        <v>36</v>
      </c>
    </row>
    <row r="1916" spans="1:13" x14ac:dyDescent="0.25">
      <c r="A1916" t="s">
        <v>31</v>
      </c>
      <c r="B1916" t="str">
        <f>TEXT(Tabla24[[#This Row],[Fecha]],"dddd")</f>
        <v>miércoles</v>
      </c>
      <c r="C1916" t="str">
        <f>TEXT(Tabla24[[#This Row],[Fecha]],"mmmm")</f>
        <v>abril</v>
      </c>
      <c r="D1916" t="str">
        <f>TEXT(Tabla24[[#This Row],[Fecha]],"aaaa")</f>
        <v>2024</v>
      </c>
      <c r="E1916" t="s">
        <v>11</v>
      </c>
      <c r="F1916" t="s">
        <v>34</v>
      </c>
      <c r="G1916" t="s">
        <v>13</v>
      </c>
      <c r="H1916" t="s">
        <v>35</v>
      </c>
      <c r="I1916" t="s">
        <v>40</v>
      </c>
      <c r="J1916">
        <v>13</v>
      </c>
      <c r="K1916">
        <v>33497</v>
      </c>
      <c r="L1916">
        <f>Tabla24[[#This Row],[Precio_Unitario]]*Tabla24[[#This Row],[Unidades_Vendidas]]</f>
        <v>435461</v>
      </c>
      <c r="M1916" t="s">
        <v>27</v>
      </c>
    </row>
    <row r="1917" spans="1:13" x14ac:dyDescent="0.25">
      <c r="A1917" t="s">
        <v>65</v>
      </c>
      <c r="B1917" t="str">
        <f>TEXT(Tabla24[[#This Row],[Fecha]],"dddd")</f>
        <v>viernes</v>
      </c>
      <c r="C1917" t="str">
        <f>TEXT(Tabla24[[#This Row],[Fecha]],"mmmm")</f>
        <v>abril</v>
      </c>
      <c r="D1917" t="str">
        <f>TEXT(Tabla24[[#This Row],[Fecha]],"aaaa")</f>
        <v>2024</v>
      </c>
      <c r="E1917" t="s">
        <v>42</v>
      </c>
      <c r="F1917" t="s">
        <v>34</v>
      </c>
      <c r="G1917" t="s">
        <v>24</v>
      </c>
      <c r="H1917" t="s">
        <v>19</v>
      </c>
      <c r="I1917" t="s">
        <v>15</v>
      </c>
      <c r="J1917">
        <v>14</v>
      </c>
      <c r="K1917">
        <v>31594</v>
      </c>
      <c r="L1917">
        <f>Tabla24[[#This Row],[Precio_Unitario]]*Tabla24[[#This Row],[Unidades_Vendidas]]</f>
        <v>442316</v>
      </c>
      <c r="M1917" t="s">
        <v>27</v>
      </c>
    </row>
    <row r="1918" spans="1:13" x14ac:dyDescent="0.25">
      <c r="A1918" t="s">
        <v>236</v>
      </c>
      <c r="B1918" t="str">
        <f>TEXT(Tabla24[[#This Row],[Fecha]],"dddd")</f>
        <v>jueves</v>
      </c>
      <c r="C1918" t="str">
        <f>TEXT(Tabla24[[#This Row],[Fecha]],"mmmm")</f>
        <v>marzo</v>
      </c>
      <c r="D1918" t="str">
        <f>TEXT(Tabla24[[#This Row],[Fecha]],"aaaa")</f>
        <v>2024</v>
      </c>
      <c r="E1918" t="s">
        <v>33</v>
      </c>
      <c r="F1918" t="s">
        <v>29</v>
      </c>
      <c r="G1918" t="s">
        <v>24</v>
      </c>
      <c r="H1918" t="s">
        <v>25</v>
      </c>
      <c r="I1918" t="s">
        <v>15</v>
      </c>
      <c r="J1918">
        <v>11</v>
      </c>
      <c r="K1918">
        <v>22405</v>
      </c>
      <c r="L1918">
        <f>Tabla24[[#This Row],[Precio_Unitario]]*Tabla24[[#This Row],[Unidades_Vendidas]]</f>
        <v>246455</v>
      </c>
      <c r="M1918" t="s">
        <v>20</v>
      </c>
    </row>
    <row r="1919" spans="1:13" x14ac:dyDescent="0.25">
      <c r="A1919" t="s">
        <v>216</v>
      </c>
      <c r="B1919" t="str">
        <f>TEXT(Tabla24[[#This Row],[Fecha]],"dddd")</f>
        <v>martes</v>
      </c>
      <c r="C1919" t="str">
        <f>TEXT(Tabla24[[#This Row],[Fecha]],"mmmm")</f>
        <v>mayo</v>
      </c>
      <c r="D1919" t="str">
        <f>TEXT(Tabla24[[#This Row],[Fecha]],"aaaa")</f>
        <v>2024</v>
      </c>
      <c r="E1919" t="s">
        <v>18</v>
      </c>
      <c r="F1919" t="s">
        <v>38</v>
      </c>
      <c r="G1919" t="s">
        <v>24</v>
      </c>
      <c r="H1919" t="s">
        <v>30</v>
      </c>
      <c r="I1919" t="s">
        <v>26</v>
      </c>
      <c r="J1919">
        <v>2</v>
      </c>
      <c r="K1919">
        <v>42598</v>
      </c>
      <c r="L1919">
        <f>Tabla24[[#This Row],[Precio_Unitario]]*Tabla24[[#This Row],[Unidades_Vendidas]]</f>
        <v>85196</v>
      </c>
      <c r="M1919" t="s">
        <v>27</v>
      </c>
    </row>
    <row r="1920" spans="1:13" x14ac:dyDescent="0.25">
      <c r="A1920" t="s">
        <v>374</v>
      </c>
      <c r="B1920" t="str">
        <f>TEXT(Tabla24[[#This Row],[Fecha]],"dddd")</f>
        <v>domingo</v>
      </c>
      <c r="C1920" t="str">
        <f>TEXT(Tabla24[[#This Row],[Fecha]],"mmmm")</f>
        <v>octubre</v>
      </c>
      <c r="D1920" t="str">
        <f>TEXT(Tabla24[[#This Row],[Fecha]],"aaaa")</f>
        <v>2024</v>
      </c>
      <c r="E1920" t="s">
        <v>42</v>
      </c>
      <c r="F1920" t="s">
        <v>34</v>
      </c>
      <c r="G1920" t="s">
        <v>44</v>
      </c>
      <c r="H1920" t="s">
        <v>30</v>
      </c>
      <c r="I1920" t="s">
        <v>15</v>
      </c>
      <c r="J1920">
        <v>11</v>
      </c>
      <c r="K1920">
        <v>34013</v>
      </c>
      <c r="L1920">
        <f>Tabla24[[#This Row],[Precio_Unitario]]*Tabla24[[#This Row],[Unidades_Vendidas]]</f>
        <v>374143</v>
      </c>
      <c r="M1920" t="s">
        <v>16</v>
      </c>
    </row>
    <row r="1921" spans="1:13" x14ac:dyDescent="0.25">
      <c r="A1921" t="s">
        <v>330</v>
      </c>
      <c r="B1921" t="str">
        <f>TEXT(Tabla24[[#This Row],[Fecha]],"dddd")</f>
        <v>miércoles</v>
      </c>
      <c r="C1921" t="str">
        <f>TEXT(Tabla24[[#This Row],[Fecha]],"mmmm")</f>
        <v>agosto</v>
      </c>
      <c r="D1921" t="str">
        <f>TEXT(Tabla24[[#This Row],[Fecha]],"aaaa")</f>
        <v>2024</v>
      </c>
      <c r="E1921" t="s">
        <v>11</v>
      </c>
      <c r="F1921" t="s">
        <v>29</v>
      </c>
      <c r="G1921" t="s">
        <v>44</v>
      </c>
      <c r="H1921" t="s">
        <v>30</v>
      </c>
      <c r="I1921" t="s">
        <v>15</v>
      </c>
      <c r="J1921">
        <v>11</v>
      </c>
      <c r="K1921">
        <v>24347</v>
      </c>
      <c r="L1921">
        <f>Tabla24[[#This Row],[Precio_Unitario]]*Tabla24[[#This Row],[Unidades_Vendidas]]</f>
        <v>267817</v>
      </c>
      <c r="M1921" t="s">
        <v>20</v>
      </c>
    </row>
    <row r="1922" spans="1:13" x14ac:dyDescent="0.25">
      <c r="A1922" t="s">
        <v>312</v>
      </c>
      <c r="B1922" t="str">
        <f>TEXT(Tabla24[[#This Row],[Fecha]],"dddd")</f>
        <v>sábado</v>
      </c>
      <c r="C1922" t="str">
        <f>TEXT(Tabla24[[#This Row],[Fecha]],"mmmm")</f>
        <v>junio</v>
      </c>
      <c r="D1922" t="str">
        <f>TEXT(Tabla24[[#This Row],[Fecha]],"aaaa")</f>
        <v>2024</v>
      </c>
      <c r="E1922" t="s">
        <v>42</v>
      </c>
      <c r="F1922" t="s">
        <v>23</v>
      </c>
      <c r="G1922" t="s">
        <v>13</v>
      </c>
      <c r="H1922" t="s">
        <v>35</v>
      </c>
      <c r="I1922" t="s">
        <v>40</v>
      </c>
      <c r="J1922">
        <v>15</v>
      </c>
      <c r="K1922">
        <v>27356</v>
      </c>
      <c r="L1922">
        <f>Tabla24[[#This Row],[Precio_Unitario]]*Tabla24[[#This Row],[Unidades_Vendidas]]</f>
        <v>410340</v>
      </c>
      <c r="M1922" t="s">
        <v>16</v>
      </c>
    </row>
    <row r="1923" spans="1:13" x14ac:dyDescent="0.25">
      <c r="A1923" t="s">
        <v>392</v>
      </c>
      <c r="B1923" t="str">
        <f>TEXT(Tabla24[[#This Row],[Fecha]],"dddd")</f>
        <v>martes</v>
      </c>
      <c r="C1923" t="str">
        <f>TEXT(Tabla24[[#This Row],[Fecha]],"mmmm")</f>
        <v>diciembre</v>
      </c>
      <c r="D1923" t="str">
        <f>TEXT(Tabla24[[#This Row],[Fecha]],"aaaa")</f>
        <v>2024</v>
      </c>
      <c r="E1923" t="s">
        <v>11</v>
      </c>
      <c r="F1923" t="s">
        <v>23</v>
      </c>
      <c r="G1923" t="s">
        <v>44</v>
      </c>
      <c r="H1923" t="s">
        <v>35</v>
      </c>
      <c r="I1923" t="s">
        <v>26</v>
      </c>
      <c r="J1923">
        <v>7</v>
      </c>
      <c r="K1923">
        <v>17800</v>
      </c>
      <c r="L1923">
        <f>Tabla24[[#This Row],[Precio_Unitario]]*Tabla24[[#This Row],[Unidades_Vendidas]]</f>
        <v>124600</v>
      </c>
      <c r="M1923" t="s">
        <v>36</v>
      </c>
    </row>
    <row r="1924" spans="1:13" x14ac:dyDescent="0.25">
      <c r="A1924" t="s">
        <v>256</v>
      </c>
      <c r="B1924" t="str">
        <f>TEXT(Tabla24[[#This Row],[Fecha]],"dddd")</f>
        <v>martes</v>
      </c>
      <c r="C1924" t="str">
        <f>TEXT(Tabla24[[#This Row],[Fecha]],"mmmm")</f>
        <v>noviembre</v>
      </c>
      <c r="D1924" t="str">
        <f>TEXT(Tabla24[[#This Row],[Fecha]],"aaaa")</f>
        <v>2024</v>
      </c>
      <c r="E1924" t="s">
        <v>22</v>
      </c>
      <c r="F1924" t="s">
        <v>12</v>
      </c>
      <c r="G1924" t="s">
        <v>13</v>
      </c>
      <c r="H1924" t="s">
        <v>14</v>
      </c>
      <c r="I1924" t="s">
        <v>15</v>
      </c>
      <c r="J1924">
        <v>10</v>
      </c>
      <c r="K1924">
        <v>26920</v>
      </c>
      <c r="L1924">
        <f>Tabla24[[#This Row],[Precio_Unitario]]*Tabla24[[#This Row],[Unidades_Vendidas]]</f>
        <v>269200</v>
      </c>
      <c r="M1924" t="s">
        <v>36</v>
      </c>
    </row>
    <row r="1925" spans="1:13" x14ac:dyDescent="0.25">
      <c r="A1925" t="s">
        <v>313</v>
      </c>
      <c r="B1925" t="str">
        <f>TEXT(Tabla24[[#This Row],[Fecha]],"dddd")</f>
        <v>jueves</v>
      </c>
      <c r="C1925" t="str">
        <f>TEXT(Tabla24[[#This Row],[Fecha]],"mmmm")</f>
        <v>agosto</v>
      </c>
      <c r="D1925" t="str">
        <f>TEXT(Tabla24[[#This Row],[Fecha]],"aaaa")</f>
        <v>2024</v>
      </c>
      <c r="E1925" t="s">
        <v>18</v>
      </c>
      <c r="F1925" t="s">
        <v>29</v>
      </c>
      <c r="G1925" t="s">
        <v>44</v>
      </c>
      <c r="H1925" t="s">
        <v>30</v>
      </c>
      <c r="I1925" t="s">
        <v>40</v>
      </c>
      <c r="J1925">
        <v>6</v>
      </c>
      <c r="K1925">
        <v>59963</v>
      </c>
      <c r="L1925">
        <f>Tabla24[[#This Row],[Precio_Unitario]]*Tabla24[[#This Row],[Unidades_Vendidas]]</f>
        <v>359778</v>
      </c>
      <c r="M1925" t="s">
        <v>20</v>
      </c>
    </row>
    <row r="1926" spans="1:13" x14ac:dyDescent="0.25">
      <c r="A1926" t="s">
        <v>220</v>
      </c>
      <c r="B1926" t="str">
        <f>TEXT(Tabla24[[#This Row],[Fecha]],"dddd")</f>
        <v>lunes</v>
      </c>
      <c r="C1926" t="str">
        <f>TEXT(Tabla24[[#This Row],[Fecha]],"mmmm")</f>
        <v>enero</v>
      </c>
      <c r="D1926" t="str">
        <f>TEXT(Tabla24[[#This Row],[Fecha]],"aaaa")</f>
        <v>2024</v>
      </c>
      <c r="E1926" t="s">
        <v>42</v>
      </c>
      <c r="F1926" t="s">
        <v>23</v>
      </c>
      <c r="G1926" t="s">
        <v>44</v>
      </c>
      <c r="H1926" t="s">
        <v>14</v>
      </c>
      <c r="I1926" t="s">
        <v>40</v>
      </c>
      <c r="J1926">
        <v>13</v>
      </c>
      <c r="K1926">
        <v>53193</v>
      </c>
      <c r="L1926">
        <f>Tabla24[[#This Row],[Precio_Unitario]]*Tabla24[[#This Row],[Unidades_Vendidas]]</f>
        <v>691509</v>
      </c>
      <c r="M1926" t="s">
        <v>16</v>
      </c>
    </row>
    <row r="1927" spans="1:13" x14ac:dyDescent="0.25">
      <c r="A1927" t="s">
        <v>396</v>
      </c>
      <c r="B1927" t="str">
        <f>TEXT(Tabla24[[#This Row],[Fecha]],"dddd")</f>
        <v>viernes</v>
      </c>
      <c r="C1927" t="str">
        <f>TEXT(Tabla24[[#This Row],[Fecha]],"mmmm")</f>
        <v>mayo</v>
      </c>
      <c r="D1927" t="str">
        <f>TEXT(Tabla24[[#This Row],[Fecha]],"aaaa")</f>
        <v>2024</v>
      </c>
      <c r="E1927" t="s">
        <v>22</v>
      </c>
      <c r="F1927" t="s">
        <v>29</v>
      </c>
      <c r="G1927" t="s">
        <v>24</v>
      </c>
      <c r="H1927" t="s">
        <v>19</v>
      </c>
      <c r="I1927" t="s">
        <v>26</v>
      </c>
      <c r="J1927">
        <v>19</v>
      </c>
      <c r="K1927">
        <v>21127</v>
      </c>
      <c r="L1927">
        <f>Tabla24[[#This Row],[Precio_Unitario]]*Tabla24[[#This Row],[Unidades_Vendidas]]</f>
        <v>401413</v>
      </c>
      <c r="M1927" t="s">
        <v>36</v>
      </c>
    </row>
    <row r="1928" spans="1:13" x14ac:dyDescent="0.25">
      <c r="A1928" t="s">
        <v>46</v>
      </c>
      <c r="B1928" t="str">
        <f>TEXT(Tabla24[[#This Row],[Fecha]],"dddd")</f>
        <v>miércoles</v>
      </c>
      <c r="C1928" t="str">
        <f>TEXT(Tabla24[[#This Row],[Fecha]],"mmmm")</f>
        <v>marzo</v>
      </c>
      <c r="D1928" t="str">
        <f>TEXT(Tabla24[[#This Row],[Fecha]],"aaaa")</f>
        <v>2024</v>
      </c>
      <c r="E1928" t="s">
        <v>22</v>
      </c>
      <c r="F1928" t="s">
        <v>38</v>
      </c>
      <c r="G1928" t="s">
        <v>48</v>
      </c>
      <c r="H1928" t="s">
        <v>35</v>
      </c>
      <c r="I1928" t="s">
        <v>40</v>
      </c>
      <c r="J1928">
        <v>3</v>
      </c>
      <c r="K1928">
        <v>55138</v>
      </c>
      <c r="L1928">
        <f>Tabla24[[#This Row],[Precio_Unitario]]*Tabla24[[#This Row],[Unidades_Vendidas]]</f>
        <v>165414</v>
      </c>
      <c r="M1928" t="s">
        <v>36</v>
      </c>
    </row>
    <row r="1929" spans="1:13" x14ac:dyDescent="0.25">
      <c r="A1929" t="s">
        <v>291</v>
      </c>
      <c r="B1929" t="str">
        <f>TEXT(Tabla24[[#This Row],[Fecha]],"dddd")</f>
        <v>lunes</v>
      </c>
      <c r="C1929" t="str">
        <f>TEXT(Tabla24[[#This Row],[Fecha]],"mmmm")</f>
        <v>febrero</v>
      </c>
      <c r="D1929" t="str">
        <f>TEXT(Tabla24[[#This Row],[Fecha]],"aaaa")</f>
        <v>2024</v>
      </c>
      <c r="E1929" t="s">
        <v>18</v>
      </c>
      <c r="F1929" t="s">
        <v>38</v>
      </c>
      <c r="G1929" t="s">
        <v>13</v>
      </c>
      <c r="H1929" t="s">
        <v>14</v>
      </c>
      <c r="I1929" t="s">
        <v>15</v>
      </c>
      <c r="J1929">
        <v>9</v>
      </c>
      <c r="K1929">
        <v>57992</v>
      </c>
      <c r="L1929">
        <f>Tabla24[[#This Row],[Precio_Unitario]]*Tabla24[[#This Row],[Unidades_Vendidas]]</f>
        <v>521928</v>
      </c>
      <c r="M1929" t="s">
        <v>20</v>
      </c>
    </row>
    <row r="1930" spans="1:13" x14ac:dyDescent="0.25">
      <c r="A1930" t="s">
        <v>131</v>
      </c>
      <c r="B1930" t="str">
        <f>TEXT(Tabla24[[#This Row],[Fecha]],"dddd")</f>
        <v>lunes</v>
      </c>
      <c r="C1930" t="str">
        <f>TEXT(Tabla24[[#This Row],[Fecha]],"mmmm")</f>
        <v>octubre</v>
      </c>
      <c r="D1930" t="str">
        <f>TEXT(Tabla24[[#This Row],[Fecha]],"aaaa")</f>
        <v>2024</v>
      </c>
      <c r="E1930" t="s">
        <v>22</v>
      </c>
      <c r="F1930" t="s">
        <v>12</v>
      </c>
      <c r="G1930" t="s">
        <v>44</v>
      </c>
      <c r="H1930" t="s">
        <v>14</v>
      </c>
      <c r="I1930" t="s">
        <v>26</v>
      </c>
      <c r="J1930">
        <v>15</v>
      </c>
      <c r="K1930">
        <v>16307</v>
      </c>
      <c r="L1930">
        <f>Tabla24[[#This Row],[Precio_Unitario]]*Tabla24[[#This Row],[Unidades_Vendidas]]</f>
        <v>244605</v>
      </c>
      <c r="M1930" t="s">
        <v>36</v>
      </c>
    </row>
    <row r="1931" spans="1:13" x14ac:dyDescent="0.25">
      <c r="A1931" t="s">
        <v>341</v>
      </c>
      <c r="B1931" t="str">
        <f>TEXT(Tabla24[[#This Row],[Fecha]],"dddd")</f>
        <v>lunes</v>
      </c>
      <c r="C1931" t="str">
        <f>TEXT(Tabla24[[#This Row],[Fecha]],"mmmm")</f>
        <v>abril</v>
      </c>
      <c r="D1931" t="str">
        <f>TEXT(Tabla24[[#This Row],[Fecha]],"aaaa")</f>
        <v>2024</v>
      </c>
      <c r="E1931" t="s">
        <v>18</v>
      </c>
      <c r="F1931" t="s">
        <v>34</v>
      </c>
      <c r="G1931" t="s">
        <v>48</v>
      </c>
      <c r="H1931" t="s">
        <v>30</v>
      </c>
      <c r="I1931" t="s">
        <v>40</v>
      </c>
      <c r="J1931">
        <v>6</v>
      </c>
      <c r="K1931">
        <v>29767</v>
      </c>
      <c r="L1931">
        <f>Tabla24[[#This Row],[Precio_Unitario]]*Tabla24[[#This Row],[Unidades_Vendidas]]</f>
        <v>178602</v>
      </c>
      <c r="M1931" t="s">
        <v>20</v>
      </c>
    </row>
    <row r="1932" spans="1:13" x14ac:dyDescent="0.25">
      <c r="A1932" t="s">
        <v>291</v>
      </c>
      <c r="B1932" t="str">
        <f>TEXT(Tabla24[[#This Row],[Fecha]],"dddd")</f>
        <v>lunes</v>
      </c>
      <c r="C1932" t="str">
        <f>TEXT(Tabla24[[#This Row],[Fecha]],"mmmm")</f>
        <v>febrero</v>
      </c>
      <c r="D1932" t="str">
        <f>TEXT(Tabla24[[#This Row],[Fecha]],"aaaa")</f>
        <v>2024</v>
      </c>
      <c r="E1932" t="s">
        <v>18</v>
      </c>
      <c r="F1932" t="s">
        <v>34</v>
      </c>
      <c r="G1932" t="s">
        <v>39</v>
      </c>
      <c r="H1932" t="s">
        <v>35</v>
      </c>
      <c r="I1932" t="s">
        <v>40</v>
      </c>
      <c r="J1932">
        <v>6</v>
      </c>
      <c r="K1932">
        <v>19021</v>
      </c>
      <c r="L1932">
        <f>Tabla24[[#This Row],[Precio_Unitario]]*Tabla24[[#This Row],[Unidades_Vendidas]]</f>
        <v>114126</v>
      </c>
      <c r="M1932" t="s">
        <v>36</v>
      </c>
    </row>
    <row r="1933" spans="1:13" x14ac:dyDescent="0.25">
      <c r="A1933" t="s">
        <v>189</v>
      </c>
      <c r="B1933" t="str">
        <f>TEXT(Tabla24[[#This Row],[Fecha]],"dddd")</f>
        <v>sábado</v>
      </c>
      <c r="C1933" t="str">
        <f>TEXT(Tabla24[[#This Row],[Fecha]],"mmmm")</f>
        <v>abril</v>
      </c>
      <c r="D1933" t="str">
        <f>TEXT(Tabla24[[#This Row],[Fecha]],"aaaa")</f>
        <v>2024</v>
      </c>
      <c r="E1933" t="s">
        <v>33</v>
      </c>
      <c r="F1933" t="s">
        <v>38</v>
      </c>
      <c r="G1933" t="s">
        <v>39</v>
      </c>
      <c r="H1933" t="s">
        <v>35</v>
      </c>
      <c r="I1933" t="s">
        <v>15</v>
      </c>
      <c r="J1933">
        <v>3</v>
      </c>
      <c r="K1933">
        <v>38503</v>
      </c>
      <c r="L1933">
        <f>Tabla24[[#This Row],[Precio_Unitario]]*Tabla24[[#This Row],[Unidades_Vendidas]]</f>
        <v>115509</v>
      </c>
      <c r="M1933" t="s">
        <v>20</v>
      </c>
    </row>
    <row r="1934" spans="1:13" x14ac:dyDescent="0.25">
      <c r="A1934" t="s">
        <v>293</v>
      </c>
      <c r="B1934" t="str">
        <f>TEXT(Tabla24[[#This Row],[Fecha]],"dddd")</f>
        <v>jueves</v>
      </c>
      <c r="C1934" t="str">
        <f>TEXT(Tabla24[[#This Row],[Fecha]],"mmmm")</f>
        <v>mayo</v>
      </c>
      <c r="D1934" t="str">
        <f>TEXT(Tabla24[[#This Row],[Fecha]],"aaaa")</f>
        <v>2024</v>
      </c>
      <c r="E1934" t="s">
        <v>22</v>
      </c>
      <c r="F1934" t="s">
        <v>23</v>
      </c>
      <c r="G1934" t="s">
        <v>44</v>
      </c>
      <c r="H1934" t="s">
        <v>35</v>
      </c>
      <c r="I1934" t="s">
        <v>26</v>
      </c>
      <c r="J1934">
        <v>1</v>
      </c>
      <c r="K1934">
        <v>54238</v>
      </c>
      <c r="L1934">
        <f>Tabla24[[#This Row],[Precio_Unitario]]*Tabla24[[#This Row],[Unidades_Vendidas]]</f>
        <v>54238</v>
      </c>
      <c r="M1934" t="s">
        <v>36</v>
      </c>
    </row>
    <row r="1935" spans="1:13" x14ac:dyDescent="0.25">
      <c r="A1935" t="s">
        <v>71</v>
      </c>
      <c r="B1935" t="str">
        <f>TEXT(Tabla24[[#This Row],[Fecha]],"dddd")</f>
        <v>martes</v>
      </c>
      <c r="C1935" t="str">
        <f>TEXT(Tabla24[[#This Row],[Fecha]],"mmmm")</f>
        <v>julio</v>
      </c>
      <c r="D1935" t="str">
        <f>TEXT(Tabla24[[#This Row],[Fecha]],"aaaa")</f>
        <v>2024</v>
      </c>
      <c r="E1935" t="s">
        <v>42</v>
      </c>
      <c r="F1935" t="s">
        <v>29</v>
      </c>
      <c r="G1935" t="s">
        <v>44</v>
      </c>
      <c r="H1935" t="s">
        <v>35</v>
      </c>
      <c r="I1935" t="s">
        <v>15</v>
      </c>
      <c r="J1935">
        <v>4</v>
      </c>
      <c r="K1935">
        <v>41666</v>
      </c>
      <c r="L1935">
        <f>Tabla24[[#This Row],[Precio_Unitario]]*Tabla24[[#This Row],[Unidades_Vendidas]]</f>
        <v>166664</v>
      </c>
      <c r="M1935" t="s">
        <v>20</v>
      </c>
    </row>
    <row r="1936" spans="1:13" x14ac:dyDescent="0.25">
      <c r="A1936" t="s">
        <v>104</v>
      </c>
      <c r="B1936" t="str">
        <f>TEXT(Tabla24[[#This Row],[Fecha]],"dddd")</f>
        <v>domingo</v>
      </c>
      <c r="C1936" t="str">
        <f>TEXT(Tabla24[[#This Row],[Fecha]],"mmmm")</f>
        <v>octubre</v>
      </c>
      <c r="D1936" t="str">
        <f>TEXT(Tabla24[[#This Row],[Fecha]],"aaaa")</f>
        <v>2024</v>
      </c>
      <c r="E1936" t="s">
        <v>22</v>
      </c>
      <c r="F1936" t="s">
        <v>23</v>
      </c>
      <c r="G1936" t="s">
        <v>13</v>
      </c>
      <c r="H1936" t="s">
        <v>14</v>
      </c>
      <c r="I1936" t="s">
        <v>40</v>
      </c>
      <c r="J1936">
        <v>13</v>
      </c>
      <c r="K1936">
        <v>53625</v>
      </c>
      <c r="L1936">
        <f>Tabla24[[#This Row],[Precio_Unitario]]*Tabla24[[#This Row],[Unidades_Vendidas]]</f>
        <v>697125</v>
      </c>
      <c r="M1936" t="s">
        <v>20</v>
      </c>
    </row>
    <row r="1937" spans="1:13" x14ac:dyDescent="0.25">
      <c r="A1937" t="s">
        <v>164</v>
      </c>
      <c r="B1937" t="str">
        <f>TEXT(Tabla24[[#This Row],[Fecha]],"dddd")</f>
        <v>domingo</v>
      </c>
      <c r="C1937" t="str">
        <f>TEXT(Tabla24[[#This Row],[Fecha]],"mmmm")</f>
        <v>junio</v>
      </c>
      <c r="D1937" t="str">
        <f>TEXT(Tabla24[[#This Row],[Fecha]],"aaaa")</f>
        <v>2024</v>
      </c>
      <c r="E1937" t="s">
        <v>33</v>
      </c>
      <c r="F1937" t="s">
        <v>29</v>
      </c>
      <c r="G1937" t="s">
        <v>39</v>
      </c>
      <c r="H1937" t="s">
        <v>30</v>
      </c>
      <c r="I1937" t="s">
        <v>15</v>
      </c>
      <c r="J1937">
        <v>19</v>
      </c>
      <c r="K1937">
        <v>56890</v>
      </c>
      <c r="L1937">
        <f>Tabla24[[#This Row],[Precio_Unitario]]*Tabla24[[#This Row],[Unidades_Vendidas]]</f>
        <v>1080910</v>
      </c>
      <c r="M1937" t="s">
        <v>27</v>
      </c>
    </row>
    <row r="1938" spans="1:13" x14ac:dyDescent="0.25">
      <c r="A1938" t="s">
        <v>190</v>
      </c>
      <c r="B1938" t="str">
        <f>TEXT(Tabla24[[#This Row],[Fecha]],"dddd")</f>
        <v>sábado</v>
      </c>
      <c r="C1938" t="str">
        <f>TEXT(Tabla24[[#This Row],[Fecha]],"mmmm")</f>
        <v>agosto</v>
      </c>
      <c r="D1938" t="str">
        <f>TEXT(Tabla24[[#This Row],[Fecha]],"aaaa")</f>
        <v>2024</v>
      </c>
      <c r="E1938" t="s">
        <v>42</v>
      </c>
      <c r="F1938" t="s">
        <v>38</v>
      </c>
      <c r="G1938" t="s">
        <v>39</v>
      </c>
      <c r="H1938" t="s">
        <v>35</v>
      </c>
      <c r="I1938" t="s">
        <v>26</v>
      </c>
      <c r="J1938">
        <v>14</v>
      </c>
      <c r="K1938">
        <v>54264</v>
      </c>
      <c r="L1938">
        <f>Tabla24[[#This Row],[Precio_Unitario]]*Tabla24[[#This Row],[Unidades_Vendidas]]</f>
        <v>759696</v>
      </c>
      <c r="M1938" t="s">
        <v>16</v>
      </c>
    </row>
    <row r="1939" spans="1:13" x14ac:dyDescent="0.25">
      <c r="A1939" t="s">
        <v>55</v>
      </c>
      <c r="B1939" t="str">
        <f>TEXT(Tabla24[[#This Row],[Fecha]],"dddd")</f>
        <v>domingo</v>
      </c>
      <c r="C1939" t="str">
        <f>TEXT(Tabla24[[#This Row],[Fecha]],"mmmm")</f>
        <v>diciembre</v>
      </c>
      <c r="D1939" t="str">
        <f>TEXT(Tabla24[[#This Row],[Fecha]],"aaaa")</f>
        <v>2024</v>
      </c>
      <c r="E1939" t="s">
        <v>11</v>
      </c>
      <c r="F1939" t="s">
        <v>34</v>
      </c>
      <c r="G1939" t="s">
        <v>24</v>
      </c>
      <c r="H1939" t="s">
        <v>19</v>
      </c>
      <c r="I1939" t="s">
        <v>40</v>
      </c>
      <c r="J1939">
        <v>2</v>
      </c>
      <c r="K1939">
        <v>39767</v>
      </c>
      <c r="L1939">
        <f>Tabla24[[#This Row],[Precio_Unitario]]*Tabla24[[#This Row],[Unidades_Vendidas]]</f>
        <v>79534</v>
      </c>
      <c r="M1939" t="s">
        <v>27</v>
      </c>
    </row>
    <row r="1940" spans="1:13" x14ac:dyDescent="0.25">
      <c r="A1940" t="s">
        <v>131</v>
      </c>
      <c r="B1940" t="str">
        <f>TEXT(Tabla24[[#This Row],[Fecha]],"dddd")</f>
        <v>lunes</v>
      </c>
      <c r="C1940" t="str">
        <f>TEXT(Tabla24[[#This Row],[Fecha]],"mmmm")</f>
        <v>octubre</v>
      </c>
      <c r="D1940" t="str">
        <f>TEXT(Tabla24[[#This Row],[Fecha]],"aaaa")</f>
        <v>2024</v>
      </c>
      <c r="E1940" t="s">
        <v>11</v>
      </c>
      <c r="F1940" t="s">
        <v>38</v>
      </c>
      <c r="G1940" t="s">
        <v>48</v>
      </c>
      <c r="H1940" t="s">
        <v>25</v>
      </c>
      <c r="I1940" t="s">
        <v>26</v>
      </c>
      <c r="J1940">
        <v>5</v>
      </c>
      <c r="K1940">
        <v>30283</v>
      </c>
      <c r="L1940">
        <f>Tabla24[[#This Row],[Precio_Unitario]]*Tabla24[[#This Row],[Unidades_Vendidas]]</f>
        <v>151415</v>
      </c>
      <c r="M1940" t="s">
        <v>27</v>
      </c>
    </row>
    <row r="1941" spans="1:13" x14ac:dyDescent="0.25">
      <c r="A1941" t="s">
        <v>183</v>
      </c>
      <c r="B1941" t="str">
        <f>TEXT(Tabla24[[#This Row],[Fecha]],"dddd")</f>
        <v>sábado</v>
      </c>
      <c r="C1941" t="str">
        <f>TEXT(Tabla24[[#This Row],[Fecha]],"mmmm")</f>
        <v>noviembre</v>
      </c>
      <c r="D1941" t="str">
        <f>TEXT(Tabla24[[#This Row],[Fecha]],"aaaa")</f>
        <v>2024</v>
      </c>
      <c r="E1941" t="s">
        <v>18</v>
      </c>
      <c r="F1941" t="s">
        <v>34</v>
      </c>
      <c r="G1941" t="s">
        <v>44</v>
      </c>
      <c r="H1941" t="s">
        <v>35</v>
      </c>
      <c r="I1941" t="s">
        <v>40</v>
      </c>
      <c r="J1941">
        <v>11</v>
      </c>
      <c r="K1941">
        <v>16078</v>
      </c>
      <c r="L1941">
        <f>Tabla24[[#This Row],[Precio_Unitario]]*Tabla24[[#This Row],[Unidades_Vendidas]]</f>
        <v>176858</v>
      </c>
      <c r="M1941" t="s">
        <v>16</v>
      </c>
    </row>
    <row r="1942" spans="1:13" x14ac:dyDescent="0.25">
      <c r="A1942" t="s">
        <v>115</v>
      </c>
      <c r="B1942" t="str">
        <f>TEXT(Tabla24[[#This Row],[Fecha]],"dddd")</f>
        <v>lunes</v>
      </c>
      <c r="C1942" t="str">
        <f>TEXT(Tabla24[[#This Row],[Fecha]],"mmmm")</f>
        <v>agosto</v>
      </c>
      <c r="D1942" t="str">
        <f>TEXT(Tabla24[[#This Row],[Fecha]],"aaaa")</f>
        <v>2024</v>
      </c>
      <c r="E1942" t="s">
        <v>18</v>
      </c>
      <c r="F1942" t="s">
        <v>34</v>
      </c>
      <c r="G1942" t="s">
        <v>44</v>
      </c>
      <c r="H1942" t="s">
        <v>25</v>
      </c>
      <c r="I1942" t="s">
        <v>40</v>
      </c>
      <c r="J1942">
        <v>17</v>
      </c>
      <c r="K1942">
        <v>23209</v>
      </c>
      <c r="L1942">
        <f>Tabla24[[#This Row],[Precio_Unitario]]*Tabla24[[#This Row],[Unidades_Vendidas]]</f>
        <v>394553</v>
      </c>
      <c r="M1942" t="s">
        <v>36</v>
      </c>
    </row>
    <row r="1943" spans="1:13" x14ac:dyDescent="0.25">
      <c r="A1943" t="s">
        <v>111</v>
      </c>
      <c r="B1943" t="str">
        <f>TEXT(Tabla24[[#This Row],[Fecha]],"dddd")</f>
        <v>jueves</v>
      </c>
      <c r="C1943" t="str">
        <f>TEXT(Tabla24[[#This Row],[Fecha]],"mmmm")</f>
        <v>abril</v>
      </c>
      <c r="D1943" t="str">
        <f>TEXT(Tabla24[[#This Row],[Fecha]],"aaaa")</f>
        <v>2024</v>
      </c>
      <c r="E1943" t="s">
        <v>18</v>
      </c>
      <c r="F1943" t="s">
        <v>34</v>
      </c>
      <c r="G1943" t="s">
        <v>44</v>
      </c>
      <c r="H1943" t="s">
        <v>30</v>
      </c>
      <c r="I1943" t="s">
        <v>40</v>
      </c>
      <c r="J1943">
        <v>16</v>
      </c>
      <c r="K1943">
        <v>16486</v>
      </c>
      <c r="L1943">
        <f>Tabla24[[#This Row],[Precio_Unitario]]*Tabla24[[#This Row],[Unidades_Vendidas]]</f>
        <v>263776</v>
      </c>
      <c r="M1943" t="s">
        <v>27</v>
      </c>
    </row>
    <row r="1944" spans="1:13" x14ac:dyDescent="0.25">
      <c r="A1944" t="s">
        <v>210</v>
      </c>
      <c r="B1944" t="str">
        <f>TEXT(Tabla24[[#This Row],[Fecha]],"dddd")</f>
        <v>sábado</v>
      </c>
      <c r="C1944" t="str">
        <f>TEXT(Tabla24[[#This Row],[Fecha]],"mmmm")</f>
        <v>agosto</v>
      </c>
      <c r="D1944" t="str">
        <f>TEXT(Tabla24[[#This Row],[Fecha]],"aaaa")</f>
        <v>2024</v>
      </c>
      <c r="E1944" t="s">
        <v>18</v>
      </c>
      <c r="F1944" t="s">
        <v>29</v>
      </c>
      <c r="G1944" t="s">
        <v>48</v>
      </c>
      <c r="H1944" t="s">
        <v>19</v>
      </c>
      <c r="I1944" t="s">
        <v>26</v>
      </c>
      <c r="J1944">
        <v>4</v>
      </c>
      <c r="K1944">
        <v>48835</v>
      </c>
      <c r="L1944">
        <f>Tabla24[[#This Row],[Precio_Unitario]]*Tabla24[[#This Row],[Unidades_Vendidas]]</f>
        <v>195340</v>
      </c>
      <c r="M1944" t="s">
        <v>20</v>
      </c>
    </row>
    <row r="1945" spans="1:13" x14ac:dyDescent="0.25">
      <c r="A1945" t="s">
        <v>162</v>
      </c>
      <c r="B1945" t="str">
        <f>TEXT(Tabla24[[#This Row],[Fecha]],"dddd")</f>
        <v>viernes</v>
      </c>
      <c r="C1945" t="str">
        <f>TEXT(Tabla24[[#This Row],[Fecha]],"mmmm")</f>
        <v>mayo</v>
      </c>
      <c r="D1945" t="str">
        <f>TEXT(Tabla24[[#This Row],[Fecha]],"aaaa")</f>
        <v>2024</v>
      </c>
      <c r="E1945" t="s">
        <v>33</v>
      </c>
      <c r="F1945" t="s">
        <v>12</v>
      </c>
      <c r="G1945" t="s">
        <v>48</v>
      </c>
      <c r="H1945" t="s">
        <v>35</v>
      </c>
      <c r="I1945" t="s">
        <v>40</v>
      </c>
      <c r="J1945">
        <v>3</v>
      </c>
      <c r="K1945">
        <v>37479</v>
      </c>
      <c r="L1945">
        <f>Tabla24[[#This Row],[Precio_Unitario]]*Tabla24[[#This Row],[Unidades_Vendidas]]</f>
        <v>112437</v>
      </c>
      <c r="M1945" t="s">
        <v>36</v>
      </c>
    </row>
    <row r="1946" spans="1:13" x14ac:dyDescent="0.25">
      <c r="A1946" t="s">
        <v>302</v>
      </c>
      <c r="B1946" t="str">
        <f>TEXT(Tabla24[[#This Row],[Fecha]],"dddd")</f>
        <v>viernes</v>
      </c>
      <c r="C1946" t="str">
        <f>TEXT(Tabla24[[#This Row],[Fecha]],"mmmm")</f>
        <v>diciembre</v>
      </c>
      <c r="D1946" t="str">
        <f>TEXT(Tabla24[[#This Row],[Fecha]],"aaaa")</f>
        <v>2024</v>
      </c>
      <c r="E1946" t="s">
        <v>42</v>
      </c>
      <c r="F1946" t="s">
        <v>23</v>
      </c>
      <c r="G1946" t="s">
        <v>24</v>
      </c>
      <c r="H1946" t="s">
        <v>35</v>
      </c>
      <c r="I1946" t="s">
        <v>40</v>
      </c>
      <c r="J1946">
        <v>5</v>
      </c>
      <c r="K1946">
        <v>52549</v>
      </c>
      <c r="L1946">
        <f>Tabla24[[#This Row],[Precio_Unitario]]*Tabla24[[#This Row],[Unidades_Vendidas]]</f>
        <v>262745</v>
      </c>
      <c r="M1946" t="s">
        <v>20</v>
      </c>
    </row>
    <row r="1947" spans="1:13" x14ac:dyDescent="0.25">
      <c r="A1947" t="s">
        <v>393</v>
      </c>
      <c r="B1947" t="str">
        <f>TEXT(Tabla24[[#This Row],[Fecha]],"dddd")</f>
        <v>domingo</v>
      </c>
      <c r="C1947" t="str">
        <f>TEXT(Tabla24[[#This Row],[Fecha]],"mmmm")</f>
        <v>abril</v>
      </c>
      <c r="D1947" t="str">
        <f>TEXT(Tabla24[[#This Row],[Fecha]],"aaaa")</f>
        <v>2024</v>
      </c>
      <c r="E1947" t="s">
        <v>18</v>
      </c>
      <c r="F1947" t="s">
        <v>23</v>
      </c>
      <c r="G1947" t="s">
        <v>24</v>
      </c>
      <c r="H1947" t="s">
        <v>14</v>
      </c>
      <c r="I1947" t="s">
        <v>26</v>
      </c>
      <c r="J1947">
        <v>19</v>
      </c>
      <c r="K1947">
        <v>40744</v>
      </c>
      <c r="L1947">
        <f>Tabla24[[#This Row],[Precio_Unitario]]*Tabla24[[#This Row],[Unidades_Vendidas]]</f>
        <v>774136</v>
      </c>
      <c r="M1947" t="s">
        <v>27</v>
      </c>
    </row>
    <row r="1948" spans="1:13" x14ac:dyDescent="0.25">
      <c r="A1948" t="s">
        <v>340</v>
      </c>
      <c r="B1948" t="str">
        <f>TEXT(Tabla24[[#This Row],[Fecha]],"dddd")</f>
        <v>martes</v>
      </c>
      <c r="C1948" t="str">
        <f>TEXT(Tabla24[[#This Row],[Fecha]],"mmmm")</f>
        <v>mayo</v>
      </c>
      <c r="D1948" t="str">
        <f>TEXT(Tabla24[[#This Row],[Fecha]],"aaaa")</f>
        <v>2024</v>
      </c>
      <c r="E1948" t="s">
        <v>11</v>
      </c>
      <c r="F1948" t="s">
        <v>38</v>
      </c>
      <c r="G1948" t="s">
        <v>48</v>
      </c>
      <c r="H1948" t="s">
        <v>14</v>
      </c>
      <c r="I1948" t="s">
        <v>26</v>
      </c>
      <c r="J1948">
        <v>15</v>
      </c>
      <c r="K1948">
        <v>15800</v>
      </c>
      <c r="L1948">
        <f>Tabla24[[#This Row],[Precio_Unitario]]*Tabla24[[#This Row],[Unidades_Vendidas]]</f>
        <v>237000</v>
      </c>
      <c r="M1948" t="s">
        <v>16</v>
      </c>
    </row>
    <row r="1949" spans="1:13" x14ac:dyDescent="0.25">
      <c r="A1949" t="s">
        <v>300</v>
      </c>
      <c r="B1949" t="str">
        <f>TEXT(Tabla24[[#This Row],[Fecha]],"dddd")</f>
        <v>martes</v>
      </c>
      <c r="C1949" t="str">
        <f>TEXT(Tabla24[[#This Row],[Fecha]],"mmmm")</f>
        <v>febrero</v>
      </c>
      <c r="D1949" t="str">
        <f>TEXT(Tabla24[[#This Row],[Fecha]],"aaaa")</f>
        <v>2024</v>
      </c>
      <c r="E1949" t="s">
        <v>11</v>
      </c>
      <c r="F1949" t="s">
        <v>29</v>
      </c>
      <c r="G1949" t="s">
        <v>48</v>
      </c>
      <c r="H1949" t="s">
        <v>19</v>
      </c>
      <c r="I1949" t="s">
        <v>15</v>
      </c>
      <c r="J1949">
        <v>15</v>
      </c>
      <c r="K1949">
        <v>48510</v>
      </c>
      <c r="L1949">
        <f>Tabla24[[#This Row],[Precio_Unitario]]*Tabla24[[#This Row],[Unidades_Vendidas]]</f>
        <v>727650</v>
      </c>
      <c r="M1949" t="s">
        <v>27</v>
      </c>
    </row>
    <row r="1950" spans="1:13" x14ac:dyDescent="0.25">
      <c r="A1950" t="s">
        <v>82</v>
      </c>
      <c r="B1950" t="str">
        <f>TEXT(Tabla24[[#This Row],[Fecha]],"dddd")</f>
        <v>viernes</v>
      </c>
      <c r="C1950" t="str">
        <f>TEXT(Tabla24[[#This Row],[Fecha]],"mmmm")</f>
        <v>junio</v>
      </c>
      <c r="D1950" t="str">
        <f>TEXT(Tabla24[[#This Row],[Fecha]],"aaaa")</f>
        <v>2024</v>
      </c>
      <c r="E1950" t="s">
        <v>22</v>
      </c>
      <c r="F1950" t="s">
        <v>38</v>
      </c>
      <c r="G1950" t="s">
        <v>39</v>
      </c>
      <c r="H1950" t="s">
        <v>25</v>
      </c>
      <c r="I1950" t="s">
        <v>15</v>
      </c>
      <c r="J1950">
        <v>1</v>
      </c>
      <c r="K1950">
        <v>36072</v>
      </c>
      <c r="L1950">
        <f>Tabla24[[#This Row],[Precio_Unitario]]*Tabla24[[#This Row],[Unidades_Vendidas]]</f>
        <v>36072</v>
      </c>
      <c r="M1950" t="s">
        <v>20</v>
      </c>
    </row>
    <row r="1951" spans="1:13" x14ac:dyDescent="0.25">
      <c r="A1951" t="s">
        <v>272</v>
      </c>
      <c r="B1951" t="str">
        <f>TEXT(Tabla24[[#This Row],[Fecha]],"dddd")</f>
        <v>lunes</v>
      </c>
      <c r="C1951" t="str">
        <f>TEXT(Tabla24[[#This Row],[Fecha]],"mmmm")</f>
        <v>abril</v>
      </c>
      <c r="D1951" t="str">
        <f>TEXT(Tabla24[[#This Row],[Fecha]],"aaaa")</f>
        <v>2024</v>
      </c>
      <c r="E1951" t="s">
        <v>22</v>
      </c>
      <c r="F1951" t="s">
        <v>38</v>
      </c>
      <c r="G1951" t="s">
        <v>13</v>
      </c>
      <c r="H1951" t="s">
        <v>35</v>
      </c>
      <c r="I1951" t="s">
        <v>15</v>
      </c>
      <c r="J1951">
        <v>7</v>
      </c>
      <c r="K1951">
        <v>25751</v>
      </c>
      <c r="L1951">
        <f>Tabla24[[#This Row],[Precio_Unitario]]*Tabla24[[#This Row],[Unidades_Vendidas]]</f>
        <v>180257</v>
      </c>
      <c r="M1951" t="s">
        <v>27</v>
      </c>
    </row>
    <row r="1952" spans="1:13" x14ac:dyDescent="0.25">
      <c r="A1952" t="s">
        <v>345</v>
      </c>
      <c r="B1952" t="str">
        <f>TEXT(Tabla24[[#This Row],[Fecha]],"dddd")</f>
        <v>domingo</v>
      </c>
      <c r="C1952" t="str">
        <f>TEXT(Tabla24[[#This Row],[Fecha]],"mmmm")</f>
        <v>septiembre</v>
      </c>
      <c r="D1952" t="str">
        <f>TEXT(Tabla24[[#This Row],[Fecha]],"aaaa")</f>
        <v>2024</v>
      </c>
      <c r="E1952" t="s">
        <v>42</v>
      </c>
      <c r="F1952" t="s">
        <v>29</v>
      </c>
      <c r="G1952" t="s">
        <v>44</v>
      </c>
      <c r="H1952" t="s">
        <v>25</v>
      </c>
      <c r="I1952" t="s">
        <v>40</v>
      </c>
      <c r="J1952">
        <v>18</v>
      </c>
      <c r="K1952">
        <v>32249</v>
      </c>
      <c r="L1952">
        <f>Tabla24[[#This Row],[Precio_Unitario]]*Tabla24[[#This Row],[Unidades_Vendidas]]</f>
        <v>580482</v>
      </c>
      <c r="M1952" t="s">
        <v>20</v>
      </c>
    </row>
    <row r="1953" spans="1:13" x14ac:dyDescent="0.25">
      <c r="A1953" t="s">
        <v>281</v>
      </c>
      <c r="B1953" t="str">
        <f>TEXT(Tabla24[[#This Row],[Fecha]],"dddd")</f>
        <v>sábado</v>
      </c>
      <c r="C1953" t="str">
        <f>TEXT(Tabla24[[#This Row],[Fecha]],"mmmm")</f>
        <v>enero</v>
      </c>
      <c r="D1953" t="str">
        <f>TEXT(Tabla24[[#This Row],[Fecha]],"aaaa")</f>
        <v>2024</v>
      </c>
      <c r="E1953" t="s">
        <v>18</v>
      </c>
      <c r="F1953" t="s">
        <v>12</v>
      </c>
      <c r="G1953" t="s">
        <v>44</v>
      </c>
      <c r="H1953" t="s">
        <v>35</v>
      </c>
      <c r="I1953" t="s">
        <v>26</v>
      </c>
      <c r="J1953">
        <v>16</v>
      </c>
      <c r="K1953">
        <v>38885</v>
      </c>
      <c r="L1953">
        <f>Tabla24[[#This Row],[Precio_Unitario]]*Tabla24[[#This Row],[Unidades_Vendidas]]</f>
        <v>622160</v>
      </c>
      <c r="M1953" t="s">
        <v>20</v>
      </c>
    </row>
    <row r="1954" spans="1:13" x14ac:dyDescent="0.25">
      <c r="A1954" t="s">
        <v>335</v>
      </c>
      <c r="B1954" t="str">
        <f>TEXT(Tabla24[[#This Row],[Fecha]],"dddd")</f>
        <v>miércoles</v>
      </c>
      <c r="C1954" t="str">
        <f>TEXT(Tabla24[[#This Row],[Fecha]],"mmmm")</f>
        <v>mayo</v>
      </c>
      <c r="D1954" t="str">
        <f>TEXT(Tabla24[[#This Row],[Fecha]],"aaaa")</f>
        <v>2024</v>
      </c>
      <c r="E1954" t="s">
        <v>11</v>
      </c>
      <c r="F1954" t="s">
        <v>38</v>
      </c>
      <c r="G1954" t="s">
        <v>48</v>
      </c>
      <c r="H1954" t="s">
        <v>30</v>
      </c>
      <c r="I1954" t="s">
        <v>40</v>
      </c>
      <c r="J1954">
        <v>18</v>
      </c>
      <c r="K1954">
        <v>17826</v>
      </c>
      <c r="L1954">
        <f>Tabla24[[#This Row],[Precio_Unitario]]*Tabla24[[#This Row],[Unidades_Vendidas]]</f>
        <v>320868</v>
      </c>
      <c r="M1954" t="s">
        <v>16</v>
      </c>
    </row>
    <row r="1955" spans="1:13" x14ac:dyDescent="0.25">
      <c r="A1955" t="s">
        <v>41</v>
      </c>
      <c r="B1955" t="str">
        <f>TEXT(Tabla24[[#This Row],[Fecha]],"dddd")</f>
        <v>miércoles</v>
      </c>
      <c r="C1955" t="str">
        <f>TEXT(Tabla24[[#This Row],[Fecha]],"mmmm")</f>
        <v>marzo</v>
      </c>
      <c r="D1955" t="str">
        <f>TEXT(Tabla24[[#This Row],[Fecha]],"aaaa")</f>
        <v>2024</v>
      </c>
      <c r="E1955" t="s">
        <v>22</v>
      </c>
      <c r="F1955" t="s">
        <v>38</v>
      </c>
      <c r="G1955" t="s">
        <v>44</v>
      </c>
      <c r="H1955" t="s">
        <v>19</v>
      </c>
      <c r="I1955" t="s">
        <v>15</v>
      </c>
      <c r="J1955">
        <v>13</v>
      </c>
      <c r="K1955">
        <v>45284</v>
      </c>
      <c r="L1955">
        <f>Tabla24[[#This Row],[Precio_Unitario]]*Tabla24[[#This Row],[Unidades_Vendidas]]</f>
        <v>588692</v>
      </c>
      <c r="M1955" t="s">
        <v>36</v>
      </c>
    </row>
    <row r="1956" spans="1:13" x14ac:dyDescent="0.25">
      <c r="A1956" t="s">
        <v>141</v>
      </c>
      <c r="B1956" t="str">
        <f>TEXT(Tabla24[[#This Row],[Fecha]],"dddd")</f>
        <v>lunes</v>
      </c>
      <c r="C1956" t="str">
        <f>TEXT(Tabla24[[#This Row],[Fecha]],"mmmm")</f>
        <v>septiembre</v>
      </c>
      <c r="D1956" t="str">
        <f>TEXT(Tabla24[[#This Row],[Fecha]],"aaaa")</f>
        <v>2024</v>
      </c>
      <c r="E1956" t="s">
        <v>11</v>
      </c>
      <c r="F1956" t="s">
        <v>29</v>
      </c>
      <c r="G1956" t="s">
        <v>13</v>
      </c>
      <c r="H1956" t="s">
        <v>25</v>
      </c>
      <c r="I1956" t="s">
        <v>40</v>
      </c>
      <c r="J1956">
        <v>14</v>
      </c>
      <c r="K1956">
        <v>31625</v>
      </c>
      <c r="L1956">
        <f>Tabla24[[#This Row],[Precio_Unitario]]*Tabla24[[#This Row],[Unidades_Vendidas]]</f>
        <v>442750</v>
      </c>
      <c r="M1956" t="s">
        <v>20</v>
      </c>
    </row>
    <row r="1957" spans="1:13" x14ac:dyDescent="0.25">
      <c r="A1957" t="s">
        <v>193</v>
      </c>
      <c r="B1957" t="str">
        <f>TEXT(Tabla24[[#This Row],[Fecha]],"dddd")</f>
        <v>miércoles</v>
      </c>
      <c r="C1957" t="str">
        <f>TEXT(Tabla24[[#This Row],[Fecha]],"mmmm")</f>
        <v>junio</v>
      </c>
      <c r="D1957" t="str">
        <f>TEXT(Tabla24[[#This Row],[Fecha]],"aaaa")</f>
        <v>2024</v>
      </c>
      <c r="E1957" t="s">
        <v>22</v>
      </c>
      <c r="F1957" t="s">
        <v>29</v>
      </c>
      <c r="G1957" t="s">
        <v>24</v>
      </c>
      <c r="H1957" t="s">
        <v>14</v>
      </c>
      <c r="I1957" t="s">
        <v>26</v>
      </c>
      <c r="J1957">
        <v>7</v>
      </c>
      <c r="K1957">
        <v>41326</v>
      </c>
      <c r="L1957">
        <f>Tabla24[[#This Row],[Precio_Unitario]]*Tabla24[[#This Row],[Unidades_Vendidas]]</f>
        <v>289282</v>
      </c>
      <c r="M1957" t="s">
        <v>20</v>
      </c>
    </row>
    <row r="1958" spans="1:13" x14ac:dyDescent="0.25">
      <c r="A1958" t="s">
        <v>200</v>
      </c>
      <c r="B1958" t="str">
        <f>TEXT(Tabla24[[#This Row],[Fecha]],"dddd")</f>
        <v>sábado</v>
      </c>
      <c r="C1958" t="str">
        <f>TEXT(Tabla24[[#This Row],[Fecha]],"mmmm")</f>
        <v>octubre</v>
      </c>
      <c r="D1958" t="str">
        <f>TEXT(Tabla24[[#This Row],[Fecha]],"aaaa")</f>
        <v>2024</v>
      </c>
      <c r="E1958" t="s">
        <v>22</v>
      </c>
      <c r="F1958" t="s">
        <v>12</v>
      </c>
      <c r="G1958" t="s">
        <v>24</v>
      </c>
      <c r="H1958" t="s">
        <v>30</v>
      </c>
      <c r="I1958" t="s">
        <v>40</v>
      </c>
      <c r="J1958">
        <v>10</v>
      </c>
      <c r="K1958">
        <v>20856</v>
      </c>
      <c r="L1958">
        <f>Tabla24[[#This Row],[Precio_Unitario]]*Tabla24[[#This Row],[Unidades_Vendidas]]</f>
        <v>208560</v>
      </c>
      <c r="M1958" t="s">
        <v>36</v>
      </c>
    </row>
    <row r="1959" spans="1:13" x14ac:dyDescent="0.25">
      <c r="A1959" t="s">
        <v>88</v>
      </c>
      <c r="B1959" t="str">
        <f>TEXT(Tabla24[[#This Row],[Fecha]],"dddd")</f>
        <v>miércoles</v>
      </c>
      <c r="C1959" t="str">
        <f>TEXT(Tabla24[[#This Row],[Fecha]],"mmmm")</f>
        <v>enero</v>
      </c>
      <c r="D1959" t="str">
        <f>TEXT(Tabla24[[#This Row],[Fecha]],"aaaa")</f>
        <v>2024</v>
      </c>
      <c r="E1959" t="s">
        <v>11</v>
      </c>
      <c r="F1959" t="s">
        <v>38</v>
      </c>
      <c r="G1959" t="s">
        <v>39</v>
      </c>
      <c r="H1959" t="s">
        <v>25</v>
      </c>
      <c r="I1959" t="s">
        <v>40</v>
      </c>
      <c r="J1959">
        <v>19</v>
      </c>
      <c r="K1959">
        <v>59802</v>
      </c>
      <c r="L1959">
        <f>Tabla24[[#This Row],[Precio_Unitario]]*Tabla24[[#This Row],[Unidades_Vendidas]]</f>
        <v>1136238</v>
      </c>
      <c r="M1959" t="s">
        <v>36</v>
      </c>
    </row>
    <row r="1960" spans="1:13" x14ac:dyDescent="0.25">
      <c r="A1960" t="s">
        <v>369</v>
      </c>
      <c r="B1960" t="str">
        <f>TEXT(Tabla24[[#This Row],[Fecha]],"dddd")</f>
        <v>jueves</v>
      </c>
      <c r="C1960" t="str">
        <f>TEXT(Tabla24[[#This Row],[Fecha]],"mmmm")</f>
        <v>enero</v>
      </c>
      <c r="D1960" t="str">
        <f>TEXT(Tabla24[[#This Row],[Fecha]],"aaaa")</f>
        <v>2024</v>
      </c>
      <c r="E1960" t="s">
        <v>18</v>
      </c>
      <c r="F1960" t="s">
        <v>23</v>
      </c>
      <c r="G1960" t="s">
        <v>44</v>
      </c>
      <c r="H1960" t="s">
        <v>19</v>
      </c>
      <c r="I1960" t="s">
        <v>15</v>
      </c>
      <c r="J1960">
        <v>7</v>
      </c>
      <c r="K1960">
        <v>44926</v>
      </c>
      <c r="L1960">
        <f>Tabla24[[#This Row],[Precio_Unitario]]*Tabla24[[#This Row],[Unidades_Vendidas]]</f>
        <v>314482</v>
      </c>
      <c r="M1960" t="s">
        <v>16</v>
      </c>
    </row>
    <row r="1961" spans="1:13" x14ac:dyDescent="0.25">
      <c r="A1961" t="s">
        <v>104</v>
      </c>
      <c r="B1961" t="str">
        <f>TEXT(Tabla24[[#This Row],[Fecha]],"dddd")</f>
        <v>domingo</v>
      </c>
      <c r="C1961" t="str">
        <f>TEXT(Tabla24[[#This Row],[Fecha]],"mmmm")</f>
        <v>octubre</v>
      </c>
      <c r="D1961" t="str">
        <f>TEXT(Tabla24[[#This Row],[Fecha]],"aaaa")</f>
        <v>2024</v>
      </c>
      <c r="E1961" t="s">
        <v>18</v>
      </c>
      <c r="F1961" t="s">
        <v>34</v>
      </c>
      <c r="G1961" t="s">
        <v>13</v>
      </c>
      <c r="H1961" t="s">
        <v>14</v>
      </c>
      <c r="I1961" t="s">
        <v>26</v>
      </c>
      <c r="J1961">
        <v>11</v>
      </c>
      <c r="K1961">
        <v>48381</v>
      </c>
      <c r="L1961">
        <f>Tabla24[[#This Row],[Precio_Unitario]]*Tabla24[[#This Row],[Unidades_Vendidas]]</f>
        <v>532191</v>
      </c>
      <c r="M1961" t="s">
        <v>16</v>
      </c>
    </row>
    <row r="1962" spans="1:13" x14ac:dyDescent="0.25">
      <c r="A1962" t="s">
        <v>131</v>
      </c>
      <c r="B1962" t="str">
        <f>TEXT(Tabla24[[#This Row],[Fecha]],"dddd")</f>
        <v>lunes</v>
      </c>
      <c r="C1962" t="str">
        <f>TEXT(Tabla24[[#This Row],[Fecha]],"mmmm")</f>
        <v>octubre</v>
      </c>
      <c r="D1962" t="str">
        <f>TEXT(Tabla24[[#This Row],[Fecha]],"aaaa")</f>
        <v>2024</v>
      </c>
      <c r="E1962" t="s">
        <v>11</v>
      </c>
      <c r="F1962" t="s">
        <v>12</v>
      </c>
      <c r="G1962" t="s">
        <v>44</v>
      </c>
      <c r="H1962" t="s">
        <v>30</v>
      </c>
      <c r="I1962" t="s">
        <v>26</v>
      </c>
      <c r="J1962">
        <v>15</v>
      </c>
      <c r="K1962">
        <v>43408</v>
      </c>
      <c r="L1962">
        <f>Tabla24[[#This Row],[Precio_Unitario]]*Tabla24[[#This Row],[Unidades_Vendidas]]</f>
        <v>651120</v>
      </c>
      <c r="M1962" t="s">
        <v>27</v>
      </c>
    </row>
    <row r="1963" spans="1:13" x14ac:dyDescent="0.25">
      <c r="A1963" t="s">
        <v>74</v>
      </c>
      <c r="B1963" t="str">
        <f>TEXT(Tabla24[[#This Row],[Fecha]],"dddd")</f>
        <v>viernes</v>
      </c>
      <c r="C1963" t="str">
        <f>TEXT(Tabla24[[#This Row],[Fecha]],"mmmm")</f>
        <v>enero</v>
      </c>
      <c r="D1963" t="str">
        <f>TEXT(Tabla24[[#This Row],[Fecha]],"aaaa")</f>
        <v>2024</v>
      </c>
      <c r="E1963" t="s">
        <v>33</v>
      </c>
      <c r="F1963" t="s">
        <v>12</v>
      </c>
      <c r="G1963" t="s">
        <v>39</v>
      </c>
      <c r="H1963" t="s">
        <v>35</v>
      </c>
      <c r="I1963" t="s">
        <v>15</v>
      </c>
      <c r="J1963">
        <v>4</v>
      </c>
      <c r="K1963">
        <v>38505</v>
      </c>
      <c r="L1963">
        <f>Tabla24[[#This Row],[Precio_Unitario]]*Tabla24[[#This Row],[Unidades_Vendidas]]</f>
        <v>154020</v>
      </c>
      <c r="M1963" t="s">
        <v>20</v>
      </c>
    </row>
    <row r="1964" spans="1:13" x14ac:dyDescent="0.25">
      <c r="A1964" t="s">
        <v>290</v>
      </c>
      <c r="B1964" t="str">
        <f>TEXT(Tabla24[[#This Row],[Fecha]],"dddd")</f>
        <v>miércoles</v>
      </c>
      <c r="C1964" t="str">
        <f>TEXT(Tabla24[[#This Row],[Fecha]],"mmmm")</f>
        <v>julio</v>
      </c>
      <c r="D1964" t="str">
        <f>TEXT(Tabla24[[#This Row],[Fecha]],"aaaa")</f>
        <v>2024</v>
      </c>
      <c r="E1964" t="s">
        <v>33</v>
      </c>
      <c r="F1964" t="s">
        <v>38</v>
      </c>
      <c r="G1964" t="s">
        <v>44</v>
      </c>
      <c r="H1964" t="s">
        <v>14</v>
      </c>
      <c r="I1964" t="s">
        <v>40</v>
      </c>
      <c r="J1964">
        <v>19</v>
      </c>
      <c r="K1964">
        <v>36133</v>
      </c>
      <c r="L1964">
        <f>Tabla24[[#This Row],[Precio_Unitario]]*Tabla24[[#This Row],[Unidades_Vendidas]]</f>
        <v>686527</v>
      </c>
      <c r="M1964" t="s">
        <v>27</v>
      </c>
    </row>
    <row r="1965" spans="1:13" x14ac:dyDescent="0.25">
      <c r="A1965" t="s">
        <v>203</v>
      </c>
      <c r="B1965" t="str">
        <f>TEXT(Tabla24[[#This Row],[Fecha]],"dddd")</f>
        <v>martes</v>
      </c>
      <c r="C1965" t="str">
        <f>TEXT(Tabla24[[#This Row],[Fecha]],"mmmm")</f>
        <v>junio</v>
      </c>
      <c r="D1965" t="str">
        <f>TEXT(Tabla24[[#This Row],[Fecha]],"aaaa")</f>
        <v>2024</v>
      </c>
      <c r="E1965" t="s">
        <v>33</v>
      </c>
      <c r="F1965" t="s">
        <v>38</v>
      </c>
      <c r="G1965" t="s">
        <v>24</v>
      </c>
      <c r="H1965" t="s">
        <v>25</v>
      </c>
      <c r="I1965" t="s">
        <v>15</v>
      </c>
      <c r="J1965">
        <v>1</v>
      </c>
      <c r="K1965">
        <v>23799</v>
      </c>
      <c r="L1965">
        <f>Tabla24[[#This Row],[Precio_Unitario]]*Tabla24[[#This Row],[Unidades_Vendidas]]</f>
        <v>23799</v>
      </c>
      <c r="M1965" t="s">
        <v>16</v>
      </c>
    </row>
    <row r="1966" spans="1:13" x14ac:dyDescent="0.25">
      <c r="A1966" t="s">
        <v>399</v>
      </c>
      <c r="B1966" t="str">
        <f>TEXT(Tabla24[[#This Row],[Fecha]],"dddd")</f>
        <v>miércoles</v>
      </c>
      <c r="C1966" t="str">
        <f>TEXT(Tabla24[[#This Row],[Fecha]],"mmmm")</f>
        <v>noviembre</v>
      </c>
      <c r="D1966" t="str">
        <f>TEXT(Tabla24[[#This Row],[Fecha]],"aaaa")</f>
        <v>2024</v>
      </c>
      <c r="E1966" t="s">
        <v>18</v>
      </c>
      <c r="F1966" t="s">
        <v>38</v>
      </c>
      <c r="G1966" t="s">
        <v>48</v>
      </c>
      <c r="H1966" t="s">
        <v>25</v>
      </c>
      <c r="I1966" t="s">
        <v>40</v>
      </c>
      <c r="J1966">
        <v>7</v>
      </c>
      <c r="K1966">
        <v>48983</v>
      </c>
      <c r="L1966">
        <f>Tabla24[[#This Row],[Precio_Unitario]]*Tabla24[[#This Row],[Unidades_Vendidas]]</f>
        <v>342881</v>
      </c>
      <c r="M1966" t="s">
        <v>27</v>
      </c>
    </row>
    <row r="1967" spans="1:13" x14ac:dyDescent="0.25">
      <c r="A1967" t="s">
        <v>104</v>
      </c>
      <c r="B1967" t="str">
        <f>TEXT(Tabla24[[#This Row],[Fecha]],"dddd")</f>
        <v>domingo</v>
      </c>
      <c r="C1967" t="str">
        <f>TEXT(Tabla24[[#This Row],[Fecha]],"mmmm")</f>
        <v>octubre</v>
      </c>
      <c r="D1967" t="str">
        <f>TEXT(Tabla24[[#This Row],[Fecha]],"aaaa")</f>
        <v>2024</v>
      </c>
      <c r="E1967" t="s">
        <v>18</v>
      </c>
      <c r="F1967" t="s">
        <v>29</v>
      </c>
      <c r="G1967" t="s">
        <v>48</v>
      </c>
      <c r="H1967" t="s">
        <v>19</v>
      </c>
      <c r="I1967" t="s">
        <v>26</v>
      </c>
      <c r="J1967">
        <v>7</v>
      </c>
      <c r="K1967">
        <v>42585</v>
      </c>
      <c r="L1967">
        <f>Tabla24[[#This Row],[Precio_Unitario]]*Tabla24[[#This Row],[Unidades_Vendidas]]</f>
        <v>298095</v>
      </c>
      <c r="M1967" t="s">
        <v>36</v>
      </c>
    </row>
    <row r="1968" spans="1:13" x14ac:dyDescent="0.25">
      <c r="A1968" t="s">
        <v>193</v>
      </c>
      <c r="B1968" t="str">
        <f>TEXT(Tabla24[[#This Row],[Fecha]],"dddd")</f>
        <v>miércoles</v>
      </c>
      <c r="C1968" t="str">
        <f>TEXT(Tabla24[[#This Row],[Fecha]],"mmmm")</f>
        <v>junio</v>
      </c>
      <c r="D1968" t="str">
        <f>TEXT(Tabla24[[#This Row],[Fecha]],"aaaa")</f>
        <v>2024</v>
      </c>
      <c r="E1968" t="s">
        <v>11</v>
      </c>
      <c r="F1968" t="s">
        <v>34</v>
      </c>
      <c r="G1968" t="s">
        <v>24</v>
      </c>
      <c r="H1968" t="s">
        <v>30</v>
      </c>
      <c r="I1968" t="s">
        <v>15</v>
      </c>
      <c r="J1968">
        <v>5</v>
      </c>
      <c r="K1968">
        <v>19031</v>
      </c>
      <c r="L1968">
        <f>Tabla24[[#This Row],[Precio_Unitario]]*Tabla24[[#This Row],[Unidades_Vendidas]]</f>
        <v>95155</v>
      </c>
      <c r="M1968" t="s">
        <v>20</v>
      </c>
    </row>
    <row r="1969" spans="1:13" x14ac:dyDescent="0.25">
      <c r="A1969" t="s">
        <v>338</v>
      </c>
      <c r="B1969" t="str">
        <f>TEXT(Tabla24[[#This Row],[Fecha]],"dddd")</f>
        <v>domingo</v>
      </c>
      <c r="C1969" t="str">
        <f>TEXT(Tabla24[[#This Row],[Fecha]],"mmmm")</f>
        <v>septiembre</v>
      </c>
      <c r="D1969" t="str">
        <f>TEXT(Tabla24[[#This Row],[Fecha]],"aaaa")</f>
        <v>2024</v>
      </c>
      <c r="E1969" t="s">
        <v>42</v>
      </c>
      <c r="F1969" t="s">
        <v>34</v>
      </c>
      <c r="G1969" t="s">
        <v>48</v>
      </c>
      <c r="H1969" t="s">
        <v>14</v>
      </c>
      <c r="I1969" t="s">
        <v>15</v>
      </c>
      <c r="J1969">
        <v>5</v>
      </c>
      <c r="K1969">
        <v>23540</v>
      </c>
      <c r="L1969">
        <f>Tabla24[[#This Row],[Precio_Unitario]]*Tabla24[[#This Row],[Unidades_Vendidas]]</f>
        <v>117700</v>
      </c>
      <c r="M1969" t="s">
        <v>20</v>
      </c>
    </row>
    <row r="1970" spans="1:13" x14ac:dyDescent="0.25">
      <c r="A1970" t="s">
        <v>146</v>
      </c>
      <c r="B1970" t="str">
        <f>TEXT(Tabla24[[#This Row],[Fecha]],"dddd")</f>
        <v>sábado</v>
      </c>
      <c r="C1970" t="str">
        <f>TEXT(Tabla24[[#This Row],[Fecha]],"mmmm")</f>
        <v>octubre</v>
      </c>
      <c r="D1970" t="str">
        <f>TEXT(Tabla24[[#This Row],[Fecha]],"aaaa")</f>
        <v>2024</v>
      </c>
      <c r="E1970" t="s">
        <v>33</v>
      </c>
      <c r="F1970" t="s">
        <v>12</v>
      </c>
      <c r="G1970" t="s">
        <v>39</v>
      </c>
      <c r="H1970" t="s">
        <v>30</v>
      </c>
      <c r="I1970" t="s">
        <v>40</v>
      </c>
      <c r="J1970">
        <v>16</v>
      </c>
      <c r="K1970">
        <v>52607</v>
      </c>
      <c r="L1970">
        <f>Tabla24[[#This Row],[Precio_Unitario]]*Tabla24[[#This Row],[Unidades_Vendidas]]</f>
        <v>841712</v>
      </c>
      <c r="M1970" t="s">
        <v>27</v>
      </c>
    </row>
    <row r="1971" spans="1:13" x14ac:dyDescent="0.25">
      <c r="A1971" t="s">
        <v>319</v>
      </c>
      <c r="B1971" t="str">
        <f>TEXT(Tabla24[[#This Row],[Fecha]],"dddd")</f>
        <v>miércoles</v>
      </c>
      <c r="C1971" t="str">
        <f>TEXT(Tabla24[[#This Row],[Fecha]],"mmmm")</f>
        <v>agosto</v>
      </c>
      <c r="D1971" t="str">
        <f>TEXT(Tabla24[[#This Row],[Fecha]],"aaaa")</f>
        <v>2024</v>
      </c>
      <c r="E1971" t="s">
        <v>18</v>
      </c>
      <c r="F1971" t="s">
        <v>34</v>
      </c>
      <c r="G1971" t="s">
        <v>24</v>
      </c>
      <c r="H1971" t="s">
        <v>35</v>
      </c>
      <c r="I1971" t="s">
        <v>15</v>
      </c>
      <c r="J1971">
        <v>4</v>
      </c>
      <c r="K1971">
        <v>40481</v>
      </c>
      <c r="L1971">
        <f>Tabla24[[#This Row],[Precio_Unitario]]*Tabla24[[#This Row],[Unidades_Vendidas]]</f>
        <v>161924</v>
      </c>
      <c r="M1971" t="s">
        <v>36</v>
      </c>
    </row>
    <row r="1972" spans="1:13" x14ac:dyDescent="0.25">
      <c r="A1972" t="s">
        <v>133</v>
      </c>
      <c r="B1972" t="str">
        <f>TEXT(Tabla24[[#This Row],[Fecha]],"dddd")</f>
        <v>viernes</v>
      </c>
      <c r="C1972" t="str">
        <f>TEXT(Tabla24[[#This Row],[Fecha]],"mmmm")</f>
        <v>junio</v>
      </c>
      <c r="D1972" t="str">
        <f>TEXT(Tabla24[[#This Row],[Fecha]],"aaaa")</f>
        <v>2024</v>
      </c>
      <c r="E1972" t="s">
        <v>33</v>
      </c>
      <c r="F1972" t="s">
        <v>38</v>
      </c>
      <c r="G1972" t="s">
        <v>24</v>
      </c>
      <c r="H1972" t="s">
        <v>25</v>
      </c>
      <c r="I1972" t="s">
        <v>15</v>
      </c>
      <c r="J1972">
        <v>9</v>
      </c>
      <c r="K1972">
        <v>31131</v>
      </c>
      <c r="L1972">
        <f>Tabla24[[#This Row],[Precio_Unitario]]*Tabla24[[#This Row],[Unidades_Vendidas]]</f>
        <v>280179</v>
      </c>
      <c r="M1972" t="s">
        <v>20</v>
      </c>
    </row>
    <row r="1973" spans="1:13" x14ac:dyDescent="0.25">
      <c r="A1973" t="s">
        <v>290</v>
      </c>
      <c r="B1973" t="str">
        <f>TEXT(Tabla24[[#This Row],[Fecha]],"dddd")</f>
        <v>miércoles</v>
      </c>
      <c r="C1973" t="str">
        <f>TEXT(Tabla24[[#This Row],[Fecha]],"mmmm")</f>
        <v>julio</v>
      </c>
      <c r="D1973" t="str">
        <f>TEXT(Tabla24[[#This Row],[Fecha]],"aaaa")</f>
        <v>2024</v>
      </c>
      <c r="E1973" t="s">
        <v>18</v>
      </c>
      <c r="F1973" t="s">
        <v>34</v>
      </c>
      <c r="G1973" t="s">
        <v>39</v>
      </c>
      <c r="H1973" t="s">
        <v>19</v>
      </c>
      <c r="I1973" t="s">
        <v>40</v>
      </c>
      <c r="J1973">
        <v>2</v>
      </c>
      <c r="K1973">
        <v>42716</v>
      </c>
      <c r="L1973">
        <f>Tabla24[[#This Row],[Precio_Unitario]]*Tabla24[[#This Row],[Unidades_Vendidas]]</f>
        <v>85432</v>
      </c>
      <c r="M1973" t="s">
        <v>20</v>
      </c>
    </row>
    <row r="1974" spans="1:13" x14ac:dyDescent="0.25">
      <c r="A1974" t="s">
        <v>156</v>
      </c>
      <c r="B1974" t="str">
        <f>TEXT(Tabla24[[#This Row],[Fecha]],"dddd")</f>
        <v>jueves</v>
      </c>
      <c r="C1974" t="str">
        <f>TEXT(Tabla24[[#This Row],[Fecha]],"mmmm")</f>
        <v>marzo</v>
      </c>
      <c r="D1974" t="str">
        <f>TEXT(Tabla24[[#This Row],[Fecha]],"aaaa")</f>
        <v>2024</v>
      </c>
      <c r="E1974" t="s">
        <v>42</v>
      </c>
      <c r="F1974" t="s">
        <v>12</v>
      </c>
      <c r="G1974" t="s">
        <v>39</v>
      </c>
      <c r="H1974" t="s">
        <v>19</v>
      </c>
      <c r="I1974" t="s">
        <v>40</v>
      </c>
      <c r="J1974">
        <v>18</v>
      </c>
      <c r="K1974">
        <v>28526</v>
      </c>
      <c r="L1974">
        <f>Tabla24[[#This Row],[Precio_Unitario]]*Tabla24[[#This Row],[Unidades_Vendidas]]</f>
        <v>513468</v>
      </c>
      <c r="M1974" t="s">
        <v>20</v>
      </c>
    </row>
    <row r="1975" spans="1:13" x14ac:dyDescent="0.25">
      <c r="A1975" t="s">
        <v>255</v>
      </c>
      <c r="B1975" t="str">
        <f>TEXT(Tabla24[[#This Row],[Fecha]],"dddd")</f>
        <v>domingo</v>
      </c>
      <c r="C1975" t="str">
        <f>TEXT(Tabla24[[#This Row],[Fecha]],"mmmm")</f>
        <v>enero</v>
      </c>
      <c r="D1975" t="str">
        <f>TEXT(Tabla24[[#This Row],[Fecha]],"aaaa")</f>
        <v>2024</v>
      </c>
      <c r="E1975" t="s">
        <v>22</v>
      </c>
      <c r="F1975" t="s">
        <v>23</v>
      </c>
      <c r="G1975" t="s">
        <v>39</v>
      </c>
      <c r="H1975" t="s">
        <v>14</v>
      </c>
      <c r="I1975" t="s">
        <v>15</v>
      </c>
      <c r="J1975">
        <v>19</v>
      </c>
      <c r="K1975">
        <v>19663</v>
      </c>
      <c r="L1975">
        <f>Tabla24[[#This Row],[Precio_Unitario]]*Tabla24[[#This Row],[Unidades_Vendidas]]</f>
        <v>373597</v>
      </c>
      <c r="M1975" t="s">
        <v>27</v>
      </c>
    </row>
    <row r="1976" spans="1:13" x14ac:dyDescent="0.25">
      <c r="A1976" t="s">
        <v>145</v>
      </c>
      <c r="B1976" t="str">
        <f>TEXT(Tabla24[[#This Row],[Fecha]],"dddd")</f>
        <v>jueves</v>
      </c>
      <c r="C1976" t="str">
        <f>TEXT(Tabla24[[#This Row],[Fecha]],"mmmm")</f>
        <v>diciembre</v>
      </c>
      <c r="D1976" t="str">
        <f>TEXT(Tabla24[[#This Row],[Fecha]],"aaaa")</f>
        <v>2024</v>
      </c>
      <c r="E1976" t="s">
        <v>42</v>
      </c>
      <c r="F1976" t="s">
        <v>12</v>
      </c>
      <c r="G1976" t="s">
        <v>24</v>
      </c>
      <c r="H1976" t="s">
        <v>19</v>
      </c>
      <c r="I1976" t="s">
        <v>15</v>
      </c>
      <c r="J1976">
        <v>5</v>
      </c>
      <c r="K1976">
        <v>23396</v>
      </c>
      <c r="L1976">
        <f>Tabla24[[#This Row],[Precio_Unitario]]*Tabla24[[#This Row],[Unidades_Vendidas]]</f>
        <v>116980</v>
      </c>
      <c r="M1976" t="s">
        <v>16</v>
      </c>
    </row>
    <row r="1977" spans="1:13" x14ac:dyDescent="0.25">
      <c r="A1977" t="s">
        <v>267</v>
      </c>
      <c r="B1977" t="str">
        <f>TEXT(Tabla24[[#This Row],[Fecha]],"dddd")</f>
        <v>martes</v>
      </c>
      <c r="C1977" t="str">
        <f>TEXT(Tabla24[[#This Row],[Fecha]],"mmmm")</f>
        <v>febrero</v>
      </c>
      <c r="D1977" t="str">
        <f>TEXT(Tabla24[[#This Row],[Fecha]],"aaaa")</f>
        <v>2024</v>
      </c>
      <c r="E1977" t="s">
        <v>42</v>
      </c>
      <c r="F1977" t="s">
        <v>23</v>
      </c>
      <c r="G1977" t="s">
        <v>24</v>
      </c>
      <c r="H1977" t="s">
        <v>19</v>
      </c>
      <c r="I1977" t="s">
        <v>40</v>
      </c>
      <c r="J1977">
        <v>20</v>
      </c>
      <c r="K1977">
        <v>32881</v>
      </c>
      <c r="L1977">
        <f>Tabla24[[#This Row],[Precio_Unitario]]*Tabla24[[#This Row],[Unidades_Vendidas]]</f>
        <v>657620</v>
      </c>
      <c r="M1977" t="s">
        <v>36</v>
      </c>
    </row>
    <row r="1978" spans="1:13" x14ac:dyDescent="0.25">
      <c r="A1978" t="s">
        <v>388</v>
      </c>
      <c r="B1978" t="str">
        <f>TEXT(Tabla24[[#This Row],[Fecha]],"dddd")</f>
        <v>sábado</v>
      </c>
      <c r="C1978" t="str">
        <f>TEXT(Tabla24[[#This Row],[Fecha]],"mmmm")</f>
        <v>junio</v>
      </c>
      <c r="D1978" t="str">
        <f>TEXT(Tabla24[[#This Row],[Fecha]],"aaaa")</f>
        <v>2024</v>
      </c>
      <c r="E1978" t="s">
        <v>33</v>
      </c>
      <c r="F1978" t="s">
        <v>38</v>
      </c>
      <c r="G1978" t="s">
        <v>39</v>
      </c>
      <c r="H1978" t="s">
        <v>25</v>
      </c>
      <c r="I1978" t="s">
        <v>26</v>
      </c>
      <c r="J1978">
        <v>17</v>
      </c>
      <c r="K1978">
        <v>32256</v>
      </c>
      <c r="L1978">
        <f>Tabla24[[#This Row],[Precio_Unitario]]*Tabla24[[#This Row],[Unidades_Vendidas]]</f>
        <v>548352</v>
      </c>
      <c r="M1978" t="s">
        <v>27</v>
      </c>
    </row>
    <row r="1979" spans="1:13" x14ac:dyDescent="0.25">
      <c r="A1979" t="s">
        <v>312</v>
      </c>
      <c r="B1979" t="str">
        <f>TEXT(Tabla24[[#This Row],[Fecha]],"dddd")</f>
        <v>sábado</v>
      </c>
      <c r="C1979" t="str">
        <f>TEXT(Tabla24[[#This Row],[Fecha]],"mmmm")</f>
        <v>junio</v>
      </c>
      <c r="D1979" t="str">
        <f>TEXT(Tabla24[[#This Row],[Fecha]],"aaaa")</f>
        <v>2024</v>
      </c>
      <c r="E1979" t="s">
        <v>11</v>
      </c>
      <c r="F1979" t="s">
        <v>29</v>
      </c>
      <c r="G1979" t="s">
        <v>13</v>
      </c>
      <c r="H1979" t="s">
        <v>25</v>
      </c>
      <c r="I1979" t="s">
        <v>15</v>
      </c>
      <c r="J1979">
        <v>1</v>
      </c>
      <c r="K1979">
        <v>28730</v>
      </c>
      <c r="L1979">
        <f>Tabla24[[#This Row],[Precio_Unitario]]*Tabla24[[#This Row],[Unidades_Vendidas]]</f>
        <v>28730</v>
      </c>
      <c r="M1979" t="s">
        <v>36</v>
      </c>
    </row>
    <row r="1980" spans="1:13" x14ac:dyDescent="0.25">
      <c r="A1980" t="s">
        <v>332</v>
      </c>
      <c r="B1980" t="str">
        <f>TEXT(Tabla24[[#This Row],[Fecha]],"dddd")</f>
        <v>martes</v>
      </c>
      <c r="C1980" t="str">
        <f>TEXT(Tabla24[[#This Row],[Fecha]],"mmmm")</f>
        <v>julio</v>
      </c>
      <c r="D1980" t="str">
        <f>TEXT(Tabla24[[#This Row],[Fecha]],"aaaa")</f>
        <v>2024</v>
      </c>
      <c r="E1980" t="s">
        <v>18</v>
      </c>
      <c r="F1980" t="s">
        <v>29</v>
      </c>
      <c r="G1980" t="s">
        <v>24</v>
      </c>
      <c r="H1980" t="s">
        <v>35</v>
      </c>
      <c r="I1980" t="s">
        <v>15</v>
      </c>
      <c r="J1980">
        <v>2</v>
      </c>
      <c r="K1980">
        <v>37385</v>
      </c>
      <c r="L1980">
        <f>Tabla24[[#This Row],[Precio_Unitario]]*Tabla24[[#This Row],[Unidades_Vendidas]]</f>
        <v>74770</v>
      </c>
      <c r="M1980" t="s">
        <v>27</v>
      </c>
    </row>
    <row r="1981" spans="1:13" x14ac:dyDescent="0.25">
      <c r="A1981" t="s">
        <v>126</v>
      </c>
      <c r="B1981" t="str">
        <f>TEXT(Tabla24[[#This Row],[Fecha]],"dddd")</f>
        <v>lunes</v>
      </c>
      <c r="C1981" t="str">
        <f>TEXT(Tabla24[[#This Row],[Fecha]],"mmmm")</f>
        <v>noviembre</v>
      </c>
      <c r="D1981" t="str">
        <f>TEXT(Tabla24[[#This Row],[Fecha]],"aaaa")</f>
        <v>2024</v>
      </c>
      <c r="E1981" t="s">
        <v>33</v>
      </c>
      <c r="F1981" t="s">
        <v>38</v>
      </c>
      <c r="G1981" t="s">
        <v>44</v>
      </c>
      <c r="H1981" t="s">
        <v>35</v>
      </c>
      <c r="I1981" t="s">
        <v>15</v>
      </c>
      <c r="J1981">
        <v>17</v>
      </c>
      <c r="K1981">
        <v>39757</v>
      </c>
      <c r="L1981">
        <f>Tabla24[[#This Row],[Precio_Unitario]]*Tabla24[[#This Row],[Unidades_Vendidas]]</f>
        <v>675869</v>
      </c>
      <c r="M1981" t="s">
        <v>20</v>
      </c>
    </row>
    <row r="1982" spans="1:13" x14ac:dyDescent="0.25">
      <c r="A1982" t="s">
        <v>193</v>
      </c>
      <c r="B1982" t="str">
        <f>TEXT(Tabla24[[#This Row],[Fecha]],"dddd")</f>
        <v>miércoles</v>
      </c>
      <c r="C1982" t="str">
        <f>TEXT(Tabla24[[#This Row],[Fecha]],"mmmm")</f>
        <v>junio</v>
      </c>
      <c r="D1982" t="str">
        <f>TEXT(Tabla24[[#This Row],[Fecha]],"aaaa")</f>
        <v>2024</v>
      </c>
      <c r="E1982" t="s">
        <v>22</v>
      </c>
      <c r="F1982" t="s">
        <v>38</v>
      </c>
      <c r="G1982" t="s">
        <v>48</v>
      </c>
      <c r="H1982" t="s">
        <v>14</v>
      </c>
      <c r="I1982" t="s">
        <v>15</v>
      </c>
      <c r="J1982">
        <v>11</v>
      </c>
      <c r="K1982">
        <v>31280</v>
      </c>
      <c r="L1982">
        <f>Tabla24[[#This Row],[Precio_Unitario]]*Tabla24[[#This Row],[Unidades_Vendidas]]</f>
        <v>344080</v>
      </c>
      <c r="M1982" t="s">
        <v>36</v>
      </c>
    </row>
    <row r="1983" spans="1:13" x14ac:dyDescent="0.25">
      <c r="A1983" t="s">
        <v>43</v>
      </c>
      <c r="B1983" t="str">
        <f>TEXT(Tabla24[[#This Row],[Fecha]],"dddd")</f>
        <v>martes</v>
      </c>
      <c r="C1983" t="str">
        <f>TEXT(Tabla24[[#This Row],[Fecha]],"mmmm")</f>
        <v>marzo</v>
      </c>
      <c r="D1983" t="str">
        <f>TEXT(Tabla24[[#This Row],[Fecha]],"aaaa")</f>
        <v>2024</v>
      </c>
      <c r="E1983" t="s">
        <v>18</v>
      </c>
      <c r="F1983" t="s">
        <v>23</v>
      </c>
      <c r="G1983" t="s">
        <v>44</v>
      </c>
      <c r="H1983" t="s">
        <v>35</v>
      </c>
      <c r="I1983" t="s">
        <v>40</v>
      </c>
      <c r="J1983">
        <v>14</v>
      </c>
      <c r="K1983">
        <v>32103</v>
      </c>
      <c r="L1983">
        <f>Tabla24[[#This Row],[Precio_Unitario]]*Tabla24[[#This Row],[Unidades_Vendidas]]</f>
        <v>449442</v>
      </c>
      <c r="M1983" t="s">
        <v>36</v>
      </c>
    </row>
    <row r="1984" spans="1:13" x14ac:dyDescent="0.25">
      <c r="A1984" t="s">
        <v>142</v>
      </c>
      <c r="B1984" t="str">
        <f>TEXT(Tabla24[[#This Row],[Fecha]],"dddd")</f>
        <v>jueves</v>
      </c>
      <c r="C1984" t="str">
        <f>TEXT(Tabla24[[#This Row],[Fecha]],"mmmm")</f>
        <v>julio</v>
      </c>
      <c r="D1984" t="str">
        <f>TEXT(Tabla24[[#This Row],[Fecha]],"aaaa")</f>
        <v>2024</v>
      </c>
      <c r="E1984" t="s">
        <v>33</v>
      </c>
      <c r="F1984" t="s">
        <v>29</v>
      </c>
      <c r="G1984" t="s">
        <v>24</v>
      </c>
      <c r="H1984" t="s">
        <v>19</v>
      </c>
      <c r="I1984" t="s">
        <v>26</v>
      </c>
      <c r="J1984">
        <v>19</v>
      </c>
      <c r="K1984">
        <v>37525</v>
      </c>
      <c r="L1984">
        <f>Tabla24[[#This Row],[Precio_Unitario]]*Tabla24[[#This Row],[Unidades_Vendidas]]</f>
        <v>712975</v>
      </c>
      <c r="M1984" t="s">
        <v>36</v>
      </c>
    </row>
    <row r="1985" spans="1:13" x14ac:dyDescent="0.25">
      <c r="A1985" t="s">
        <v>148</v>
      </c>
      <c r="B1985" t="str">
        <f>TEXT(Tabla24[[#This Row],[Fecha]],"dddd")</f>
        <v>lunes</v>
      </c>
      <c r="C1985" t="str">
        <f>TEXT(Tabla24[[#This Row],[Fecha]],"mmmm")</f>
        <v>julio</v>
      </c>
      <c r="D1985" t="str">
        <f>TEXT(Tabla24[[#This Row],[Fecha]],"aaaa")</f>
        <v>2024</v>
      </c>
      <c r="E1985" t="s">
        <v>33</v>
      </c>
      <c r="F1985" t="s">
        <v>12</v>
      </c>
      <c r="G1985" t="s">
        <v>13</v>
      </c>
      <c r="H1985" t="s">
        <v>30</v>
      </c>
      <c r="I1985" t="s">
        <v>40</v>
      </c>
      <c r="J1985">
        <v>15</v>
      </c>
      <c r="K1985">
        <v>54716</v>
      </c>
      <c r="L1985">
        <f>Tabla24[[#This Row],[Precio_Unitario]]*Tabla24[[#This Row],[Unidades_Vendidas]]</f>
        <v>820740</v>
      </c>
      <c r="M1985" t="s">
        <v>36</v>
      </c>
    </row>
    <row r="1986" spans="1:13" x14ac:dyDescent="0.25">
      <c r="A1986" t="s">
        <v>248</v>
      </c>
      <c r="B1986" t="str">
        <f>TEXT(Tabla24[[#This Row],[Fecha]],"dddd")</f>
        <v>jueves</v>
      </c>
      <c r="C1986" t="str">
        <f>TEXT(Tabla24[[#This Row],[Fecha]],"mmmm")</f>
        <v>noviembre</v>
      </c>
      <c r="D1986" t="str">
        <f>TEXT(Tabla24[[#This Row],[Fecha]],"aaaa")</f>
        <v>2024</v>
      </c>
      <c r="E1986" t="s">
        <v>42</v>
      </c>
      <c r="F1986" t="s">
        <v>23</v>
      </c>
      <c r="G1986" t="s">
        <v>13</v>
      </c>
      <c r="H1986" t="s">
        <v>25</v>
      </c>
      <c r="I1986" t="s">
        <v>26</v>
      </c>
      <c r="J1986">
        <v>12</v>
      </c>
      <c r="K1986">
        <v>26869</v>
      </c>
      <c r="L1986">
        <f>Tabla24[[#This Row],[Precio_Unitario]]*Tabla24[[#This Row],[Unidades_Vendidas]]</f>
        <v>322428</v>
      </c>
      <c r="M1986" t="s">
        <v>27</v>
      </c>
    </row>
    <row r="1987" spans="1:13" x14ac:dyDescent="0.25">
      <c r="A1987" t="s">
        <v>190</v>
      </c>
      <c r="B1987" t="str">
        <f>TEXT(Tabla24[[#This Row],[Fecha]],"dddd")</f>
        <v>sábado</v>
      </c>
      <c r="C1987" t="str">
        <f>TEXT(Tabla24[[#This Row],[Fecha]],"mmmm")</f>
        <v>agosto</v>
      </c>
      <c r="D1987" t="str">
        <f>TEXT(Tabla24[[#This Row],[Fecha]],"aaaa")</f>
        <v>2024</v>
      </c>
      <c r="E1987" t="s">
        <v>22</v>
      </c>
      <c r="F1987" t="s">
        <v>38</v>
      </c>
      <c r="G1987" t="s">
        <v>44</v>
      </c>
      <c r="H1987" t="s">
        <v>35</v>
      </c>
      <c r="I1987" t="s">
        <v>40</v>
      </c>
      <c r="J1987">
        <v>13</v>
      </c>
      <c r="K1987">
        <v>24607</v>
      </c>
      <c r="L1987">
        <f>Tabla24[[#This Row],[Precio_Unitario]]*Tabla24[[#This Row],[Unidades_Vendidas]]</f>
        <v>319891</v>
      </c>
      <c r="M1987" t="s">
        <v>27</v>
      </c>
    </row>
    <row r="1988" spans="1:13" x14ac:dyDescent="0.25">
      <c r="A1988" t="s">
        <v>325</v>
      </c>
      <c r="B1988" t="str">
        <f>TEXT(Tabla24[[#This Row],[Fecha]],"dddd")</f>
        <v>jueves</v>
      </c>
      <c r="C1988" t="str">
        <f>TEXT(Tabla24[[#This Row],[Fecha]],"mmmm")</f>
        <v>diciembre</v>
      </c>
      <c r="D1988" t="str">
        <f>TEXT(Tabla24[[#This Row],[Fecha]],"aaaa")</f>
        <v>2024</v>
      </c>
      <c r="E1988" t="s">
        <v>18</v>
      </c>
      <c r="F1988" t="s">
        <v>23</v>
      </c>
      <c r="G1988" t="s">
        <v>24</v>
      </c>
      <c r="H1988" t="s">
        <v>30</v>
      </c>
      <c r="I1988" t="s">
        <v>40</v>
      </c>
      <c r="J1988">
        <v>14</v>
      </c>
      <c r="K1988">
        <v>19702</v>
      </c>
      <c r="L1988">
        <f>Tabla24[[#This Row],[Precio_Unitario]]*Tabla24[[#This Row],[Unidades_Vendidas]]</f>
        <v>275828</v>
      </c>
      <c r="M1988" t="s">
        <v>36</v>
      </c>
    </row>
    <row r="1989" spans="1:13" x14ac:dyDescent="0.25">
      <c r="A1989" t="s">
        <v>243</v>
      </c>
      <c r="B1989" t="str">
        <f>TEXT(Tabla24[[#This Row],[Fecha]],"dddd")</f>
        <v>lunes</v>
      </c>
      <c r="C1989" t="str">
        <f>TEXT(Tabla24[[#This Row],[Fecha]],"mmmm")</f>
        <v>marzo</v>
      </c>
      <c r="D1989" t="str">
        <f>TEXT(Tabla24[[#This Row],[Fecha]],"aaaa")</f>
        <v>2024</v>
      </c>
      <c r="E1989" t="s">
        <v>33</v>
      </c>
      <c r="F1989" t="s">
        <v>38</v>
      </c>
      <c r="G1989" t="s">
        <v>13</v>
      </c>
      <c r="H1989" t="s">
        <v>25</v>
      </c>
      <c r="I1989" t="s">
        <v>15</v>
      </c>
      <c r="J1989">
        <v>8</v>
      </c>
      <c r="K1989">
        <v>41154</v>
      </c>
      <c r="L1989">
        <f>Tabla24[[#This Row],[Precio_Unitario]]*Tabla24[[#This Row],[Unidades_Vendidas]]</f>
        <v>329232</v>
      </c>
      <c r="M1989" t="s">
        <v>36</v>
      </c>
    </row>
    <row r="1990" spans="1:13" x14ac:dyDescent="0.25">
      <c r="A1990" t="s">
        <v>130</v>
      </c>
      <c r="B1990" t="str">
        <f>TEXT(Tabla24[[#This Row],[Fecha]],"dddd")</f>
        <v>jueves</v>
      </c>
      <c r="C1990" t="str">
        <f>TEXT(Tabla24[[#This Row],[Fecha]],"mmmm")</f>
        <v>agosto</v>
      </c>
      <c r="D1990" t="str">
        <f>TEXT(Tabla24[[#This Row],[Fecha]],"aaaa")</f>
        <v>2024</v>
      </c>
      <c r="E1990" t="s">
        <v>33</v>
      </c>
      <c r="F1990" t="s">
        <v>34</v>
      </c>
      <c r="G1990" t="s">
        <v>39</v>
      </c>
      <c r="H1990" t="s">
        <v>14</v>
      </c>
      <c r="I1990" t="s">
        <v>26</v>
      </c>
      <c r="J1990">
        <v>14</v>
      </c>
      <c r="K1990">
        <v>58904</v>
      </c>
      <c r="L1990">
        <f>Tabla24[[#This Row],[Precio_Unitario]]*Tabla24[[#This Row],[Unidades_Vendidas]]</f>
        <v>824656</v>
      </c>
      <c r="M1990" t="s">
        <v>16</v>
      </c>
    </row>
    <row r="1991" spans="1:13" x14ac:dyDescent="0.25">
      <c r="A1991" t="s">
        <v>108</v>
      </c>
      <c r="B1991" t="str">
        <f>TEXT(Tabla24[[#This Row],[Fecha]],"dddd")</f>
        <v>viernes</v>
      </c>
      <c r="C1991" t="str">
        <f>TEXT(Tabla24[[#This Row],[Fecha]],"mmmm")</f>
        <v>marzo</v>
      </c>
      <c r="D1991" t="str">
        <f>TEXT(Tabla24[[#This Row],[Fecha]],"aaaa")</f>
        <v>2024</v>
      </c>
      <c r="E1991" t="s">
        <v>11</v>
      </c>
      <c r="F1991" t="s">
        <v>23</v>
      </c>
      <c r="G1991" t="s">
        <v>44</v>
      </c>
      <c r="H1991" t="s">
        <v>19</v>
      </c>
      <c r="I1991" t="s">
        <v>26</v>
      </c>
      <c r="J1991">
        <v>12</v>
      </c>
      <c r="K1991">
        <v>45132</v>
      </c>
      <c r="L1991">
        <f>Tabla24[[#This Row],[Precio_Unitario]]*Tabla24[[#This Row],[Unidades_Vendidas]]</f>
        <v>541584</v>
      </c>
      <c r="M1991" t="s">
        <v>36</v>
      </c>
    </row>
    <row r="1992" spans="1:13" x14ac:dyDescent="0.25">
      <c r="A1992" t="s">
        <v>161</v>
      </c>
      <c r="B1992" t="str">
        <f>TEXT(Tabla24[[#This Row],[Fecha]],"dddd")</f>
        <v>martes</v>
      </c>
      <c r="C1992" t="str">
        <f>TEXT(Tabla24[[#This Row],[Fecha]],"mmmm")</f>
        <v>diciembre</v>
      </c>
      <c r="D1992" t="str">
        <f>TEXT(Tabla24[[#This Row],[Fecha]],"aaaa")</f>
        <v>2024</v>
      </c>
      <c r="E1992" t="s">
        <v>33</v>
      </c>
      <c r="F1992" t="s">
        <v>29</v>
      </c>
      <c r="G1992" t="s">
        <v>13</v>
      </c>
      <c r="H1992" t="s">
        <v>25</v>
      </c>
      <c r="I1992" t="s">
        <v>40</v>
      </c>
      <c r="J1992">
        <v>10</v>
      </c>
      <c r="K1992">
        <v>23515</v>
      </c>
      <c r="L1992">
        <f>Tabla24[[#This Row],[Precio_Unitario]]*Tabla24[[#This Row],[Unidades_Vendidas]]</f>
        <v>235150</v>
      </c>
      <c r="M1992" t="s">
        <v>16</v>
      </c>
    </row>
    <row r="1993" spans="1:13" x14ac:dyDescent="0.25">
      <c r="A1993" t="s">
        <v>95</v>
      </c>
      <c r="B1993" t="str">
        <f>TEXT(Tabla24[[#This Row],[Fecha]],"dddd")</f>
        <v>jueves</v>
      </c>
      <c r="C1993" t="str">
        <f>TEXT(Tabla24[[#This Row],[Fecha]],"mmmm")</f>
        <v>abril</v>
      </c>
      <c r="D1993" t="str">
        <f>TEXT(Tabla24[[#This Row],[Fecha]],"aaaa")</f>
        <v>2024</v>
      </c>
      <c r="E1993" t="s">
        <v>22</v>
      </c>
      <c r="F1993" t="s">
        <v>12</v>
      </c>
      <c r="G1993" t="s">
        <v>48</v>
      </c>
      <c r="H1993" t="s">
        <v>14</v>
      </c>
      <c r="I1993" t="s">
        <v>40</v>
      </c>
      <c r="J1993">
        <v>19</v>
      </c>
      <c r="K1993">
        <v>23225</v>
      </c>
      <c r="L1993">
        <f>Tabla24[[#This Row],[Precio_Unitario]]*Tabla24[[#This Row],[Unidades_Vendidas]]</f>
        <v>441275</v>
      </c>
      <c r="M1993" t="s">
        <v>36</v>
      </c>
    </row>
    <row r="1994" spans="1:13" x14ac:dyDescent="0.25">
      <c r="A1994" t="s">
        <v>243</v>
      </c>
      <c r="B1994" t="str">
        <f>TEXT(Tabla24[[#This Row],[Fecha]],"dddd")</f>
        <v>lunes</v>
      </c>
      <c r="C1994" t="str">
        <f>TEXT(Tabla24[[#This Row],[Fecha]],"mmmm")</f>
        <v>marzo</v>
      </c>
      <c r="D1994" t="str">
        <f>TEXT(Tabla24[[#This Row],[Fecha]],"aaaa")</f>
        <v>2024</v>
      </c>
      <c r="E1994" t="s">
        <v>33</v>
      </c>
      <c r="F1994" t="s">
        <v>23</v>
      </c>
      <c r="G1994" t="s">
        <v>44</v>
      </c>
      <c r="H1994" t="s">
        <v>19</v>
      </c>
      <c r="I1994" t="s">
        <v>26</v>
      </c>
      <c r="J1994">
        <v>10</v>
      </c>
      <c r="K1994">
        <v>42951</v>
      </c>
      <c r="L1994">
        <f>Tabla24[[#This Row],[Precio_Unitario]]*Tabla24[[#This Row],[Unidades_Vendidas]]</f>
        <v>429510</v>
      </c>
      <c r="M1994" t="s">
        <v>27</v>
      </c>
    </row>
    <row r="1995" spans="1:13" x14ac:dyDescent="0.25">
      <c r="A1995" t="s">
        <v>111</v>
      </c>
      <c r="B1995" t="str">
        <f>TEXT(Tabla24[[#This Row],[Fecha]],"dddd")</f>
        <v>jueves</v>
      </c>
      <c r="C1995" t="str">
        <f>TEXT(Tabla24[[#This Row],[Fecha]],"mmmm")</f>
        <v>abril</v>
      </c>
      <c r="D1995" t="str">
        <f>TEXT(Tabla24[[#This Row],[Fecha]],"aaaa")</f>
        <v>2024</v>
      </c>
      <c r="E1995" t="s">
        <v>42</v>
      </c>
      <c r="F1995" t="s">
        <v>12</v>
      </c>
      <c r="G1995" t="s">
        <v>48</v>
      </c>
      <c r="H1995" t="s">
        <v>35</v>
      </c>
      <c r="I1995" t="s">
        <v>40</v>
      </c>
      <c r="J1995">
        <v>8</v>
      </c>
      <c r="K1995">
        <v>55113</v>
      </c>
      <c r="L1995">
        <f>Tabla24[[#This Row],[Precio_Unitario]]*Tabla24[[#This Row],[Unidades_Vendidas]]</f>
        <v>440904</v>
      </c>
      <c r="M1995" t="s">
        <v>16</v>
      </c>
    </row>
    <row r="1996" spans="1:13" x14ac:dyDescent="0.25">
      <c r="A1996" t="s">
        <v>46</v>
      </c>
      <c r="B1996" t="str">
        <f>TEXT(Tabla24[[#This Row],[Fecha]],"dddd")</f>
        <v>miércoles</v>
      </c>
      <c r="C1996" t="str">
        <f>TEXT(Tabla24[[#This Row],[Fecha]],"mmmm")</f>
        <v>marzo</v>
      </c>
      <c r="D1996" t="str">
        <f>TEXT(Tabla24[[#This Row],[Fecha]],"aaaa")</f>
        <v>2024</v>
      </c>
      <c r="E1996" t="s">
        <v>18</v>
      </c>
      <c r="F1996" t="s">
        <v>38</v>
      </c>
      <c r="G1996" t="s">
        <v>48</v>
      </c>
      <c r="H1996" t="s">
        <v>19</v>
      </c>
      <c r="I1996" t="s">
        <v>40</v>
      </c>
      <c r="J1996">
        <v>15</v>
      </c>
      <c r="K1996">
        <v>45433</v>
      </c>
      <c r="L1996">
        <f>Tabla24[[#This Row],[Precio_Unitario]]*Tabla24[[#This Row],[Unidades_Vendidas]]</f>
        <v>681495</v>
      </c>
      <c r="M1996" t="s">
        <v>16</v>
      </c>
    </row>
    <row r="1997" spans="1:13" x14ac:dyDescent="0.25">
      <c r="A1997" t="s">
        <v>190</v>
      </c>
      <c r="B1997" t="str">
        <f>TEXT(Tabla24[[#This Row],[Fecha]],"dddd")</f>
        <v>sábado</v>
      </c>
      <c r="C1997" t="str">
        <f>TEXT(Tabla24[[#This Row],[Fecha]],"mmmm")</f>
        <v>agosto</v>
      </c>
      <c r="D1997" t="str">
        <f>TEXT(Tabla24[[#This Row],[Fecha]],"aaaa")</f>
        <v>2024</v>
      </c>
      <c r="E1997" t="s">
        <v>18</v>
      </c>
      <c r="F1997" t="s">
        <v>29</v>
      </c>
      <c r="G1997" t="s">
        <v>39</v>
      </c>
      <c r="H1997" t="s">
        <v>25</v>
      </c>
      <c r="I1997" t="s">
        <v>15</v>
      </c>
      <c r="J1997">
        <v>10</v>
      </c>
      <c r="K1997">
        <v>16670</v>
      </c>
      <c r="L1997">
        <f>Tabla24[[#This Row],[Precio_Unitario]]*Tabla24[[#This Row],[Unidades_Vendidas]]</f>
        <v>166700</v>
      </c>
      <c r="M1997" t="s">
        <v>16</v>
      </c>
    </row>
    <row r="1998" spans="1:13" x14ac:dyDescent="0.25">
      <c r="A1998" t="s">
        <v>272</v>
      </c>
      <c r="B1998" t="str">
        <f>TEXT(Tabla24[[#This Row],[Fecha]],"dddd")</f>
        <v>lunes</v>
      </c>
      <c r="C1998" t="str">
        <f>TEXT(Tabla24[[#This Row],[Fecha]],"mmmm")</f>
        <v>abril</v>
      </c>
      <c r="D1998" t="str">
        <f>TEXT(Tabla24[[#This Row],[Fecha]],"aaaa")</f>
        <v>2024</v>
      </c>
      <c r="E1998" t="s">
        <v>18</v>
      </c>
      <c r="F1998" t="s">
        <v>12</v>
      </c>
      <c r="G1998" t="s">
        <v>24</v>
      </c>
      <c r="H1998" t="s">
        <v>19</v>
      </c>
      <c r="I1998" t="s">
        <v>15</v>
      </c>
      <c r="J1998">
        <v>12</v>
      </c>
      <c r="K1998">
        <v>47696</v>
      </c>
      <c r="L1998">
        <f>Tabla24[[#This Row],[Precio_Unitario]]*Tabla24[[#This Row],[Unidades_Vendidas]]</f>
        <v>572352</v>
      </c>
      <c r="M1998" t="s">
        <v>27</v>
      </c>
    </row>
    <row r="1999" spans="1:13" x14ac:dyDescent="0.25">
      <c r="A1999" t="s">
        <v>58</v>
      </c>
      <c r="B1999" t="str">
        <f>TEXT(Tabla24[[#This Row],[Fecha]],"dddd")</f>
        <v>lunes</v>
      </c>
      <c r="C1999" t="str">
        <f>TEXT(Tabla24[[#This Row],[Fecha]],"mmmm")</f>
        <v>octubre</v>
      </c>
      <c r="D1999" t="str">
        <f>TEXT(Tabla24[[#This Row],[Fecha]],"aaaa")</f>
        <v>2024</v>
      </c>
      <c r="E1999" t="s">
        <v>11</v>
      </c>
      <c r="F1999" t="s">
        <v>12</v>
      </c>
      <c r="G1999" t="s">
        <v>39</v>
      </c>
      <c r="H1999" t="s">
        <v>35</v>
      </c>
      <c r="I1999" t="s">
        <v>26</v>
      </c>
      <c r="J1999">
        <v>8</v>
      </c>
      <c r="K1999">
        <v>33804</v>
      </c>
      <c r="L1999">
        <f>Tabla24[[#This Row],[Precio_Unitario]]*Tabla24[[#This Row],[Unidades_Vendidas]]</f>
        <v>270432</v>
      </c>
      <c r="M1999" t="s">
        <v>36</v>
      </c>
    </row>
    <row r="2000" spans="1:13" x14ac:dyDescent="0.25">
      <c r="A2000" t="s">
        <v>282</v>
      </c>
      <c r="B2000" t="str">
        <f>TEXT(Tabla24[[#This Row],[Fecha]],"dddd")</f>
        <v>domingo</v>
      </c>
      <c r="C2000" t="str">
        <f>TEXT(Tabla24[[#This Row],[Fecha]],"mmmm")</f>
        <v>junio</v>
      </c>
      <c r="D2000" t="str">
        <f>TEXT(Tabla24[[#This Row],[Fecha]],"aaaa")</f>
        <v>2024</v>
      </c>
      <c r="E2000" t="s">
        <v>22</v>
      </c>
      <c r="F2000" t="s">
        <v>23</v>
      </c>
      <c r="G2000" t="s">
        <v>13</v>
      </c>
      <c r="H2000" t="s">
        <v>30</v>
      </c>
      <c r="I2000" t="s">
        <v>26</v>
      </c>
      <c r="J2000">
        <v>10</v>
      </c>
      <c r="K2000">
        <v>26342</v>
      </c>
      <c r="L2000">
        <f>Tabla24[[#This Row],[Precio_Unitario]]*Tabla24[[#This Row],[Unidades_Vendidas]]</f>
        <v>263420</v>
      </c>
      <c r="M2000" t="s">
        <v>20</v>
      </c>
    </row>
    <row r="2001" spans="1:13" x14ac:dyDescent="0.25">
      <c r="A2001" t="s">
        <v>371</v>
      </c>
      <c r="B2001" t="str">
        <f>TEXT(Tabla24[[#This Row],[Fecha]],"dddd")</f>
        <v>jueves</v>
      </c>
      <c r="C2001" t="str">
        <f>TEXT(Tabla24[[#This Row],[Fecha]],"mmmm")</f>
        <v>abril</v>
      </c>
      <c r="D2001" t="str">
        <f>TEXT(Tabla24[[#This Row],[Fecha]],"aaaa")</f>
        <v>2024</v>
      </c>
      <c r="E2001" t="s">
        <v>33</v>
      </c>
      <c r="F2001" t="s">
        <v>29</v>
      </c>
      <c r="G2001" t="s">
        <v>44</v>
      </c>
      <c r="H2001" t="s">
        <v>25</v>
      </c>
      <c r="I2001" t="s">
        <v>15</v>
      </c>
      <c r="J2001">
        <v>19</v>
      </c>
      <c r="K2001">
        <v>19264</v>
      </c>
      <c r="L2001">
        <f>Tabla24[[#This Row],[Precio_Unitario]]*Tabla24[[#This Row],[Unidades_Vendidas]]</f>
        <v>366016</v>
      </c>
      <c r="M2001" t="s">
        <v>36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1860-7202-4A3E-BA8C-4EA26927DDBC}">
  <dimension ref="B2:P61"/>
  <sheetViews>
    <sheetView workbookViewId="0">
      <selection activeCell="E15" sqref="E15"/>
    </sheetView>
  </sheetViews>
  <sheetFormatPr baseColWidth="10" defaultRowHeight="15" x14ac:dyDescent="0.25"/>
  <cols>
    <col min="2" max="2" width="27.140625" bestFit="1" customWidth="1"/>
    <col min="3" max="3" width="23.85546875" bestFit="1" customWidth="1"/>
    <col min="4" max="4" width="16.140625" bestFit="1" customWidth="1"/>
    <col min="5" max="5" width="12.5703125" bestFit="1" customWidth="1"/>
    <col min="6" max="6" width="17.5703125" bestFit="1" customWidth="1"/>
    <col min="7" max="7" width="21.28515625" bestFit="1" customWidth="1"/>
    <col min="8" max="8" width="5.5703125" customWidth="1"/>
    <col min="9" max="9" width="17.5703125" bestFit="1" customWidth="1"/>
    <col min="10" max="10" width="27.140625" bestFit="1" customWidth="1"/>
    <col min="11" max="11" width="8.140625" customWidth="1"/>
    <col min="12" max="12" width="17.5703125" bestFit="1" customWidth="1"/>
    <col min="13" max="13" width="21.28515625" bestFit="1" customWidth="1"/>
    <col min="14" max="14" width="12.5703125" bestFit="1" customWidth="1"/>
    <col min="15" max="15" width="17.5703125" bestFit="1" customWidth="1"/>
    <col min="16" max="16" width="21.28515625" bestFit="1" customWidth="1"/>
  </cols>
  <sheetData>
    <row r="2" spans="2:16" x14ac:dyDescent="0.25">
      <c r="B2" t="s">
        <v>403</v>
      </c>
      <c r="D2" t="s">
        <v>404</v>
      </c>
      <c r="F2" s="1" t="s">
        <v>405</v>
      </c>
      <c r="G2" t="s">
        <v>404</v>
      </c>
      <c r="I2" s="1" t="s">
        <v>405</v>
      </c>
      <c r="J2" t="s">
        <v>403</v>
      </c>
    </row>
    <row r="3" spans="2:16" x14ac:dyDescent="0.25">
      <c r="B3" s="2">
        <v>21513</v>
      </c>
      <c r="D3" s="3">
        <v>796510240</v>
      </c>
      <c r="F3" s="4" t="s">
        <v>12</v>
      </c>
      <c r="G3" s="3">
        <v>161384271</v>
      </c>
      <c r="I3" s="4" t="s">
        <v>34</v>
      </c>
      <c r="J3" s="2">
        <v>4368</v>
      </c>
    </row>
    <row r="4" spans="2:16" x14ac:dyDescent="0.25">
      <c r="F4" s="4" t="s">
        <v>23</v>
      </c>
      <c r="G4" s="3">
        <v>160082220</v>
      </c>
      <c r="I4" s="4" t="s">
        <v>23</v>
      </c>
      <c r="J4" s="2">
        <v>4350</v>
      </c>
    </row>
    <row r="5" spans="2:16" x14ac:dyDescent="0.25">
      <c r="B5" s="2">
        <f>GETPIVOTDATA("Unidades_Vendidas",$B$2)</f>
        <v>21513</v>
      </c>
      <c r="D5" s="7">
        <f>GETPIVOTDATA("Ingreso_Total",$D$2)/1000000</f>
        <v>796.51023999999995</v>
      </c>
      <c r="F5" s="4" t="s">
        <v>34</v>
      </c>
      <c r="G5" s="3">
        <v>159030981</v>
      </c>
      <c r="I5" s="4" t="s">
        <v>12</v>
      </c>
      <c r="J5" s="2">
        <v>4292</v>
      </c>
    </row>
    <row r="6" spans="2:16" x14ac:dyDescent="0.25">
      <c r="F6" s="4" t="s">
        <v>29</v>
      </c>
      <c r="G6" s="3">
        <v>158802007</v>
      </c>
      <c r="I6" s="4" t="s">
        <v>29</v>
      </c>
      <c r="J6" s="2">
        <v>4274</v>
      </c>
    </row>
    <row r="7" spans="2:16" x14ac:dyDescent="0.25">
      <c r="F7" s="4" t="s">
        <v>38</v>
      </c>
      <c r="G7" s="3">
        <v>157210761</v>
      </c>
      <c r="I7" s="4" t="s">
        <v>38</v>
      </c>
      <c r="J7" s="2">
        <v>4229</v>
      </c>
    </row>
    <row r="8" spans="2:16" x14ac:dyDescent="0.25">
      <c r="F8" s="4" t="s">
        <v>406</v>
      </c>
      <c r="G8" s="3">
        <v>796510240</v>
      </c>
      <c r="I8" s="4" t="s">
        <v>406</v>
      </c>
      <c r="J8" s="2">
        <v>21513</v>
      </c>
    </row>
    <row r="10" spans="2:16" x14ac:dyDescent="0.25">
      <c r="F10" t="str">
        <f>F3</f>
        <v>Renault</v>
      </c>
      <c r="G10" s="7">
        <f>GETPIVOTDATA("Ingreso_Total",$F$2,"Marca","Renault")/1000000</f>
        <v>161.38427100000001</v>
      </c>
    </row>
    <row r="11" spans="2:16" x14ac:dyDescent="0.25">
      <c r="O11" s="1" t="s">
        <v>405</v>
      </c>
      <c r="P11" t="s">
        <v>404</v>
      </c>
    </row>
    <row r="12" spans="2:16" x14ac:dyDescent="0.25">
      <c r="O12" s="4" t="s">
        <v>20</v>
      </c>
      <c r="P12" s="3">
        <v>196102820</v>
      </c>
    </row>
    <row r="13" spans="2:16" x14ac:dyDescent="0.25">
      <c r="B13" s="1" t="s">
        <v>405</v>
      </c>
      <c r="C13" t="s">
        <v>419</v>
      </c>
      <c r="D13" t="s">
        <v>420</v>
      </c>
      <c r="F13" s="1" t="s">
        <v>405</v>
      </c>
      <c r="G13" t="s">
        <v>404</v>
      </c>
      <c r="I13" s="1" t="s">
        <v>405</v>
      </c>
      <c r="J13" t="s">
        <v>404</v>
      </c>
      <c r="O13" s="4" t="s">
        <v>36</v>
      </c>
      <c r="P13" s="3">
        <v>211141923</v>
      </c>
    </row>
    <row r="14" spans="2:16" x14ac:dyDescent="0.25">
      <c r="B14" s="4" t="s">
        <v>407</v>
      </c>
      <c r="C14" s="13">
        <v>2007</v>
      </c>
      <c r="D14" s="13">
        <v>75389893</v>
      </c>
      <c r="F14" s="4" t="s">
        <v>11</v>
      </c>
      <c r="G14" s="13">
        <v>137900879</v>
      </c>
      <c r="I14" s="4" t="s">
        <v>12</v>
      </c>
      <c r="J14" s="3">
        <v>161384271</v>
      </c>
      <c r="O14" s="4" t="s">
        <v>16</v>
      </c>
      <c r="P14" s="3">
        <v>188848814</v>
      </c>
    </row>
    <row r="15" spans="2:16" x14ac:dyDescent="0.25">
      <c r="B15" s="4" t="s">
        <v>408</v>
      </c>
      <c r="C15" s="13">
        <v>1520</v>
      </c>
      <c r="D15" s="13">
        <v>56154661</v>
      </c>
      <c r="F15" s="4" t="s">
        <v>42</v>
      </c>
      <c r="G15" s="13">
        <v>164331633</v>
      </c>
      <c r="I15" s="4" t="s">
        <v>23</v>
      </c>
      <c r="J15" s="3">
        <v>160082220</v>
      </c>
      <c r="O15" s="4" t="s">
        <v>27</v>
      </c>
      <c r="P15" s="3">
        <v>200416683</v>
      </c>
    </row>
    <row r="16" spans="2:16" x14ac:dyDescent="0.25">
      <c r="B16" s="4" t="s">
        <v>409</v>
      </c>
      <c r="C16" s="13">
        <v>2095</v>
      </c>
      <c r="D16" s="13">
        <v>79044465</v>
      </c>
      <c r="F16" s="4" t="s">
        <v>33</v>
      </c>
      <c r="G16" s="13">
        <v>165752261</v>
      </c>
      <c r="I16" s="4" t="s">
        <v>34</v>
      </c>
      <c r="J16" s="3">
        <v>159030981</v>
      </c>
      <c r="O16" s="4" t="s">
        <v>406</v>
      </c>
      <c r="P16" s="3">
        <v>796510240</v>
      </c>
    </row>
    <row r="17" spans="2:16" x14ac:dyDescent="0.25">
      <c r="B17" s="4" t="s">
        <v>410</v>
      </c>
      <c r="C17" s="13">
        <v>1611</v>
      </c>
      <c r="D17" s="13">
        <v>57189088</v>
      </c>
      <c r="F17" s="4" t="s">
        <v>22</v>
      </c>
      <c r="G17" s="13">
        <v>171348063</v>
      </c>
      <c r="I17" s="4" t="s">
        <v>29</v>
      </c>
      <c r="J17" s="3">
        <v>158802007</v>
      </c>
    </row>
    <row r="18" spans="2:16" x14ac:dyDescent="0.25">
      <c r="B18" s="4" t="s">
        <v>411</v>
      </c>
      <c r="C18" s="13">
        <v>2188</v>
      </c>
      <c r="D18" s="13">
        <v>80101609</v>
      </c>
      <c r="F18" s="4" t="s">
        <v>18</v>
      </c>
      <c r="G18" s="13">
        <v>157177404</v>
      </c>
      <c r="I18" s="4" t="s">
        <v>38</v>
      </c>
      <c r="J18" s="3">
        <v>157210761</v>
      </c>
    </row>
    <row r="19" spans="2:16" x14ac:dyDescent="0.25">
      <c r="B19" s="4" t="s">
        <v>412</v>
      </c>
      <c r="C19" s="13">
        <v>1808</v>
      </c>
      <c r="D19" s="13">
        <v>69699613</v>
      </c>
      <c r="F19" s="4" t="s">
        <v>406</v>
      </c>
      <c r="G19" s="13">
        <v>796510240</v>
      </c>
      <c r="I19" s="4" t="s">
        <v>406</v>
      </c>
      <c r="J19" s="3">
        <v>796510240</v>
      </c>
    </row>
    <row r="20" spans="2:16" x14ac:dyDescent="0.25">
      <c r="B20" s="4" t="s">
        <v>413</v>
      </c>
      <c r="C20" s="13">
        <v>1757</v>
      </c>
      <c r="D20" s="13">
        <v>65539626</v>
      </c>
    </row>
    <row r="21" spans="2:16" x14ac:dyDescent="0.25">
      <c r="B21" s="4" t="s">
        <v>414</v>
      </c>
      <c r="C21" s="13">
        <v>1765</v>
      </c>
      <c r="D21" s="13">
        <v>64974087</v>
      </c>
      <c r="F21" s="8" t="s">
        <v>405</v>
      </c>
      <c r="G21" s="8" t="s">
        <v>404</v>
      </c>
    </row>
    <row r="22" spans="2:16" x14ac:dyDescent="0.25">
      <c r="B22" s="4" t="s">
        <v>415</v>
      </c>
      <c r="C22" s="13">
        <v>1584</v>
      </c>
      <c r="D22" s="13">
        <v>59266142</v>
      </c>
      <c r="F22" t="str">
        <f t="shared" ref="F22:F27" si="0">F14</f>
        <v>Alemania</v>
      </c>
      <c r="G22" s="6">
        <f>GETPIVOTDATA("Ingreso_Total",$F$13,"País","Alemania")</f>
        <v>137900879</v>
      </c>
    </row>
    <row r="23" spans="2:16" x14ac:dyDescent="0.25">
      <c r="B23" s="4" t="s">
        <v>416</v>
      </c>
      <c r="C23" s="13">
        <v>1787</v>
      </c>
      <c r="D23" s="13">
        <v>65576445</v>
      </c>
      <c r="F23" t="str">
        <f t="shared" si="0"/>
        <v>España</v>
      </c>
      <c r="G23" s="6">
        <f>GETPIVOTDATA("Ingreso_Total",$F$13,"País","España")</f>
        <v>164331633</v>
      </c>
    </row>
    <row r="24" spans="2:16" x14ac:dyDescent="0.25">
      <c r="B24" s="4" t="s">
        <v>417</v>
      </c>
      <c r="C24" s="13">
        <v>1746</v>
      </c>
      <c r="D24" s="13">
        <v>63489191</v>
      </c>
      <c r="F24" t="str">
        <f t="shared" si="0"/>
        <v>Francia</v>
      </c>
      <c r="G24" s="6">
        <f>GETPIVOTDATA("Ingreso_Total",$F$13,"País","Francia")</f>
        <v>165752261</v>
      </c>
      <c r="I24" s="1" t="s">
        <v>405</v>
      </c>
      <c r="J24" t="s">
        <v>404</v>
      </c>
      <c r="L24" s="1" t="s">
        <v>405</v>
      </c>
      <c r="M24" t="s">
        <v>404</v>
      </c>
      <c r="O24" s="1" t="s">
        <v>405</v>
      </c>
      <c r="P24" t="s">
        <v>404</v>
      </c>
    </row>
    <row r="25" spans="2:16" x14ac:dyDescent="0.25">
      <c r="B25" s="4" t="s">
        <v>418</v>
      </c>
      <c r="C25" s="13">
        <v>1645</v>
      </c>
      <c r="D25" s="13">
        <v>60085420</v>
      </c>
      <c r="F25" t="str">
        <f t="shared" si="0"/>
        <v>Italia</v>
      </c>
      <c r="G25" s="6">
        <f>GETPIVOTDATA("Ingreso_Total",$F$13,"País","Italia")</f>
        <v>171348063</v>
      </c>
      <c r="I25" s="4" t="s">
        <v>26</v>
      </c>
      <c r="J25" s="3">
        <v>252004393</v>
      </c>
      <c r="L25" s="4" t="s">
        <v>19</v>
      </c>
      <c r="M25" s="3">
        <v>150312302</v>
      </c>
      <c r="O25" s="4" t="s">
        <v>24</v>
      </c>
      <c r="P25" s="3">
        <v>165678622</v>
      </c>
    </row>
    <row r="26" spans="2:16" x14ac:dyDescent="0.25">
      <c r="B26" s="4" t="s">
        <v>406</v>
      </c>
      <c r="C26" s="2">
        <v>21513</v>
      </c>
      <c r="D26" s="3">
        <v>796510240</v>
      </c>
      <c r="F26" t="str">
        <f t="shared" si="0"/>
        <v>Portugal</v>
      </c>
      <c r="G26" s="6">
        <f>GETPIVOTDATA("Ingreso_Total",$F$13,"País","Portugal")</f>
        <v>157177404</v>
      </c>
      <c r="I26" s="4" t="s">
        <v>15</v>
      </c>
      <c r="J26" s="3">
        <v>259767424</v>
      </c>
      <c r="L26" s="4" t="s">
        <v>25</v>
      </c>
      <c r="M26" s="3">
        <v>161230867</v>
      </c>
      <c r="O26" s="4" t="s">
        <v>48</v>
      </c>
      <c r="P26" s="3">
        <v>169301385</v>
      </c>
    </row>
    <row r="27" spans="2:16" x14ac:dyDescent="0.25">
      <c r="F27" s="8" t="str">
        <f t="shared" si="0"/>
        <v>Total general</v>
      </c>
      <c r="G27" s="9">
        <f>GETPIVOTDATA("Ingreso_Total",$F$13)</f>
        <v>796510240</v>
      </c>
      <c r="I27" s="4" t="s">
        <v>40</v>
      </c>
      <c r="J27" s="3">
        <v>284738423</v>
      </c>
      <c r="L27" s="4" t="s">
        <v>35</v>
      </c>
      <c r="M27" s="3">
        <v>156291573</v>
      </c>
      <c r="O27" s="4" t="s">
        <v>13</v>
      </c>
      <c r="P27" s="3">
        <v>147229503</v>
      </c>
    </row>
    <row r="28" spans="2:16" x14ac:dyDescent="0.25">
      <c r="I28" s="4" t="s">
        <v>406</v>
      </c>
      <c r="J28" s="3">
        <v>796510240</v>
      </c>
      <c r="L28" s="4" t="s">
        <v>14</v>
      </c>
      <c r="M28" s="3">
        <v>163810109</v>
      </c>
      <c r="O28" s="4" t="s">
        <v>44</v>
      </c>
      <c r="P28" s="3">
        <v>160939258</v>
      </c>
    </row>
    <row r="29" spans="2:16" x14ac:dyDescent="0.25">
      <c r="L29" s="4" t="s">
        <v>30</v>
      </c>
      <c r="M29" s="3">
        <v>164865389</v>
      </c>
      <c r="O29" s="4" t="s">
        <v>39</v>
      </c>
      <c r="P29" s="3">
        <v>153361472</v>
      </c>
    </row>
    <row r="30" spans="2:16" x14ac:dyDescent="0.25">
      <c r="L30" s="4" t="s">
        <v>406</v>
      </c>
      <c r="M30" s="3">
        <v>796510240</v>
      </c>
      <c r="O30" s="4" t="s">
        <v>406</v>
      </c>
      <c r="P30" s="3">
        <v>796510240</v>
      </c>
    </row>
    <row r="31" spans="2:16" x14ac:dyDescent="0.25">
      <c r="I31" t="s">
        <v>405</v>
      </c>
      <c r="J31" t="s">
        <v>404</v>
      </c>
    </row>
    <row r="32" spans="2:16" x14ac:dyDescent="0.25">
      <c r="I32" t="str">
        <f>+I25</f>
        <v>Concesionario</v>
      </c>
      <c r="J32" s="10">
        <f>+GETPIVOTDATA("Ingreso_Total",$I$24,"Canal_Venta","Concesionario")/GETPIVOTDATA("Ingreso_Total",$I$24)</f>
        <v>0.31638562863925013</v>
      </c>
    </row>
    <row r="33" spans="2:16" x14ac:dyDescent="0.25">
      <c r="I33" t="str">
        <f>+I26</f>
        <v>Flotas</v>
      </c>
      <c r="J33" s="10">
        <f>+GETPIVOTDATA("Ingreso_Total",$I$24,"Canal_Venta","Flotas")/GETPIVOTDATA("Ingreso_Total",$I$24)</f>
        <v>0.32613193271689767</v>
      </c>
    </row>
    <row r="34" spans="2:16" x14ac:dyDescent="0.25">
      <c r="B34" s="1" t="s">
        <v>2</v>
      </c>
      <c r="C34" t="s">
        <v>421</v>
      </c>
      <c r="D34" t="s">
        <v>422</v>
      </c>
      <c r="I34" t="str">
        <f>+I27</f>
        <v>Online</v>
      </c>
      <c r="J34" s="10">
        <f>+GETPIVOTDATA("Ingreso_Total",$I$24,"Canal_Venta","Online")/GETPIVOTDATA("Ingreso_Total",$I$24)</f>
        <v>0.35748243864385221</v>
      </c>
      <c r="L34" t="s">
        <v>405</v>
      </c>
      <c r="M34" t="s">
        <v>404</v>
      </c>
      <c r="O34" t="s">
        <v>405</v>
      </c>
      <c r="P34" t="s">
        <v>404</v>
      </c>
    </row>
    <row r="35" spans="2:16" x14ac:dyDescent="0.25">
      <c r="B35" s="4" t="s">
        <v>12</v>
      </c>
      <c r="C35" s="3">
        <v>161384271</v>
      </c>
      <c r="D35" s="2">
        <v>4292</v>
      </c>
      <c r="L35" t="str">
        <f>+L25</f>
        <v>Eléctrico</v>
      </c>
      <c r="M35" s="10">
        <f>+GETPIVOTDATA("Ingreso_Total",$L$24,"Tipo_Vehículo","Eléctrico")/GETPIVOTDATA("Ingreso_Total",$L$24)</f>
        <v>0.1887135838956697</v>
      </c>
      <c r="O35" t="str">
        <f>+O25</f>
        <v>Compact Z</v>
      </c>
      <c r="P35" s="10">
        <f>+GETPIVOTDATA("Ingreso_Total",$L$24,"Tipo_Vehículo","Eléctrico")/GETPIVOTDATA("Ingreso_Total",$L$24)</f>
        <v>0.1887135838956697</v>
      </c>
    </row>
    <row r="36" spans="2:16" x14ac:dyDescent="0.25">
      <c r="B36" s="4" t="s">
        <v>23</v>
      </c>
      <c r="C36" s="3">
        <v>160082220</v>
      </c>
      <c r="D36" s="2">
        <v>4350</v>
      </c>
      <c r="L36" t="str">
        <f>+L26</f>
        <v>Hatchback</v>
      </c>
      <c r="M36" s="10">
        <f>+GETPIVOTDATA("Ingreso_Total",$L$24,"Tipo_Vehículo","Hatchback")/GETPIVOTDATA("Ingreso_Total",$L$24)</f>
        <v>0.2024215871976737</v>
      </c>
      <c r="O36" t="str">
        <f>+O26</f>
        <v>Electric Plus</v>
      </c>
      <c r="P36" s="10">
        <f>+GETPIVOTDATA("Ingreso_Total",$L$24,"Tipo_Vehículo","Hatchback")/GETPIVOTDATA("Ingreso_Total",$L$24)</f>
        <v>0.2024215871976737</v>
      </c>
    </row>
    <row r="37" spans="2:16" x14ac:dyDescent="0.25">
      <c r="B37" s="4" t="s">
        <v>34</v>
      </c>
      <c r="C37" s="3">
        <v>159030981</v>
      </c>
      <c r="D37" s="2">
        <v>4368</v>
      </c>
      <c r="L37" t="str">
        <f>+L27</f>
        <v>Híbrido</v>
      </c>
      <c r="M37" s="10">
        <f>+GETPIVOTDATA("Ingreso_Total",$L$24,"Tipo_Vehículo","Híbrido")/GETPIVOTDATA("Ingreso_Total",$L$24)</f>
        <v>0.19622041896159426</v>
      </c>
      <c r="O37" t="str">
        <f>+O27</f>
        <v>Hybrid One</v>
      </c>
      <c r="P37" s="10">
        <f>+GETPIVOTDATA("Ingreso_Total",$L$24,"Tipo_Vehículo","Híbrido")/GETPIVOTDATA("Ingreso_Total",$L$24)</f>
        <v>0.19622041896159426</v>
      </c>
    </row>
    <row r="38" spans="2:16" x14ac:dyDescent="0.25">
      <c r="B38" s="4" t="s">
        <v>29</v>
      </c>
      <c r="C38" s="3">
        <v>158802007</v>
      </c>
      <c r="D38" s="2">
        <v>4274</v>
      </c>
      <c r="L38" t="str">
        <f>+L28</f>
        <v>Sedán</v>
      </c>
      <c r="M38" s="10">
        <f>+GETPIVOTDATA("Ingreso_Total",$L$24,"Tipo_Vehículo","Sedán")/GETPIVOTDATA("Ingreso_Total",$L$24)</f>
        <v>0.20565976527809612</v>
      </c>
      <c r="O38" t="str">
        <f>+O28</f>
        <v>Sedan X</v>
      </c>
      <c r="P38" s="10">
        <f>+GETPIVOTDATA("Ingreso_Total",$L$24,"Tipo_Vehículo","Sedán")/GETPIVOTDATA("Ingreso_Total",$L$24)</f>
        <v>0.20565976527809612</v>
      </c>
    </row>
    <row r="39" spans="2:16" x14ac:dyDescent="0.25">
      <c r="B39" s="4" t="s">
        <v>38</v>
      </c>
      <c r="C39" s="3">
        <v>157210761</v>
      </c>
      <c r="D39" s="2">
        <v>4229</v>
      </c>
      <c r="L39" t="str">
        <f>+L29</f>
        <v>SUV</v>
      </c>
      <c r="M39" s="10">
        <f>+GETPIVOTDATA("Ingreso_Total",$L$24,"Tipo_Vehículo","SUV")/GETPIVOTDATA("Ingreso_Total",$L$24)</f>
        <v>0.20698464466696623</v>
      </c>
      <c r="O39" t="str">
        <f>+O29</f>
        <v>SUV Pro</v>
      </c>
      <c r="P39" s="10">
        <f>+GETPIVOTDATA("Ingreso_Total",$L$24,"Tipo_Vehículo","SUV")/GETPIVOTDATA("Ingreso_Total",$L$24)</f>
        <v>0.20698464466696623</v>
      </c>
    </row>
    <row r="40" spans="2:16" x14ac:dyDescent="0.25">
      <c r="B40" s="4" t="s">
        <v>406</v>
      </c>
      <c r="C40" s="3">
        <v>796510240</v>
      </c>
      <c r="D40" s="2">
        <v>21513</v>
      </c>
    </row>
    <row r="42" spans="2:16" x14ac:dyDescent="0.25">
      <c r="B42" t="s">
        <v>2</v>
      </c>
      <c r="C42" t="s">
        <v>421</v>
      </c>
      <c r="D42" t="s">
        <v>422</v>
      </c>
    </row>
    <row r="43" spans="2:16" x14ac:dyDescent="0.25">
      <c r="B43" t="s">
        <v>12</v>
      </c>
      <c r="C43">
        <v>161384271</v>
      </c>
      <c r="D43">
        <v>4292</v>
      </c>
    </row>
    <row r="44" spans="2:16" x14ac:dyDescent="0.25">
      <c r="B44" t="s">
        <v>23</v>
      </c>
      <c r="C44">
        <v>160082220</v>
      </c>
      <c r="D44">
        <v>4350</v>
      </c>
    </row>
    <row r="45" spans="2:16" x14ac:dyDescent="0.25">
      <c r="B45" t="s">
        <v>34</v>
      </c>
      <c r="C45">
        <v>159030981</v>
      </c>
      <c r="D45">
        <v>4368</v>
      </c>
    </row>
    <row r="46" spans="2:16" x14ac:dyDescent="0.25">
      <c r="B46" t="s">
        <v>29</v>
      </c>
      <c r="C46">
        <v>158802007</v>
      </c>
      <c r="D46">
        <v>4274</v>
      </c>
    </row>
    <row r="47" spans="2:16" x14ac:dyDescent="0.25">
      <c r="B47" t="s">
        <v>38</v>
      </c>
      <c r="C47">
        <v>157210761</v>
      </c>
      <c r="D47">
        <v>4229</v>
      </c>
    </row>
    <row r="48" spans="2:16" x14ac:dyDescent="0.25">
      <c r="B48" s="11" t="s">
        <v>406</v>
      </c>
      <c r="C48" s="11">
        <v>796510240</v>
      </c>
      <c r="D48" s="11">
        <v>21513</v>
      </c>
    </row>
    <row r="51" spans="2:6" x14ac:dyDescent="0.25">
      <c r="B51" s="1" t="s">
        <v>2</v>
      </c>
      <c r="C51" t="s">
        <v>421</v>
      </c>
      <c r="E51" s="1" t="s">
        <v>2</v>
      </c>
      <c r="F51" t="s">
        <v>421</v>
      </c>
    </row>
    <row r="52" spans="2:6" x14ac:dyDescent="0.25">
      <c r="B52" s="4" t="s">
        <v>12</v>
      </c>
      <c r="C52" s="3">
        <v>161384271</v>
      </c>
      <c r="E52" s="4" t="s">
        <v>34</v>
      </c>
      <c r="F52" s="3">
        <v>159030981</v>
      </c>
    </row>
    <row r="53" spans="2:6" x14ac:dyDescent="0.25">
      <c r="B53" s="4" t="s">
        <v>23</v>
      </c>
      <c r="C53" s="3">
        <v>160082220</v>
      </c>
      <c r="E53" s="4" t="s">
        <v>29</v>
      </c>
      <c r="F53" s="3">
        <v>158802007</v>
      </c>
    </row>
    <row r="54" spans="2:6" x14ac:dyDescent="0.25">
      <c r="B54" s="4" t="s">
        <v>34</v>
      </c>
      <c r="C54" s="3">
        <v>159030981</v>
      </c>
      <c r="E54" s="4" t="s">
        <v>38</v>
      </c>
      <c r="F54" s="3">
        <v>157210761</v>
      </c>
    </row>
    <row r="55" spans="2:6" x14ac:dyDescent="0.25">
      <c r="B55" s="4" t="s">
        <v>406</v>
      </c>
      <c r="C55" s="3">
        <v>480497472</v>
      </c>
      <c r="E55" s="4" t="s">
        <v>406</v>
      </c>
      <c r="F55" s="3">
        <v>475043749</v>
      </c>
    </row>
    <row r="57" spans="2:6" x14ac:dyDescent="0.25">
      <c r="B57" t="s">
        <v>2</v>
      </c>
      <c r="C57" t="s">
        <v>421</v>
      </c>
      <c r="E57" t="s">
        <v>2</v>
      </c>
      <c r="F57" t="s">
        <v>421</v>
      </c>
    </row>
    <row r="58" spans="2:6" x14ac:dyDescent="0.25">
      <c r="B58" t="s">
        <v>12</v>
      </c>
      <c r="C58" s="3">
        <v>161384271</v>
      </c>
      <c r="E58" t="s">
        <v>34</v>
      </c>
      <c r="F58" s="3">
        <v>159030981</v>
      </c>
    </row>
    <row r="59" spans="2:6" x14ac:dyDescent="0.25">
      <c r="B59" t="s">
        <v>23</v>
      </c>
      <c r="C59" s="3">
        <v>160082220</v>
      </c>
      <c r="E59" t="s">
        <v>29</v>
      </c>
      <c r="F59" s="3">
        <v>158802007</v>
      </c>
    </row>
    <row r="60" spans="2:6" x14ac:dyDescent="0.25">
      <c r="B60" t="s">
        <v>34</v>
      </c>
      <c r="C60" s="3">
        <v>159030981</v>
      </c>
      <c r="E60" t="s">
        <v>38</v>
      </c>
      <c r="F60" s="3">
        <v>157210761</v>
      </c>
    </row>
    <row r="61" spans="2:6" x14ac:dyDescent="0.25">
      <c r="B61" s="11" t="s">
        <v>406</v>
      </c>
      <c r="C61" s="12">
        <v>480497472</v>
      </c>
      <c r="E61" s="11" t="s">
        <v>406</v>
      </c>
      <c r="F61" s="12">
        <v>475043749</v>
      </c>
    </row>
  </sheetData>
  <pageMargins left="0.7" right="0.7" top="0.75" bottom="0.75" header="0.3" footer="0.3"/>
  <tableParts count="3"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8414-F503-4468-8E99-DC5AB10529D1}">
  <dimension ref="A1:R29"/>
  <sheetViews>
    <sheetView tabSelected="1" zoomScale="70" zoomScaleNormal="70" workbookViewId="0">
      <selection activeCell="T21" sqref="T21"/>
    </sheetView>
  </sheetViews>
  <sheetFormatPr baseColWidth="10" defaultRowHeight="15" x14ac:dyDescent="0.25"/>
  <sheetData>
    <row r="1" spans="1:18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770B1F-CC00-4AE8-9C48-A681C9EE57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Ventas_Automotriz</vt:lpstr>
      <vt:lpstr>Transformación y limpieza</vt:lpstr>
      <vt:lpstr>Análisis de datos</vt:lpstr>
      <vt:lpstr>DB Automotriz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de la rosa contreras</cp:lastModifiedBy>
  <dcterms:created xsi:type="dcterms:W3CDTF">2026-01-29T13:54:56Z</dcterms:created>
  <dcterms:modified xsi:type="dcterms:W3CDTF">2026-01-30T12:24:44Z</dcterms:modified>
</cp:coreProperties>
</file>